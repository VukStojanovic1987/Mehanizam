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tables/table2.xml" ContentType="application/vnd.openxmlformats-officedocument.spreadsheetml.table+xml"/>
  <Override PartName="/xl/drawings/drawing15.xml" ContentType="application/vnd.openxmlformats-officedocument.drawing+xml"/>
  <Override PartName="/xl/tables/table3.xml" ContentType="application/vnd.openxmlformats-officedocument.spreadsheetml.table+xml"/>
  <Override PartName="/xl/drawings/drawing16.xml" ContentType="application/vnd.openxmlformats-officedocument.drawing+xml"/>
  <Override PartName="/xl/tables/table4.xml" ContentType="application/vnd.openxmlformats-officedocument.spreadsheetml.table+xml"/>
  <Override PartName="/xl/drawings/drawing17.xml" ContentType="application/vnd.openxmlformats-officedocument.drawing+xml"/>
  <Override PartName="/xl/tables/table5.xml" ContentType="application/vnd.openxmlformats-officedocument.spreadsheetml.table+xml"/>
  <Override PartName="/xl/drawings/drawing18.xml" ContentType="application/vnd.openxmlformats-officedocument.drawing+xml"/>
  <Override PartName="/xl/tables/table6.xml" ContentType="application/vnd.openxmlformats-officedocument.spreadsheetml.table+xml"/>
  <Override PartName="/xl/drawings/drawing19.xml" ContentType="application/vnd.openxmlformats-officedocument.drawing+xml"/>
  <Override PartName="/xl/tables/table7.xml" ContentType="application/vnd.openxmlformats-officedocument.spreadsheetml.table+xml"/>
  <Override PartName="/xl/drawings/drawing20.xml" ContentType="application/vnd.openxmlformats-officedocument.drawing+xml"/>
  <Override PartName="/xl/tables/table8.xml" ContentType="application/vnd.openxmlformats-officedocument.spreadsheetml.table+xml"/>
  <Override PartName="/xl/drawings/drawing21.xml" ContentType="application/vnd.openxmlformats-officedocument.drawing+xml"/>
  <Override PartName="/xl/tables/table9.xml" ContentType="application/vnd.openxmlformats-officedocument.spreadsheetml.table+xml"/>
  <Override PartName="/xl/drawings/drawing22.xml" ContentType="application/vnd.openxmlformats-officedocument.drawing+xml"/>
  <Override PartName="/xl/tables/table10.xml" ContentType="application/vnd.openxmlformats-officedocument.spreadsheetml.table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Vuk\Dropbox\Mehanizam\Mehanizam\Resources\"/>
    </mc:Choice>
  </mc:AlternateContent>
  <bookViews>
    <workbookView xWindow="120" yWindow="150" windowWidth="24975" windowHeight="12015"/>
  </bookViews>
  <sheets>
    <sheet name="Index" sheetId="51" r:id="rId1"/>
    <sheet name="10" sheetId="21" r:id="rId2"/>
    <sheet name="20" sheetId="22" r:id="rId3"/>
    <sheet name="41" sheetId="23" r:id="rId4"/>
    <sheet name="42" sheetId="24" r:id="rId5"/>
    <sheet name="43" sheetId="25" r:id="rId6"/>
    <sheet name="44" sheetId="26" r:id="rId7"/>
    <sheet name="450" sheetId="27" r:id="rId8"/>
    <sheet name="451" sheetId="30" r:id="rId9"/>
    <sheet name="452" sheetId="32" r:id="rId10"/>
    <sheet name="453" sheetId="48" r:id="rId11"/>
    <sheet name="460" sheetId="28" r:id="rId12"/>
    <sheet name="461" sheetId="49" r:id="rId13"/>
    <sheet name="Po" sheetId="33" state="hidden" r:id="rId14"/>
    <sheet name="Su" sheetId="34" state="hidden" r:id="rId15"/>
    <sheet name="Pr" sheetId="35" state="hidden" r:id="rId16"/>
    <sheet name="S1" sheetId="36" state="hidden" r:id="rId17"/>
    <sheet name="S2" sheetId="37" state="hidden" r:id="rId18"/>
    <sheet name="S3" sheetId="38" state="hidden" r:id="rId19"/>
    <sheet name="S4" sheetId="39" state="hidden" r:id="rId20"/>
    <sheet name="S5" sheetId="40" state="hidden" r:id="rId21"/>
    <sheet name="Pk" sheetId="46" state="hidden" r:id="rId22"/>
    <sheet name="Rekapitulacija" sheetId="47" r:id="rId23"/>
    <sheet name="470" sheetId="29" r:id="rId24"/>
  </sheets>
  <definedNames>
    <definedName name="BrojFunkcionalnihJedinica">Index!$F$153</definedName>
    <definedName name="BrojParkingMesta">Index!$F$157</definedName>
    <definedName name="CenaPoM2">Index!$F$195</definedName>
    <definedName name="Datum">Index!$F$24</definedName>
    <definedName name="EtazaPk">Index!$C$46</definedName>
    <definedName name="EtazaPo">Index!$C$38</definedName>
    <definedName name="EtazaPr">Index!$C$40</definedName>
    <definedName name="EtazaS1">Index!$C$41</definedName>
    <definedName name="EtazaS2">Index!$C$42</definedName>
    <definedName name="EtazaS3">Index!$C$43</definedName>
    <definedName name="EtazaS4">Index!$C$44</definedName>
    <definedName name="EtazaS5">Index!$C$45</definedName>
    <definedName name="EtazaSu">Index!$C$39</definedName>
    <definedName name="EvidencioniBroj">Index!$F$28</definedName>
    <definedName name="IndeksIzgradjenosti">Index!$F$191</definedName>
    <definedName name="IndeksZauzetosti">Index!$F$187</definedName>
    <definedName name="Investitor">Index!$F$39</definedName>
    <definedName name="InvestitorIzKonteksta">Index!$F$43</definedName>
    <definedName name="InvestitorovaDokumentacija">Index!$G$51</definedName>
    <definedName name="KatastarskeParcele">Index!$F$103</definedName>
    <definedName name="KategorijaObjekta">Index!$F$91</definedName>
    <definedName name="KopijaElaborat">Index!#REF!</definedName>
    <definedName name="Mesto">Index!$F$32</definedName>
    <definedName name="NagibKrova">Index!$F$172</definedName>
    <definedName name="Naslov" localSheetId="21">Pk!$D$8:$H$11</definedName>
    <definedName name="Naslov" localSheetId="13">Po!$D$8:$H$11</definedName>
    <definedName name="Naslov" localSheetId="15">Pr!$D$8:$H$11</definedName>
    <definedName name="Naslov" localSheetId="16">'S1'!$D$8:$H$11</definedName>
    <definedName name="Naslov" localSheetId="17">'S2'!$D$8:$H$11</definedName>
    <definedName name="Naslov" localSheetId="18">'S3'!$D$8:$H$11</definedName>
    <definedName name="Naslov" localSheetId="19">'S4'!$D$8:$H$11</definedName>
    <definedName name="Naslov" localSheetId="20">'S5'!$D$8:$H$11</definedName>
    <definedName name="Naslov" localSheetId="14">Su!$D$8:$H$11</definedName>
    <definedName name="Objekat">Index!$F$58</definedName>
    <definedName name="ObjekatIzKonteksta">Index!$F$62</definedName>
    <definedName name="ObradaFasade">Index!$F$164</definedName>
    <definedName name="ObradaKrova">Index!$F$176</definedName>
    <definedName name="OdgovorniProjektant">Index!$F$80</definedName>
    <definedName name="OdgovornoLice">Index!$F$47</definedName>
    <definedName name="OdgovornoLiceProjektneOrganizacije">Index!$F$73</definedName>
    <definedName name="OrjentacijaSlemena">Index!$F$168</definedName>
    <definedName name="Pilot">Index!$F$8</definedName>
    <definedName name="PovrsinaParcele">Index!$F$125</definedName>
    <definedName name="PovrsinaPr">Index!$F$141</definedName>
    <definedName name="PrikljucakNaKanalizaciju">Index!$F$114</definedName>
    <definedName name="PrikljucakNaStruju">Index!$F$118</definedName>
    <definedName name="PrikljucakNaVodovod">Index!$F$110</definedName>
    <definedName name="_xlnm.Print_Area" localSheetId="1">'10'!$D$8:$D$41</definedName>
    <definedName name="_xlnm.Print_Area" localSheetId="2">'20'!$D$8:$E$21</definedName>
    <definedName name="_xlnm.Print_Area" localSheetId="3">'41'!$D$8:$D$41</definedName>
    <definedName name="_xlnm.Print_Area" localSheetId="4">'42'!$D$8:$E$38</definedName>
    <definedName name="_xlnm.Print_Area" localSheetId="5">'43'!$D$8:$D$30</definedName>
    <definedName name="_xlnm.Print_Area" localSheetId="6">'44'!$D$8:$D$28</definedName>
    <definedName name="_xlnm.Print_Area" localSheetId="7">'450'!$D$8:$D$52</definedName>
    <definedName name="_xlnm.Print_Area" localSheetId="8">'451'!$D$8:$D$84</definedName>
    <definedName name="_xlnm.Print_Area" localSheetId="9">'452'!$D$8:$D$99</definedName>
    <definedName name="_xlnm.Print_Area" localSheetId="10">'453'!$D$8:$D$33</definedName>
    <definedName name="_xlnm.Print_Area" localSheetId="11">'460'!$D$8:$D$52</definedName>
    <definedName name="_xlnm.Print_Area" localSheetId="12">'461'!$D$8:$E$37</definedName>
    <definedName name="_xlnm.Print_Area" localSheetId="23">'470'!$D$8:$D$52</definedName>
    <definedName name="_xlnm.Print_Area" localSheetId="0">Index!$D$2:$H$286</definedName>
    <definedName name="_xlnm.Print_Area" localSheetId="21">Pk!$D$8:$H$24</definedName>
    <definedName name="_xlnm.Print_Area" localSheetId="13">Po!$D$8:$H$24</definedName>
    <definedName name="_xlnm.Print_Area" localSheetId="15">Pr!$D$8:$H$24</definedName>
    <definedName name="_xlnm.Print_Area" localSheetId="22">Rekapitulacija!$D$8:$G$37</definedName>
    <definedName name="_xlnm.Print_Area" localSheetId="16">'S1'!$D$8:$H$24</definedName>
    <definedName name="_xlnm.Print_Area" localSheetId="17">'S2'!$D$8:$H$24</definedName>
    <definedName name="_xlnm.Print_Area" localSheetId="18">'S3'!$D$8:$H$24</definedName>
    <definedName name="_xlnm.Print_Area" localSheetId="19">'S4'!$D$8:$H$24</definedName>
    <definedName name="_xlnm.Print_Area" localSheetId="20">'S5'!$D$8:$H$24</definedName>
    <definedName name="_xlnm.Print_Area" localSheetId="14">Su!$D$8:$H$24</definedName>
    <definedName name="ProcenatZelenihPovrsina">Index!$F$183</definedName>
    <definedName name="ProjektnaOrganizacija">Index!$F$69</definedName>
    <definedName name="PutanjaBaze">Index!$F$15</definedName>
    <definedName name="SpratnaVisninaPk">Index!$F$275</definedName>
    <definedName name="SpratnaVisninaPo">Index!$F$243</definedName>
    <definedName name="SpratnaVisninaPr">Index!$F$251</definedName>
    <definedName name="SpratnaVisninaS1">Index!$F$255</definedName>
    <definedName name="SpratnaVisninaS2">Index!$F$259</definedName>
    <definedName name="SpratnaVisninaS3">Index!$F$263</definedName>
    <definedName name="SpratnaVisninaS4">Index!$F$267</definedName>
    <definedName name="SpratnaVisninaS5">Index!$F$271</definedName>
    <definedName name="SpratnaVisninaSu">Index!$F$247</definedName>
    <definedName name="Spratnost">Index!$F$149</definedName>
    <definedName name="TipObjekta">Index!$F$87</definedName>
    <definedName name="UcescePovrsinaKlasifikacija">Index!$F$95</definedName>
    <definedName name="UkupnaBruto">Index!$F$133</definedName>
    <definedName name="UkupnaBrutoNadzemno">Index!$F$129</definedName>
    <definedName name="UkupnaBrutoPovrsinaPk">Index!$F$236</definedName>
    <definedName name="UkupnaBrutoPovrsinaPo">Index!$F$204</definedName>
    <definedName name="UkupnaBrutoPovrsinaPr">Index!$F$212</definedName>
    <definedName name="UkupnaBrutoPovrsinaS1">Index!$F$216</definedName>
    <definedName name="UkupnaBrutoPovrsinaS2">Index!$F$220</definedName>
    <definedName name="UkupnaBrutoPovrsinaS3">Index!$F$224</definedName>
    <definedName name="UkupnaBrutoPovrsinaS4">Index!$F$228</definedName>
    <definedName name="UkupnaBrutoPovrsinaS5">Index!$F$232</definedName>
    <definedName name="UkupnaBrutoPovrsinaSu">Index!$F$208</definedName>
    <definedName name="UkupnaNeto">Index!$F$137</definedName>
    <definedName name="UrbanistickiPlan">Index!$F$99</definedName>
    <definedName name="VisinaSlemena">Index!$F$283</definedName>
    <definedName name="VisinaVenca">Index!$F$279</definedName>
    <definedName name="Zauzetost">Index!$F$145</definedName>
  </definedNames>
  <calcPr calcId="162913"/>
</workbook>
</file>

<file path=xl/calcChain.xml><?xml version="1.0" encoding="utf-8"?>
<calcChain xmlns="http://schemas.openxmlformats.org/spreadsheetml/2006/main">
  <c r="D26" i="26" l="1"/>
  <c r="D28" i="25"/>
  <c r="F137" i="51"/>
  <c r="F16" i="47"/>
  <c r="E16" i="47"/>
  <c r="D24" i="48" l="1"/>
  <c r="D90" i="32"/>
  <c r="D97" i="32"/>
  <c r="D35" i="49"/>
  <c r="D35" i="47"/>
  <c r="E275" i="51" l="1"/>
  <c r="E271" i="51"/>
  <c r="E267" i="51"/>
  <c r="E263" i="51"/>
  <c r="E259" i="51"/>
  <c r="E255" i="51"/>
  <c r="E251" i="51"/>
  <c r="E247" i="51"/>
  <c r="E243" i="51"/>
  <c r="E236" i="51"/>
  <c r="E232" i="51"/>
  <c r="E228" i="51"/>
  <c r="E224" i="51"/>
  <c r="E220" i="51"/>
  <c r="E216" i="51"/>
  <c r="E212" i="51"/>
  <c r="E208" i="51"/>
  <c r="E204" i="51"/>
  <c r="A34" i="51"/>
  <c r="A36" i="51" l="1"/>
  <c r="A35" i="51"/>
  <c r="A33" i="51"/>
  <c r="A32" i="51"/>
  <c r="A31" i="51"/>
  <c r="A30" i="51"/>
  <c r="A29" i="51"/>
  <c r="A27" i="51"/>
  <c r="A6" i="51" l="1"/>
  <c r="A5" i="51"/>
  <c r="F145" i="51" l="1"/>
  <c r="F141" i="51"/>
  <c r="F129" i="51"/>
  <c r="D23" i="49" l="1"/>
  <c r="D22" i="49"/>
  <c r="D21" i="49"/>
  <c r="D20" i="49"/>
  <c r="D19" i="49"/>
  <c r="D18" i="49"/>
  <c r="D17" i="49"/>
  <c r="D16" i="49"/>
  <c r="D15" i="49"/>
  <c r="H23" i="46"/>
  <c r="H23" i="40"/>
  <c r="H23" i="39"/>
  <c r="H23" i="38"/>
  <c r="H23" i="37"/>
  <c r="H23" i="36"/>
  <c r="H23" i="35"/>
  <c r="H23" i="34"/>
  <c r="H23" i="33"/>
  <c r="D29" i="47"/>
  <c r="D21" i="47"/>
  <c r="D20" i="47"/>
  <c r="D19" i="47"/>
  <c r="D18" i="47"/>
  <c r="D17" i="47"/>
  <c r="D16" i="47"/>
  <c r="D15" i="47"/>
  <c r="D14" i="47"/>
  <c r="D13" i="47"/>
  <c r="G21" i="47"/>
  <c r="G20" i="47"/>
  <c r="G19" i="47"/>
  <c r="G18" i="47"/>
  <c r="G17" i="47"/>
  <c r="G16" i="47"/>
  <c r="G15" i="47"/>
  <c r="G14" i="47"/>
  <c r="F21" i="47"/>
  <c r="F20" i="47"/>
  <c r="F19" i="47"/>
  <c r="F18" i="47"/>
  <c r="F17" i="47"/>
  <c r="F15" i="47"/>
  <c r="F14" i="47"/>
  <c r="F13" i="47"/>
  <c r="E21" i="47"/>
  <c r="E20" i="47"/>
  <c r="E19" i="47"/>
  <c r="E18" i="47"/>
  <c r="E17" i="47"/>
  <c r="E15" i="47"/>
  <c r="E14" i="47"/>
  <c r="E13" i="47"/>
  <c r="G13" i="47"/>
  <c r="E25" i="49"/>
  <c r="E24" i="49"/>
  <c r="E23" i="49"/>
  <c r="E22" i="49"/>
  <c r="E21" i="49"/>
  <c r="E20" i="49"/>
  <c r="E19" i="49"/>
  <c r="E18" i="49"/>
  <c r="E17" i="49"/>
  <c r="E16" i="49"/>
  <c r="E15" i="49"/>
  <c r="D29" i="49"/>
  <c r="D31" i="48"/>
  <c r="D87" i="32"/>
  <c r="D17" i="32"/>
  <c r="D70" i="30"/>
  <c r="D68" i="30"/>
  <c r="D66" i="30"/>
  <c r="D64" i="30"/>
  <c r="D58" i="30"/>
  <c r="D56" i="30"/>
  <c r="D54" i="30"/>
  <c r="D52" i="30"/>
  <c r="D50" i="30"/>
  <c r="D48" i="30"/>
  <c r="D46" i="30"/>
  <c r="D40" i="30"/>
  <c r="D38" i="30"/>
  <c r="D32" i="30"/>
  <c r="D30" i="30"/>
  <c r="D28" i="30"/>
  <c r="D22" i="30"/>
  <c r="D20" i="30"/>
  <c r="D18" i="30"/>
  <c r="D16" i="30"/>
  <c r="D14" i="30"/>
  <c r="D20" i="26"/>
  <c r="D16" i="26"/>
  <c r="D22" i="25"/>
  <c r="D16" i="25"/>
  <c r="D40" i="23"/>
  <c r="D38" i="23"/>
  <c r="D34" i="23"/>
  <c r="D26" i="23"/>
  <c r="D20" i="23"/>
  <c r="D16" i="23"/>
  <c r="D14" i="23"/>
  <c r="E18" i="22"/>
  <c r="E16" i="22"/>
  <c r="E14" i="22"/>
  <c r="D10" i="22"/>
  <c r="D40" i="21"/>
  <c r="D38" i="21"/>
  <c r="D34" i="21"/>
  <c r="D26" i="21"/>
  <c r="D20" i="21"/>
  <c r="D16" i="21"/>
  <c r="D14" i="21"/>
  <c r="D18" i="21"/>
  <c r="D10" i="21"/>
  <c r="F51" i="51"/>
  <c r="A28" i="51" s="1"/>
  <c r="F133" i="51" l="1"/>
  <c r="G23" i="47"/>
  <c r="G25" i="47"/>
  <c r="G27" i="47"/>
  <c r="E283" i="51"/>
  <c r="E279" i="51"/>
  <c r="D82" i="30" l="1"/>
  <c r="D42" i="30"/>
  <c r="A37" i="51"/>
  <c r="F191" i="51"/>
  <c r="D80" i="30" s="1"/>
  <c r="E51" i="51" l="1"/>
  <c r="E43" i="51"/>
  <c r="E195" i="51" l="1"/>
  <c r="E191" i="51"/>
  <c r="F183" i="51"/>
  <c r="E176" i="51"/>
  <c r="E172" i="51"/>
  <c r="E168" i="51"/>
  <c r="E164" i="51"/>
  <c r="E157" i="51"/>
  <c r="E153" i="51"/>
  <c r="E149" i="51"/>
  <c r="E145" i="51"/>
  <c r="E141" i="51"/>
  <c r="E133" i="51"/>
  <c r="E129" i="51"/>
  <c r="E125" i="51"/>
  <c r="E118" i="51"/>
  <c r="E114" i="51"/>
  <c r="E110" i="51"/>
  <c r="E103" i="51"/>
  <c r="E99" i="51"/>
  <c r="E95" i="51"/>
  <c r="E91" i="51"/>
  <c r="E87" i="51"/>
  <c r="E80" i="51"/>
  <c r="E73" i="51"/>
  <c r="E69" i="51"/>
  <c r="E62" i="51"/>
  <c r="E58" i="51"/>
  <c r="E47" i="51"/>
  <c r="E39" i="51"/>
  <c r="E32" i="51"/>
  <c r="E28" i="51"/>
  <c r="E24" i="51"/>
  <c r="E15" i="51"/>
  <c r="D44" i="30" s="1"/>
  <c r="E8" i="51"/>
  <c r="E137" i="51" l="1"/>
  <c r="E183" i="51"/>
  <c r="D76" i="30"/>
  <c r="F187" i="51"/>
  <c r="E187" i="51" l="1"/>
  <c r="D78" i="30"/>
  <c r="C10" i="22"/>
  <c r="H21" i="46" l="1"/>
  <c r="H19" i="46"/>
  <c r="H21" i="40"/>
  <c r="H19" i="40"/>
  <c r="H21" i="39"/>
  <c r="H19" i="39"/>
  <c r="H21" i="38"/>
  <c r="H19" i="38"/>
  <c r="H21" i="37"/>
  <c r="H19" i="37"/>
  <c r="H21" i="36"/>
  <c r="H19" i="36"/>
  <c r="H21" i="35"/>
  <c r="H19" i="35"/>
  <c r="H21" i="34"/>
  <c r="H19" i="34"/>
  <c r="H21" i="33"/>
  <c r="H19" i="33"/>
  <c r="E20" i="26" l="1"/>
</calcChain>
</file>

<file path=xl/sharedStrings.xml><?xml version="1.0" encoding="utf-8"?>
<sst xmlns="http://schemas.openxmlformats.org/spreadsheetml/2006/main" count="446" uniqueCount="285">
  <si>
    <t>Investitor</t>
  </si>
  <si>
    <t>Objekat</t>
  </si>
  <si>
    <t>OPŠTI PODACI O OBJEKTU I LOKACIJI</t>
  </si>
  <si>
    <t>PRIKLJUČCI NA INFRASTRUKTURU</t>
  </si>
  <si>
    <t>DIMENZIJE OBJEKTA</t>
  </si>
  <si>
    <t>MATERIJALIZACIJA OBJEKTA</t>
  </si>
  <si>
    <t>OSTALI PODACI O OBJEKTU</t>
  </si>
  <si>
    <t>Datum</t>
  </si>
  <si>
    <t>Mesto</t>
  </si>
  <si>
    <t>Vrsta tehničke dokumentacije</t>
  </si>
  <si>
    <t>Projektant</t>
  </si>
  <si>
    <t>Odgovorno lice</t>
  </si>
  <si>
    <t>Odgovorni projektant</t>
  </si>
  <si>
    <t>Broj tehničke dokumentacije</t>
  </si>
  <si>
    <t>Mesto i datum</t>
  </si>
  <si>
    <t>Odgovorni projektant izjavljuje da objekat ispunjava osnovne zahteve za objekte u pogledu nosivosti i stabilnosti prema propisima koji su važili u vreme izgradnje.</t>
  </si>
  <si>
    <t>Tekstualna dokumentacija</t>
  </si>
  <si>
    <t>Numerička dokumentacija</t>
  </si>
  <si>
    <t>Tabelarni prikaz površina</t>
  </si>
  <si>
    <t>a</t>
  </si>
  <si>
    <t>Grafička dokumentacija</t>
  </si>
  <si>
    <t>b</t>
  </si>
  <si>
    <t>gr</t>
  </si>
  <si>
    <t>Snimak izvedenog stanja</t>
  </si>
  <si>
    <t>1.0.</t>
  </si>
  <si>
    <t>2.0.</t>
  </si>
  <si>
    <t>3.0.</t>
  </si>
  <si>
    <t>4.0.</t>
  </si>
  <si>
    <t>4.1. NASLOVNA STRANA SNIMKA IZVEDENOG STANJA</t>
  </si>
  <si>
    <t>4.2. SADRŽAJ SNIMKA IZVEDENOG STANJA</t>
  </si>
  <si>
    <t>4.1.</t>
  </si>
  <si>
    <t>4.2.</t>
  </si>
  <si>
    <t>4.3.</t>
  </si>
  <si>
    <t>4.4.</t>
  </si>
  <si>
    <t>4.5.</t>
  </si>
  <si>
    <t>4.5.1.</t>
  </si>
  <si>
    <t>4.6.</t>
  </si>
  <si>
    <t>4.6.1.</t>
  </si>
  <si>
    <t>Opšti podaci o objektu</t>
  </si>
  <si>
    <t>4.5.2.</t>
  </si>
  <si>
    <t>4.5.3.</t>
  </si>
  <si>
    <t>Tehnički izveštaj o stepenu završenosti i upotrebljenosti objekta</t>
  </si>
  <si>
    <t>Izjava o stepenu izgrađenosti i upotrebljivosti objekta</t>
  </si>
  <si>
    <t>4.6.2.</t>
  </si>
  <si>
    <t>4.7.</t>
  </si>
  <si>
    <t>Naslovna strana snimka izvedenog stanja</t>
  </si>
  <si>
    <t>Sadržaj snimka izvedenog stanja</t>
  </si>
  <si>
    <t>Izjava odgovornog projektanta / izvođača radova</t>
  </si>
  <si>
    <t>Izjava vlasnika nezakonito izgrađenog objekta</t>
  </si>
  <si>
    <t>Na osnovu člana 18. Zakona o ozakonjenju objekata („Službeni glasnik RS”, broj 96 od 26.11.2015. godine) data je,</t>
  </si>
  <si>
    <t>Takođe, izjavljujem da nezakonito izgrađeni objekat ispunjava osnovne zahteve za objekat u pogledu nosivosti i stabilnosti, prema propisima koji su važili u vreme izgradnje tog objekta.</t>
  </si>
  <si>
    <t>4.3. IZJAVA ODGOVORNOG PROJEKTANTA</t>
  </si>
  <si>
    <t>4.4. IZJAVA VLASNIKA NEZAKONITO IZGRAĐENOG OBJEKTA</t>
  </si>
  <si>
    <t>Vlasnik nezakonito izgrađenog objekta</t>
  </si>
  <si>
    <t>Tekstualna
dokumentacija</t>
  </si>
  <si>
    <t>Numericka
dokumentacija</t>
  </si>
  <si>
    <t>Graficka
dokumentacija</t>
  </si>
  <si>
    <t>Tip objekta</t>
  </si>
  <si>
    <t>Kategorija objekta</t>
  </si>
  <si>
    <t>Učešće u ukupnoj površini objekta (%) i klasifikaciona oznaka</t>
  </si>
  <si>
    <t>Naziv prostornog odnosno urbanističkog plana</t>
  </si>
  <si>
    <t>Spisak katastarskih parcela i katastarska opština</t>
  </si>
  <si>
    <t>Priključak na vodovodnu mrežu</t>
  </si>
  <si>
    <t>Priključak na kanalizacijonu mrežu</t>
  </si>
  <si>
    <t>Priključak na nisko-naponsku elektro mrežu</t>
  </si>
  <si>
    <t>Ukupna površina parcele/parcela</t>
  </si>
  <si>
    <t>Ukupna BRGP nadzemno</t>
  </si>
  <si>
    <t>Ukupna BRUTO izgrađena površina</t>
  </si>
  <si>
    <t>Ukupna NETO korisna površina</t>
  </si>
  <si>
    <t>Površina prizemlja</t>
  </si>
  <si>
    <t>Površina zemljišta pod objektom/zauzetost</t>
  </si>
  <si>
    <t>Spratnost (nadzemnih i podzemnih etaža)</t>
  </si>
  <si>
    <t>Visina venca</t>
  </si>
  <si>
    <t>Visina slemena</t>
  </si>
  <si>
    <t>Broj funkcionalnih jedinica/broj stanova</t>
  </si>
  <si>
    <t>Broj parking mesta</t>
  </si>
  <si>
    <t>Materijalizacija fasade</t>
  </si>
  <si>
    <t>Orjentacija slemena</t>
  </si>
  <si>
    <t>Nagib krova</t>
  </si>
  <si>
    <t>Materijalizacija krova</t>
  </si>
  <si>
    <t>Procenat zelenih površina</t>
  </si>
  <si>
    <t>Indeks zauzetosti</t>
  </si>
  <si>
    <t>Indeks izgrađenosti</t>
  </si>
  <si>
    <t>Predračunska vrednost objekta</t>
  </si>
  <si>
    <t>4.5.1. OPŠTI PODACI O OBJEKTU</t>
  </si>
  <si>
    <t>4.5.2. TEHNIČKI IZVEŠTAJ
O STEPENU ZAVRŠENOSTI I UPOTREBLJIVOSTI OBJEKTA</t>
  </si>
  <si>
    <t>OPŠTI DEO</t>
  </si>
  <si>
    <t>AEHITEKTONSKO REŠENJE</t>
  </si>
  <si>
    <t>Sadašnja spratnost objekta je (Po+Pr+1) i izgrađen je bez građevinske dozvole.</t>
  </si>
  <si>
    <t>U sadašnjem stanju objekat ima tri etaže. Čini ga podrum, prizemlje i prvi sprat.</t>
  </si>
  <si>
    <t>U podrumu objekta su prostor za drva i dve ostave. Prizemlje sadrži hodnik, spavaću sobu, kuhinju, dnevni boravak sa trpezarijom, kupatilo, ostavu, trem i stepenište. Prvi sprat sadrži predprostor, dnevni boravak, kuhinja sa trpezarijom, kupatilo, spavaću sobu, dnevni boravak sa kuhinjom, kupatilo, terasu, predprostor i stepenište.</t>
  </si>
  <si>
    <t>Unutrašnja visina prostorija u podrumu je 2,20 m, u prizemlju 2,60 m, kao i na prvom spratu 2,60 m.</t>
  </si>
  <si>
    <t>Svi unutrašnji zidovi i plafoni malterisani su krečnim malterom u dva sloja sa perdašenjem a završna obrada je gletovanje i bojenje poludisperzivnim bojama. U sanitarnim prostorijama su keramičke pločice do visine plafona kao i u kuhinji. U stambenim prostorijama pod je obložen parketom, a kupatilo, hodnici, predprostor i kuhinja su obložne podnim keramičkim pločicama, a ostale prostorij zavržno su obrađene cementnom košuljicom.</t>
  </si>
  <si>
    <t>Fasadna stolarija je delimično PVC-a, a delimično od drveta propisno zaštićena, okovana i zastakljena ravnim providnim sataklom.</t>
  </si>
  <si>
    <t>Sva unutrašnja vrata u objektu su puna drvena sa odgovarajućim štokom opremljena okovom i bravama, zaštićena lanenim firnajsom i obojena emajl farbom.</t>
  </si>
  <si>
    <t>KONSTRUKCIJA</t>
  </si>
  <si>
    <t>Konstruktivni sistem objekta je sa masivnim konstruktivnim zidovima od opekarskih blokova debljine d = 19 cm zidanih u produžnom malteru. Zidovi su u međusobnom sklopu sa armirano betonskim stubovima i serklažima, čime je postignuta stabilnost za IX seizmičku zonu. Pregradni zidovi su od opekarskog bloka d=19 cm obostrano malterisani, sa podvučenim armirano betonskim serklažima visine h=20 cm u debljini zida na visini nadvratnika radi horizontalnog ukrućenja.</t>
  </si>
  <si>
    <t>Prema izjavi investitora temelji su trakasti sa širinom ne manjom od širine zidova ispod kojih se nalaze.</t>
  </si>
  <si>
    <t>Međuspratna konstrukcija je polumontažna armirano-betonska tavanica FERT visine h=16+4 cm.</t>
  </si>
  <si>
    <t>Krov je dvovodan sa ravnima okrenutim prema dužim stranama objekta, sa nagibom krovnih ravni 50°. Krovna konstrukcija je od rezane građe četinari II klase i oslanja se na tavansku konstrukciju objekta za koju je ankerovana.</t>
  </si>
  <si>
    <t>Pregledom vidljivih i pristupačnih delova konstrukcije nisu uočena sleganja, prsline i deformacije na nosećim elementima.</t>
  </si>
  <si>
    <t>Celokupna konstrukcija deluje stabilno i obzirom na period eksploatacije objekta, sveukupna konstrukcija i noseći sistem mogu se oceniti kao stabilni, pouzdani i zadovoljavajući.</t>
  </si>
  <si>
    <t>HIDROTEHNIČKE INSTALACIJE</t>
  </si>
  <si>
    <t>U objektu je izvedena kompletna instalacija vodovoda od čeličnih pocinkovanih cevi u zidu sa pripadajućim fitingom i ista je u potpuno funkcionalnom stanju. Sva točeća mesta opremljena su odgovarajućim slavinama i ventilima za zatvaranje. Instalacija je povezana i priključena na gradsku vodovodnu mrežu.</t>
  </si>
  <si>
    <t>Instalacija kanalizacije je izvedena od tvrdih PVC cevi položenih u podu i u zidovima i potpuno je u funkciji. Odvođenje otpadnih voda od objekta do kanalizacionog kolektora izvedeno je propisno preko priključne šahte sa polaganjem cevi u rov na potrebnoj dubini i u odgovarajućem nagibu. Kanalizaciona mreža je priključena na gradsku kanalizacionu mrežu.</t>
  </si>
  <si>
    <t>Po izjavi Investitora u dosadašnjoj eksploataciji objekta nisu registrovani kvarovi na instalacijama vodvoda i kanalizacionoj mreži i ove instalacije mogu se oceniti kao zadovoljavajuće.</t>
  </si>
  <si>
    <t>U objektu je izvedena električna instalacija osvetljenja i termičkih potrošača. Instalacije su u funkcionalnom stanju i povezane su na elektro mrežu.</t>
  </si>
  <si>
    <t>U objektu je izvedena elektroinstalacija do glavnog razvodnog ormana. U ormanu je ugrađeno električno brojilo i uklopni sat sa priključkom na gradsku elektroenergetsku mrežu.</t>
  </si>
  <si>
    <t>POPIS RADOVA ZA ZAVRŠETAK OBJEKTA</t>
  </si>
  <si>
    <t>Izraditi stepenište za silaz u podrum.</t>
  </si>
  <si>
    <t>Izrada podne obloge u podrumu (keramičke podne pločice ili po izboru investitora).</t>
  </si>
  <si>
    <t>Postavljanje ulaznih vrata za podrum, pošto podrum nema unutrašnju komunikaciju sa etažama.</t>
  </si>
  <si>
    <t>Postavljanje unutrašnjih stolarije u podrumu.</t>
  </si>
  <si>
    <t>Izrada fasade od termo-izolacijonog materijala po proračunu iz elaborata energetske efikasnosti.</t>
  </si>
  <si>
    <t>ZAKLJUČAK</t>
  </si>
  <si>
    <t>ELEKTROENERGETSKE INSTALACIJE</t>
  </si>
  <si>
    <t>PODRUM (Po)</t>
  </si>
  <si>
    <t>Redni broj</t>
  </si>
  <si>
    <t>Naziv prostorije</t>
  </si>
  <si>
    <t>Obrada zida</t>
  </si>
  <si>
    <t>Obrada poda</t>
  </si>
  <si>
    <t>Neto površina</t>
  </si>
  <si>
    <t>UKUPNA NETO POVRŠINA PODRUMA (Po):</t>
  </si>
  <si>
    <t>UKUPNA NETO POVRŠINA PODRUMA (Po) PO SRS-e:</t>
  </si>
  <si>
    <t>UKUPNA BRUTO POVRŠINA PODRUMA (Po):</t>
  </si>
  <si>
    <t>SUTEREN (Su)</t>
  </si>
  <si>
    <t>UKUPNA NETO POVRŠINA SURETENA (Su):</t>
  </si>
  <si>
    <t>UKUPNA NETO POVRŠINA SUTERENA (Su) PO SRS-e:</t>
  </si>
  <si>
    <t>UKUPNA BRUTO POVRŠINA SUTERENA (Su):</t>
  </si>
  <si>
    <t>PRIZEMLJE (Pr)</t>
  </si>
  <si>
    <t>UKUPNA NETO POVRŠINA PRIZEMLJA (Pr):</t>
  </si>
  <si>
    <t>UKUPNA NETO POVRŠINA PRIZEMLJA (Pr) PO SRS-e:</t>
  </si>
  <si>
    <t>UKUPNA BRUTO POVRŠINA PRIZEMLJA (Pr):</t>
  </si>
  <si>
    <t>PRVI SPRAT (1)</t>
  </si>
  <si>
    <t>UKUPNA NETO POVRŠINA PRVOG SPRATA (1):</t>
  </si>
  <si>
    <t>UKUPNA NETO POVRŠINA PRVOG SPRATA (1) PO SRS-e:</t>
  </si>
  <si>
    <t>UKUPNA BRUTO POVRŠINA PRVOG SPRATA (1):</t>
  </si>
  <si>
    <t>DRUGI SPRAT (2)</t>
  </si>
  <si>
    <t>UKUPNA NETO POVRŠINA DRUGOG SPRATA (2):</t>
  </si>
  <si>
    <t>UKUPNA NETO POVRŠINA DRUGOG SPRATA (2) PO SRS-e:</t>
  </si>
  <si>
    <t>UKUPNA BRUTO POVRŠINA DRUGOG SPRATA (2):</t>
  </si>
  <si>
    <t>TREĆI SPRAT (3)</t>
  </si>
  <si>
    <t>UKUPNA NETO POVRŠINA TREĆEG SPRATA (3):</t>
  </si>
  <si>
    <t>UKUPNA NETO POVRŠINA TREĆEG SPRATA (3) PO SRS-e:</t>
  </si>
  <si>
    <t>UKUPNA BRUTO POVRŠINA TREĆEG SPRATA (3):</t>
  </si>
  <si>
    <t>ČETVRTI SPRAT (4)</t>
  </si>
  <si>
    <t>UKUPNA NETO POVRŠINA ČETVRTOG SPRATA (4):</t>
  </si>
  <si>
    <t>UKUPNA NETO POVRŠINA ČETVRTOG SPRATA (4) PO SRS-e:</t>
  </si>
  <si>
    <t>UKUPNA BRUTO POVRŠINA ČETVRTOG SPRATA (4):</t>
  </si>
  <si>
    <t>PETI SPRAT (5)</t>
  </si>
  <si>
    <t>UKUPNA NETO POVRŠINA PETOG SPRATA (5):</t>
  </si>
  <si>
    <t>UKUPNA NETO POVRŠINA PETOG SPRATA (5) PO SRS-e:</t>
  </si>
  <si>
    <t>UKUPNA BRUTO POVRŠINA PETOG SPRATA (5):</t>
  </si>
  <si>
    <t>POTKROVLJE (Pk)</t>
  </si>
  <si>
    <t>UKUPNA NETO POVRŠINA POTKROVLJA (Pk):</t>
  </si>
  <si>
    <t>UKUPNA NETO POVRŠINA POTKROVLJA (Pk) PO SRS-e:</t>
  </si>
  <si>
    <t>UKUPNA BRUTO POVRŠINA POTKROVLJA (Pk):</t>
  </si>
  <si>
    <t>REKAPITULACIJA</t>
  </si>
  <si>
    <t>Naziv etaže</t>
  </si>
  <si>
    <t>Neto površina
po SRS-e</t>
  </si>
  <si>
    <t>Bruto površina</t>
  </si>
  <si>
    <t>Podrum (Po)</t>
  </si>
  <si>
    <t>Suteren (Su)</t>
  </si>
  <si>
    <t>Prizemlje (Pr)</t>
  </si>
  <si>
    <t>Prvi sprat (1)</t>
  </si>
  <si>
    <t>Drugi sprat (2)</t>
  </si>
  <si>
    <t>Treći sprat (3)</t>
  </si>
  <si>
    <t>Četvrti sprat (4)</t>
  </si>
  <si>
    <t>Peti sprat (5)</t>
  </si>
  <si>
    <t>Potkrovlje (Pk)</t>
  </si>
  <si>
    <t>UKUPNA NETO POVRŠINA OBJEKTA:</t>
  </si>
  <si>
    <t>UKUPNA NETO POVRŠINA OBJEKTA PO SRS-e:</t>
  </si>
  <si>
    <t>UKUPNA BRUTO POVRŠINA OBJEKTA:</t>
  </si>
  <si>
    <t>4.5.3. IZJAVA O STEPENU ZAVRŠENOSTI I UPOTREBLJIVOSTI OBJEKTA</t>
  </si>
  <si>
    <t>Izvedena stambena zgrada sa jednim stanom - porodična kuću, spratnosti Po+Pr+1, Petra Kočića 19, Jagodina 35000, k. p. br. 289/122 k. o. Jagodina je delimično arhitektonsko-građevinski završena. Nisu urađeni svi građevinski i završni radovi. Konstrukcija objekta je u dobrom stanju i obezbeđuje mu stabilnost i sigurnost.</t>
  </si>
  <si>
    <t>Izvedeni su svi instalaterski radovi za vodovod i kanalizaciju i priključeni na spoljnu mrežu. Ne mogu se uočiti nikakva oštećenja ili nepravilnosti u funkcionisanju instalacije. Instalacije su priključene na gradsku vodovodnu i kanalizacionu mrežu.</t>
  </si>
  <si>
    <t xml:space="preserve">Elektro radovi su u potpunosti urađeni. U objektu su razvedene sve elektroinstalacije i priključene na spoljnu mrežu. </t>
  </si>
  <si>
    <t>Na osnovu prethodno rečenog, kao i na osnovu analiza datih u projektnoj dokumentaciji, konstatovano je da je objekat podoban za upotrebu delom, odnosno korišćenje te se može izdati rešenje o ozakonjenju.</t>
  </si>
  <si>
    <t>4.6.2. TABELARNI PRIKAZ POVRŠINA</t>
  </si>
  <si>
    <t>Tabelarni prikaz visina</t>
  </si>
  <si>
    <t>4.6.2. TABELARNI PRIKAZ VISINA</t>
  </si>
  <si>
    <t>h</t>
  </si>
  <si>
    <t>Visina venca:</t>
  </si>
  <si>
    <t>Visina slemena:</t>
  </si>
  <si>
    <t>Odgovorno/a lice/a</t>
  </si>
  <si>
    <t>PODEŠAVANJA</t>
  </si>
  <si>
    <t>Pilot</t>
  </si>
  <si>
    <t>Naziv pilota</t>
  </si>
  <si>
    <t>(primer: Glavna sveska)</t>
  </si>
  <si>
    <t>Baza</t>
  </si>
  <si>
    <t>Informacije</t>
  </si>
  <si>
    <t>Putanja baze podataka (.accdb)</t>
  </si>
  <si>
    <t>PODACI</t>
  </si>
  <si>
    <t>Evidencija</t>
  </si>
  <si>
    <t>(primer: 23.11.2017)</t>
  </si>
  <si>
    <t>Evidencioni broj</t>
  </si>
  <si>
    <t>(primer: 23-1/11/2017)</t>
  </si>
  <si>
    <t>(primer: Ćuprija 35230)</t>
  </si>
  <si>
    <t>(primer: Vuk Stojanović, JMBG 1234567891234, Ćuprija 35230, Alekse Šantića 3)</t>
  </si>
  <si>
    <t>(primer: Vuk Stojanović)</t>
  </si>
  <si>
    <t>(primer: Stambena zgrada sa jednim stanom - porodična kuća, spratnosti Pr+2+Pk, Ćuprija 35230, Alekse Šantića 3, k. p. br. 100 k. o. Ćuprija)</t>
  </si>
  <si>
    <t>Objekat iz konteksta</t>
  </si>
  <si>
    <t>(primer: stambene zgrade sa jednim stanom - porodične kuće, spratnosti Pr+2+Pk, Ćuprija 35230, Alekse Šantića 3, k. p. br. 100 k. o. Ćuprija)</t>
  </si>
  <si>
    <t>Projektne organizacije</t>
  </si>
  <si>
    <t>(primer: Stoing (DOO), Ćuprija 35230, Alekse Šantića 3)</t>
  </si>
  <si>
    <t>(primer: Vesna Stojanović, Dipl. inž. građ.)</t>
  </si>
  <si>
    <t>Odgovorni projektanti</t>
  </si>
  <si>
    <t>(primer: Zoran Stojanović, Dipl. inž. građ. sa brojem licence 317 A335 04)</t>
  </si>
  <si>
    <t>Opšti podaci o objektu i lokaciji</t>
  </si>
  <si>
    <t>(primer: samo-stojeći objekat)</t>
  </si>
  <si>
    <t>(primer: A)</t>
  </si>
  <si>
    <t>(primer: Stambene zgrade sa jednim stanom sa klasifikacion oznakom 111011 i sa učešćem u ukupnoj površini od 100%)</t>
  </si>
  <si>
    <t>(primer: Generalni urbanistički plan opštine Ćuprija)</t>
  </si>
  <si>
    <t>(primer: k. p. br. 100 k. o. Ćuprija)</t>
  </si>
  <si>
    <t>Priključci na infrastrukturu</t>
  </si>
  <si>
    <t>(primer: Instalacije vodovoda se priključuju na postojeću vodovodnu mrežu.)</t>
  </si>
  <si>
    <t>(primer: Instalacije kanalizacije se priključuju na postojeću kanalizacionu mrežu.)</t>
  </si>
  <si>
    <t>(primer: Elektro instalacije se priključuju na postojeću elektro mrežu.)</t>
  </si>
  <si>
    <t>Dimenzije objekta</t>
  </si>
  <si>
    <r>
      <t>Ukupna površina parcele/parcela (m</t>
    </r>
    <r>
      <rPr>
        <sz val="10"/>
        <color theme="1" tint="0.249977111117893"/>
        <rFont val="Calibri"/>
        <family val="2"/>
        <charset val="238"/>
      </rPr>
      <t>²</t>
    </r>
    <r>
      <rPr>
        <sz val="10"/>
        <color theme="1" tint="0.249977111117893"/>
        <rFont val="Arial"/>
        <family val="2"/>
        <charset val="238"/>
      </rPr>
      <t>)</t>
    </r>
  </si>
  <si>
    <t>(primer: 1000)</t>
  </si>
  <si>
    <t>Ukupna BRGP nadzemno (m²)</t>
  </si>
  <si>
    <t>(primer: 100)</t>
  </si>
  <si>
    <t>Ukupna BRUTO izgrađena površina (m²)</t>
  </si>
  <si>
    <t>Ukupna NETO korisna površina (m²)</t>
  </si>
  <si>
    <t>(primer: 80)</t>
  </si>
  <si>
    <t>Bruto površina prizemlja (m²)</t>
  </si>
  <si>
    <t>Površina zemljišta pod objektom/zauzetost (m²)</t>
  </si>
  <si>
    <t>(primer: Po+Su+Pr+1+Pk)</t>
  </si>
  <si>
    <t>Visina venca (m)</t>
  </si>
  <si>
    <t>Visina slemena (m)</t>
  </si>
  <si>
    <t>(primer: 1)</t>
  </si>
  <si>
    <t>Materalizacija objekta</t>
  </si>
  <si>
    <t>Materalizacija fasade</t>
  </si>
  <si>
    <t>(primer: demit)</t>
  </si>
  <si>
    <t>(primer: sever - jug)</t>
  </si>
  <si>
    <t>Nagib krova (°)</t>
  </si>
  <si>
    <t>(primer: 30)</t>
  </si>
  <si>
    <t>Materalizacija krova</t>
  </si>
  <si>
    <t>(primer: crep)</t>
  </si>
  <si>
    <t>Ostali podaci o objektu</t>
  </si>
  <si>
    <t>Procenat zelenih površina (%)</t>
  </si>
  <si>
    <t>(formula)</t>
  </si>
  <si>
    <r>
      <t>Cena po jedinici mere (m</t>
    </r>
    <r>
      <rPr>
        <sz val="10"/>
        <color theme="1" tint="0.249977111117893"/>
        <rFont val="Calibri"/>
        <family val="2"/>
        <charset val="238"/>
      </rPr>
      <t>²)</t>
    </r>
  </si>
  <si>
    <t>(primer: 20000,00)</t>
  </si>
  <si>
    <t>PRILOZI</t>
  </si>
  <si>
    <t>Etaže</t>
  </si>
  <si>
    <t>Projektna organizacija</t>
  </si>
  <si>
    <t>Ozakonjenje</t>
  </si>
  <si>
    <t>Odgovorni projektant arhitekture</t>
  </si>
  <si>
    <t>1.0. Naslovna strana izveštaja zatečenog stanja</t>
  </si>
  <si>
    <t>2.0. Sadržaj izveštaja zatečenog stanja</t>
  </si>
  <si>
    <t>4.1. Naslovna strana snimka izvedenog stanja</t>
  </si>
  <si>
    <t>4.2. Sadržaj snimka izvedenog stanja</t>
  </si>
  <si>
    <t>4.3. Izjava odgovornog projektanta</t>
  </si>
  <si>
    <t>4.4. Izjava vlasnika nezakonito izgrađenog objekta</t>
  </si>
  <si>
    <t>4.5.0. Tekstualna dokumentacija</t>
  </si>
  <si>
    <t>4.5.1. Opšti podaci o objektu i lokaciji</t>
  </si>
  <si>
    <t>4.5.2. Tehnički izveštaj o stepenu završenosti i upotrebljivosti objekta</t>
  </si>
  <si>
    <t>4.6.0. Numerička dokumentacija</t>
  </si>
  <si>
    <t>4.6.1. Tabelarni prikaz visina</t>
  </si>
  <si>
    <t>4.6.2. Tabelarni prikaz površina</t>
  </si>
  <si>
    <t>4.7.0. Grafička dokumentacija</t>
  </si>
  <si>
    <t>Investitorova dokumentacija</t>
  </si>
  <si>
    <t>(primer: Kopija plana placa)</t>
  </si>
  <si>
    <t>Podrum (m²)</t>
  </si>
  <si>
    <t>(primer: 50,00)</t>
  </si>
  <si>
    <r>
      <t>Suteren (m</t>
    </r>
    <r>
      <rPr>
        <sz val="10"/>
        <color theme="1" tint="0.249977111117893"/>
        <rFont val="Calibri"/>
        <family val="2"/>
        <charset val="238"/>
      </rPr>
      <t>²</t>
    </r>
    <r>
      <rPr>
        <sz val="10"/>
        <color theme="1" tint="0.249977111117893"/>
        <rFont val="Arial"/>
        <family val="2"/>
        <charset val="238"/>
      </rPr>
      <t>)</t>
    </r>
  </si>
  <si>
    <r>
      <t>Prizemlje (m</t>
    </r>
    <r>
      <rPr>
        <sz val="10"/>
        <color theme="1" tint="0.249977111117893"/>
        <rFont val="Calibri"/>
        <family val="2"/>
        <charset val="238"/>
      </rPr>
      <t>²</t>
    </r>
    <r>
      <rPr>
        <sz val="10"/>
        <color theme="1" tint="0.249977111117893"/>
        <rFont val="Arial"/>
        <family val="2"/>
        <charset val="238"/>
      </rPr>
      <t>)</t>
    </r>
  </si>
  <si>
    <r>
      <t>Prvi sprat (m</t>
    </r>
    <r>
      <rPr>
        <sz val="10"/>
        <color theme="1" tint="0.249977111117893"/>
        <rFont val="Calibri"/>
        <family val="2"/>
        <charset val="238"/>
      </rPr>
      <t>²</t>
    </r>
    <r>
      <rPr>
        <sz val="10"/>
        <color theme="1" tint="0.249977111117893"/>
        <rFont val="Arial"/>
        <family val="2"/>
        <charset val="238"/>
      </rPr>
      <t>)</t>
    </r>
  </si>
  <si>
    <r>
      <t>Drugi sprat (m</t>
    </r>
    <r>
      <rPr>
        <sz val="10"/>
        <color theme="1" tint="0.249977111117893"/>
        <rFont val="Calibri"/>
        <family val="2"/>
        <charset val="238"/>
      </rPr>
      <t>²</t>
    </r>
    <r>
      <rPr>
        <sz val="10"/>
        <color theme="1" tint="0.249977111117893"/>
        <rFont val="Arial"/>
        <family val="2"/>
        <charset val="238"/>
      </rPr>
      <t>)</t>
    </r>
  </si>
  <si>
    <r>
      <t>Treći sprat (m</t>
    </r>
    <r>
      <rPr>
        <sz val="10"/>
        <color theme="1" tint="0.249977111117893"/>
        <rFont val="Calibri"/>
        <family val="2"/>
        <charset val="238"/>
      </rPr>
      <t>²</t>
    </r>
    <r>
      <rPr>
        <sz val="10"/>
        <color theme="1" tint="0.249977111117893"/>
        <rFont val="Arial"/>
        <family val="2"/>
        <charset val="238"/>
      </rPr>
      <t>)</t>
    </r>
  </si>
  <si>
    <r>
      <t>Četvrti sprat (m</t>
    </r>
    <r>
      <rPr>
        <sz val="10"/>
        <color theme="1" tint="0.249977111117893"/>
        <rFont val="Calibri"/>
        <family val="2"/>
        <charset val="238"/>
      </rPr>
      <t>²</t>
    </r>
    <r>
      <rPr>
        <sz val="10"/>
        <color theme="1" tint="0.249977111117893"/>
        <rFont val="Arial"/>
        <family val="2"/>
        <charset val="238"/>
      </rPr>
      <t>)</t>
    </r>
  </si>
  <si>
    <r>
      <t>Peti sprat (m</t>
    </r>
    <r>
      <rPr>
        <sz val="10"/>
        <color theme="1" tint="0.249977111117893"/>
        <rFont val="Calibri"/>
        <family val="2"/>
        <charset val="238"/>
      </rPr>
      <t>²</t>
    </r>
    <r>
      <rPr>
        <sz val="10"/>
        <color theme="1" tint="0.249977111117893"/>
        <rFont val="Arial"/>
        <family val="2"/>
        <charset val="238"/>
      </rPr>
      <t>)</t>
    </r>
  </si>
  <si>
    <r>
      <t>Potkrovlje (m</t>
    </r>
    <r>
      <rPr>
        <sz val="10"/>
        <color theme="1" tint="0.249977111117893"/>
        <rFont val="Calibri"/>
        <family val="2"/>
        <charset val="238"/>
      </rPr>
      <t>²</t>
    </r>
    <r>
      <rPr>
        <sz val="10"/>
        <color theme="1" tint="0.249977111117893"/>
        <rFont val="Arial"/>
        <family val="2"/>
        <charset val="238"/>
      </rPr>
      <t>)</t>
    </r>
  </si>
  <si>
    <r>
      <t>Potkrovlje (m</t>
    </r>
    <r>
      <rPr>
        <sz val="10"/>
        <color theme="1" tint="0.249977111117893"/>
        <rFont val="Arial"/>
        <family val="2"/>
        <charset val="238"/>
      </rPr>
      <t>)</t>
    </r>
  </si>
  <si>
    <t>(primer: 3,40)</t>
  </si>
  <si>
    <t>(primer: 4,60)</t>
  </si>
  <si>
    <t>Bruto površine etaža</t>
  </si>
  <si>
    <t>Visine objekta</t>
  </si>
  <si>
    <t>Priključi na infrastrukturu</t>
  </si>
  <si>
    <t>Investitor iz konteksta</t>
  </si>
  <si>
    <t>Odgovorno lice projektne organizacije</t>
  </si>
  <si>
    <t>4.5.3. Izjava o stepenu završenosti i upotrebljivosti objekta</t>
  </si>
  <si>
    <t>D:\Stoing (DOO)\Baze\Informacije\Informacije.accdb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</si>
</sst>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\ _R_S_D_-;\-* #,##0.00\ _R_S_D_-;_-* &quot;-&quot;??\ _R_S_D_-;_-@_-"/>
    <numFmt numFmtId="164" formatCode="#,##0.00\ &quot;RSD&quot;"/>
  </numFmts>
  <fonts count="38" x14ac:knownFonts="1">
    <font>
      <sz val="12"/>
      <color theme="1"/>
      <name val="Arial"/>
      <family val="2"/>
    </font>
    <font>
      <sz val="12"/>
      <color theme="1"/>
      <name val="Arial"/>
      <family val="2"/>
      <charset val="238"/>
    </font>
    <font>
      <sz val="12"/>
      <color theme="1"/>
      <name val="Arial"/>
      <family val="2"/>
      <charset val="238"/>
    </font>
    <font>
      <sz val="12"/>
      <color theme="1"/>
      <name val="Arial"/>
      <family val="2"/>
      <charset val="238"/>
    </font>
    <font>
      <b/>
      <sz val="10"/>
      <color theme="1" tint="0.249977111117893"/>
      <name val="Arial"/>
      <family val="2"/>
      <charset val="238"/>
    </font>
    <font>
      <sz val="12"/>
      <color theme="1"/>
      <name val="Arial"/>
      <family val="2"/>
    </font>
    <font>
      <b/>
      <sz val="12"/>
      <color theme="1"/>
      <name val="Arial"/>
      <family val="2"/>
      <charset val="238"/>
    </font>
    <font>
      <sz val="12"/>
      <color theme="0" tint="-0.249977111117893"/>
      <name val="Arial"/>
      <family val="2"/>
    </font>
    <font>
      <sz val="12"/>
      <color theme="5" tint="-0.249977111117893"/>
      <name val="Arial"/>
      <family val="2"/>
    </font>
    <font>
      <sz val="12"/>
      <name val="Arial"/>
      <family val="2"/>
    </font>
    <font>
      <i/>
      <sz val="8"/>
      <color rgb="FF808080"/>
      <name val="Arial"/>
      <family val="2"/>
      <charset val="238"/>
    </font>
    <font>
      <sz val="9"/>
      <color theme="1" tint="0.249977111117893"/>
      <name val="Forte"/>
      <family val="4"/>
    </font>
    <font>
      <b/>
      <sz val="12"/>
      <name val="Arial"/>
      <family val="2"/>
      <charset val="238"/>
    </font>
    <font>
      <sz val="12"/>
      <name val="Wingdings 2"/>
      <family val="1"/>
      <charset val="2"/>
    </font>
    <font>
      <sz val="10"/>
      <color theme="1" tint="0.249977111117893"/>
      <name val="Arial"/>
      <family val="2"/>
      <charset val="238"/>
    </font>
    <font>
      <sz val="58"/>
      <color theme="1"/>
      <name val="Brush Script MT"/>
      <family val="4"/>
    </font>
    <font>
      <i/>
      <sz val="10"/>
      <color rgb="FF808080"/>
      <name val="Arial"/>
      <family val="2"/>
      <charset val="238"/>
    </font>
    <font>
      <i/>
      <sz val="8"/>
      <color theme="1" tint="0.499984740745262"/>
      <name val="Arial"/>
      <family val="2"/>
      <charset val="238"/>
    </font>
    <font>
      <i/>
      <sz val="8"/>
      <color theme="1"/>
      <name val="Arial"/>
      <family val="2"/>
      <charset val="238"/>
    </font>
    <font>
      <i/>
      <sz val="8"/>
      <color theme="0" tint="-0.14996795556505021"/>
      <name val="Arial"/>
      <family val="2"/>
      <charset val="238"/>
    </font>
    <font>
      <sz val="8"/>
      <color theme="1" tint="0.499984740745262"/>
      <name val="Arial"/>
      <family val="2"/>
      <charset val="238"/>
    </font>
    <font>
      <sz val="12"/>
      <color theme="0" tint="-0.249977111117893"/>
      <name val="Arial"/>
      <family val="2"/>
      <charset val="238"/>
    </font>
    <font>
      <sz val="12"/>
      <color theme="5" tint="-0.249977111117893"/>
      <name val="Arial"/>
      <family val="2"/>
      <charset val="238"/>
    </font>
    <font>
      <sz val="12"/>
      <color theme="1"/>
      <name val="Arial"/>
    </font>
    <font>
      <sz val="12"/>
      <name val="Arial"/>
      <family val="2"/>
      <charset val="238"/>
    </font>
    <font>
      <sz val="12"/>
      <color theme="5" tint="-0.249977111117893"/>
      <name val="Arial"/>
    </font>
    <font>
      <b/>
      <u/>
      <sz val="11"/>
      <color theme="1" tint="0.249977111117893"/>
      <name val="Arial"/>
      <family val="2"/>
      <charset val="238"/>
    </font>
    <font>
      <sz val="10"/>
      <color theme="1"/>
      <name val="Arial"/>
      <family val="2"/>
      <charset val="238"/>
    </font>
    <font>
      <i/>
      <sz val="8"/>
      <color theme="1" tint="0.249977111117893"/>
      <name val="Arial"/>
      <family val="2"/>
      <charset val="238"/>
    </font>
    <font>
      <sz val="10"/>
      <name val="Arial"/>
      <family val="2"/>
      <charset val="238"/>
    </font>
    <font>
      <sz val="10"/>
      <color theme="1" tint="0.249977111117893"/>
      <name val="Calibri"/>
      <family val="2"/>
      <charset val="238"/>
    </font>
    <font>
      <u/>
      <sz val="10"/>
      <color theme="1" tint="0.249977111117893"/>
      <name val="Arial"/>
      <family val="2"/>
      <charset val="238"/>
    </font>
    <font>
      <b/>
      <u/>
      <sz val="10"/>
      <color theme="1" tint="0.249977111117893"/>
      <name val="Arial"/>
      <family val="2"/>
      <charset val="238"/>
    </font>
    <font>
      <sz val="9"/>
      <color theme="0" tint="-0.249977111117893"/>
      <name val="Forte"/>
      <family val="4"/>
    </font>
    <font>
      <u/>
      <sz val="12"/>
      <color theme="10"/>
      <name val="Arial"/>
      <family val="2"/>
    </font>
    <font>
      <sz val="10"/>
      <color rgb="FF404040"/>
      <name val="Arial"/>
      <family val="2"/>
    </font>
    <font>
      <sz val="12"/>
      <color theme="1"/>
      <name val="Wingdings 2"/>
      <family val="1"/>
      <charset val="2"/>
    </font>
    <font>
      <sz val="12"/>
      <color theme="1" tint="0.249977111117893"/>
      <name val="Wingdings 2"/>
      <family val="1"/>
      <charset val="2"/>
    </font>
  </fonts>
  <fills count="7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499984740745262"/>
        <bgColor indexed="64"/>
      </patternFill>
    </fill>
  </fills>
  <borders count="33">
    <border>
      <left/>
      <right/>
      <top/>
      <bottom/>
      <diagonal/>
    </border>
    <border>
      <left/>
      <right/>
      <top/>
      <bottom style="thick">
        <color theme="0" tint="-4.9989318521683403E-2"/>
      </bottom>
      <diagonal/>
    </border>
    <border>
      <left/>
      <right/>
      <top style="thin">
        <color rgb="FF808080"/>
      </top>
      <bottom/>
      <diagonal/>
    </border>
    <border>
      <left/>
      <right/>
      <top/>
      <bottom style="thin">
        <color rgb="FF808080"/>
      </bottom>
      <diagonal/>
    </border>
    <border>
      <left/>
      <right/>
      <top/>
      <bottom style="thin">
        <color theme="1" tint="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1" tint="0.499984740745262"/>
      </right>
      <top/>
      <bottom/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medium">
        <color theme="0" tint="-0.499984740745262"/>
      </left>
      <right/>
      <top style="medium">
        <color theme="0" tint="-0.499984740745262"/>
      </top>
      <bottom/>
      <diagonal/>
    </border>
    <border>
      <left/>
      <right/>
      <top style="medium">
        <color theme="0" tint="-0.499984740745262"/>
      </top>
      <bottom/>
      <diagonal/>
    </border>
    <border>
      <left/>
      <right style="medium">
        <color theme="0" tint="-0.499984740745262"/>
      </right>
      <top style="medium">
        <color theme="0" tint="-0.499984740745262"/>
      </top>
      <bottom/>
      <diagonal/>
    </border>
    <border>
      <left style="medium">
        <color theme="0" tint="-0.499984740745262"/>
      </left>
      <right/>
      <top/>
      <bottom/>
      <diagonal/>
    </border>
    <border>
      <left/>
      <right style="medium">
        <color theme="0" tint="-0.499984740745262"/>
      </right>
      <top/>
      <bottom/>
      <diagonal/>
    </border>
    <border>
      <left/>
      <right style="medium">
        <color theme="1" tint="0.499984740745262"/>
      </right>
      <top/>
      <bottom/>
      <diagonal/>
    </border>
    <border>
      <left style="medium">
        <color theme="0" tint="-0.499984740745262"/>
      </left>
      <right/>
      <top/>
      <bottom style="medium">
        <color theme="1" tint="0.499984740745262"/>
      </bottom>
      <diagonal/>
    </border>
    <border>
      <left/>
      <right/>
      <top/>
      <bottom style="medium">
        <color theme="1" tint="0.499984740745262"/>
      </bottom>
      <diagonal/>
    </border>
    <border>
      <left/>
      <right style="medium">
        <color theme="0" tint="-0.499984740745262"/>
      </right>
      <top/>
      <bottom style="medium">
        <color theme="1" tint="0.499984740745262"/>
      </bottom>
      <diagonal/>
    </border>
    <border>
      <left style="medium">
        <color theme="0" tint="-0.499984740745262"/>
      </left>
      <right/>
      <top/>
      <bottom style="medium">
        <color theme="0" tint="-0.499984740745262"/>
      </bottom>
      <diagonal/>
    </border>
    <border>
      <left/>
      <right/>
      <top/>
      <bottom style="medium">
        <color theme="0" tint="-0.499984740745262"/>
      </bottom>
      <diagonal/>
    </border>
    <border>
      <left/>
      <right style="medium">
        <color theme="0" tint="-0.499984740745262"/>
      </right>
      <top/>
      <bottom style="medium">
        <color theme="0" tint="-0.499984740745262"/>
      </bottom>
      <diagonal/>
    </border>
    <border>
      <left style="medium">
        <color theme="1" tint="0.499984740745262"/>
      </left>
      <right/>
      <top/>
      <bottom style="medium">
        <color theme="1" tint="0.499984740745262"/>
      </bottom>
      <diagonal/>
    </border>
    <border>
      <left/>
      <right style="medium">
        <color theme="1" tint="0.499984740745262"/>
      </right>
      <top/>
      <bottom style="medium">
        <color theme="1" tint="0.499984740745262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1" tint="0.499984740745262"/>
      </right>
      <top/>
      <bottom style="thin">
        <color theme="0" tint="-0.499984740745262"/>
      </bottom>
      <diagonal/>
    </border>
    <border>
      <left/>
      <right style="medium">
        <color theme="0" tint="-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medium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medium">
        <color theme="1" tint="0.499984740745262"/>
      </right>
      <top style="medium">
        <color theme="0" tint="-0.499984740745262"/>
      </top>
      <bottom/>
      <diagonal/>
    </border>
    <border>
      <left style="medium">
        <color theme="1" tint="0.499984740745262"/>
      </left>
      <right/>
      <top/>
      <bottom/>
      <diagonal/>
    </border>
    <border>
      <left/>
      <right/>
      <top/>
      <bottom style="medium">
        <color theme="0" tint="-4.9989318521683403E-2"/>
      </bottom>
      <diagonal/>
    </border>
    <border>
      <left/>
      <right/>
      <top style="thin">
        <color theme="1" tint="0.499984740745262"/>
      </top>
      <bottom/>
      <diagonal/>
    </border>
  </borders>
  <cellStyleXfs count="7">
    <xf numFmtId="0" fontId="0" fillId="0" borderId="0"/>
    <xf numFmtId="0" fontId="3" fillId="0" borderId="0"/>
    <xf numFmtId="0" fontId="5" fillId="0" borderId="0"/>
    <xf numFmtId="0" fontId="3" fillId="0" borderId="0"/>
    <xf numFmtId="0" fontId="2" fillId="0" borderId="0"/>
    <xf numFmtId="43" fontId="5" fillId="0" borderId="0" applyFont="0" applyFill="0" applyBorder="0" applyAlignment="0" applyProtection="0"/>
    <xf numFmtId="0" fontId="34" fillId="0" borderId="0" applyNumberFormat="0" applyFill="0" applyBorder="0" applyAlignment="0" applyProtection="0"/>
  </cellStyleXfs>
  <cellXfs count="212">
    <xf numFmtId="0" fontId="0" fillId="0" borderId="0" xfId="0"/>
    <xf numFmtId="0" fontId="5" fillId="2" borderId="1" xfId="2" applyFill="1" applyBorder="1"/>
    <xf numFmtId="0" fontId="5" fillId="0" borderId="0" xfId="2"/>
    <xf numFmtId="0" fontId="5" fillId="3" borderId="0" xfId="2" applyFont="1" applyFill="1" applyAlignment="1">
      <alignment horizontal="justify"/>
    </xf>
    <xf numFmtId="0" fontId="5" fillId="4" borderId="0" xfId="2" applyFont="1" applyFill="1" applyAlignment="1">
      <alignment horizontal="justify"/>
    </xf>
    <xf numFmtId="0" fontId="5" fillId="5" borderId="0" xfId="2" applyFont="1" applyFill="1" applyAlignment="1">
      <alignment horizontal="justify"/>
    </xf>
    <xf numFmtId="0" fontId="5" fillId="0" borderId="0" xfId="2" applyFont="1" applyAlignment="1">
      <alignment horizontal="justify"/>
    </xf>
    <xf numFmtId="0" fontId="6" fillId="0" borderId="0" xfId="2" applyFont="1" applyAlignment="1">
      <alignment horizontal="center"/>
    </xf>
    <xf numFmtId="0" fontId="9" fillId="0" borderId="2" xfId="2" applyFont="1" applyBorder="1" applyAlignment="1">
      <alignment horizontal="justify" wrapText="1"/>
    </xf>
    <xf numFmtId="0" fontId="5" fillId="0" borderId="0" xfId="2" applyAlignment="1">
      <alignment horizontal="justify"/>
    </xf>
    <xf numFmtId="0" fontId="10" fillId="0" borderId="0" xfId="2" applyFont="1" applyAlignment="1">
      <alignment horizontal="left" vertical="top"/>
    </xf>
    <xf numFmtId="0" fontId="9" fillId="0" borderId="0" xfId="2" applyFont="1" applyAlignment="1">
      <alignment horizontal="justify" wrapText="1"/>
    </xf>
    <xf numFmtId="0" fontId="9" fillId="0" borderId="0" xfId="2" applyFont="1" applyAlignment="1">
      <alignment horizontal="justify"/>
    </xf>
    <xf numFmtId="0" fontId="10" fillId="0" borderId="3" xfId="2" applyFont="1" applyBorder="1" applyAlignment="1">
      <alignment horizontal="left" vertical="top"/>
    </xf>
    <xf numFmtId="0" fontId="5" fillId="2" borderId="0" xfId="2" applyFont="1" applyFill="1" applyAlignment="1">
      <alignment horizontal="justify"/>
    </xf>
    <xf numFmtId="0" fontId="0" fillId="5" borderId="0" xfId="2" applyFont="1" applyFill="1" applyAlignment="1">
      <alignment horizontal="justify"/>
    </xf>
    <xf numFmtId="0" fontId="10" fillId="0" borderId="4" xfId="2" applyFont="1" applyBorder="1" applyAlignment="1">
      <alignment horizontal="left" vertical="top"/>
    </xf>
    <xf numFmtId="0" fontId="0" fillId="0" borderId="0" xfId="2" applyFont="1" applyAlignment="1">
      <alignment horizontal="justify"/>
    </xf>
    <xf numFmtId="0" fontId="9" fillId="2" borderId="1" xfId="2" applyFont="1" applyFill="1" applyBorder="1"/>
    <xf numFmtId="0" fontId="9" fillId="0" borderId="0" xfId="2" applyFont="1"/>
    <xf numFmtId="0" fontId="3" fillId="0" borderId="0" xfId="1" applyFont="1" applyFill="1" applyAlignment="1">
      <alignment horizontal="justify"/>
    </xf>
    <xf numFmtId="0" fontId="3" fillId="0" borderId="0" xfId="1" applyFont="1" applyAlignment="1">
      <alignment horizontal="justify"/>
    </xf>
    <xf numFmtId="0" fontId="6" fillId="0" borderId="0" xfId="1" applyFont="1" applyAlignment="1">
      <alignment horizontal="justify"/>
    </xf>
    <xf numFmtId="0" fontId="3" fillId="4" borderId="0" xfId="1" applyFill="1"/>
    <xf numFmtId="0" fontId="9" fillId="2" borderId="0" xfId="2" applyFont="1" applyFill="1"/>
    <xf numFmtId="0" fontId="12" fillId="0" borderId="0" xfId="2" applyFont="1" applyAlignment="1">
      <alignment horizontal="center"/>
    </xf>
    <xf numFmtId="0" fontId="6" fillId="0" borderId="0" xfId="2" applyFont="1" applyAlignment="1">
      <alignment horizontal="center" wrapText="1"/>
    </xf>
    <xf numFmtId="0" fontId="5" fillId="0" borderId="2" xfId="2" applyFont="1" applyBorder="1" applyAlignment="1">
      <alignment horizontal="justify"/>
    </xf>
    <xf numFmtId="0" fontId="8" fillId="4" borderId="0" xfId="1" applyFont="1" applyFill="1" applyBorder="1" applyAlignment="1">
      <alignment horizontal="center" vertical="top"/>
    </xf>
    <xf numFmtId="0" fontId="13" fillId="4" borderId="0" xfId="2" applyFont="1" applyFill="1" applyAlignment="1">
      <alignment horizontal="center" vertical="center"/>
    </xf>
    <xf numFmtId="0" fontId="9" fillId="0" borderId="2" xfId="2" applyFont="1" applyBorder="1" applyAlignment="1">
      <alignment horizontal="justify"/>
    </xf>
    <xf numFmtId="0" fontId="14" fillId="0" borderId="0" xfId="3" applyFont="1" applyAlignment="1">
      <alignment horizontal="right" vertical="center"/>
    </xf>
    <xf numFmtId="0" fontId="16" fillId="0" borderId="0" xfId="2" applyFont="1" applyAlignment="1">
      <alignment horizontal="right" vertical="center"/>
    </xf>
    <xf numFmtId="0" fontId="10" fillId="0" borderId="5" xfId="2" applyFont="1" applyBorder="1" applyAlignment="1">
      <alignment horizontal="left" vertical="top"/>
    </xf>
    <xf numFmtId="0" fontId="10" fillId="0" borderId="0" xfId="2" applyFont="1" applyBorder="1" applyAlignment="1">
      <alignment horizontal="left" vertical="top"/>
    </xf>
    <xf numFmtId="0" fontId="14" fillId="0" borderId="0" xfId="4" applyFont="1" applyAlignment="1">
      <alignment horizontal="right" vertical="center"/>
    </xf>
    <xf numFmtId="0" fontId="0" fillId="4" borderId="0" xfId="0" applyFill="1"/>
    <xf numFmtId="0" fontId="9" fillId="0" borderId="0" xfId="0" applyFont="1"/>
    <xf numFmtId="0" fontId="0" fillId="5" borderId="0" xfId="0" applyFont="1" applyFill="1" applyAlignment="1">
      <alignment horizontal="justify"/>
    </xf>
    <xf numFmtId="0" fontId="0" fillId="0" borderId="0" xfId="0" applyFont="1" applyFill="1" applyAlignment="1">
      <alignment horizontal="justify"/>
    </xf>
    <xf numFmtId="0" fontId="6" fillId="0" borderId="0" xfId="0" applyFont="1" applyFill="1" applyAlignment="1">
      <alignment horizontal="center" wrapText="1"/>
    </xf>
    <xf numFmtId="0" fontId="6" fillId="0" borderId="0" xfId="0" applyFont="1" applyFill="1" applyAlignment="1">
      <alignment horizontal="justify"/>
    </xf>
    <xf numFmtId="0" fontId="0" fillId="0" borderId="4" xfId="0" applyBorder="1" applyAlignment="1">
      <alignment horizontal="justify"/>
    </xf>
    <xf numFmtId="0" fontId="0" fillId="0" borderId="0" xfId="0" applyFont="1" applyAlignment="1">
      <alignment horizontal="justify"/>
    </xf>
    <xf numFmtId="0" fontId="10" fillId="0" borderId="3" xfId="0" applyFont="1" applyBorder="1" applyAlignment="1">
      <alignment horizontal="left" vertical="top"/>
    </xf>
    <xf numFmtId="0" fontId="0" fillId="0" borderId="0" xfId="0" applyAlignment="1">
      <alignment horizontal="justify"/>
    </xf>
    <xf numFmtId="0" fontId="9" fillId="2" borderId="1" xfId="0" applyFont="1" applyFill="1" applyBorder="1"/>
    <xf numFmtId="0" fontId="0" fillId="2" borderId="0" xfId="0" applyFont="1" applyFill="1" applyAlignment="1">
      <alignment horizontal="justify"/>
    </xf>
    <xf numFmtId="0" fontId="0" fillId="3" borderId="0" xfId="0" applyFont="1" applyFill="1" applyAlignment="1">
      <alignment horizontal="justify"/>
    </xf>
    <xf numFmtId="0" fontId="0" fillId="4" borderId="0" xfId="0" applyFont="1" applyFill="1" applyAlignment="1">
      <alignment horizontal="justify"/>
    </xf>
    <xf numFmtId="0" fontId="0" fillId="2" borderId="0" xfId="0" applyFill="1"/>
    <xf numFmtId="0" fontId="9" fillId="0" borderId="0" xfId="4" applyFont="1"/>
    <xf numFmtId="0" fontId="2" fillId="3" borderId="0" xfId="4" applyFont="1" applyFill="1" applyAlignment="1">
      <alignment horizontal="justify"/>
    </xf>
    <xf numFmtId="0" fontId="2" fillId="3" borderId="0" xfId="4" applyFill="1"/>
    <xf numFmtId="0" fontId="2" fillId="5" borderId="0" xfId="4" applyFont="1" applyFill="1" applyAlignment="1">
      <alignment horizontal="justify"/>
    </xf>
    <xf numFmtId="0" fontId="2" fillId="4" borderId="0" xfId="4" applyFont="1" applyFill="1" applyAlignment="1">
      <alignment horizontal="justify"/>
    </xf>
    <xf numFmtId="0" fontId="2" fillId="4" borderId="0" xfId="4" applyFill="1"/>
    <xf numFmtId="0" fontId="2" fillId="0" borderId="0" xfId="4" applyFont="1" applyAlignment="1">
      <alignment horizontal="justify"/>
    </xf>
    <xf numFmtId="0" fontId="17" fillId="0" borderId="6" xfId="4" applyFont="1" applyBorder="1" applyAlignment="1">
      <alignment horizontal="center" vertical="center" wrapText="1"/>
    </xf>
    <xf numFmtId="0" fontId="18" fillId="0" borderId="0" xfId="4" applyFont="1" applyBorder="1" applyAlignment="1">
      <alignment horizontal="left" vertical="center" wrapText="1"/>
    </xf>
    <xf numFmtId="0" fontId="18" fillId="0" borderId="0" xfId="4" applyFont="1" applyBorder="1" applyAlignment="1">
      <alignment horizontal="left" vertical="center"/>
    </xf>
    <xf numFmtId="0" fontId="18" fillId="0" borderId="0" xfId="4" applyFont="1" applyBorder="1" applyAlignment="1">
      <alignment horizontal="right" vertical="center"/>
    </xf>
    <xf numFmtId="0" fontId="17" fillId="0" borderId="0" xfId="4" applyFont="1" applyBorder="1" applyAlignment="1">
      <alignment horizontal="center" vertical="center"/>
    </xf>
    <xf numFmtId="0" fontId="2" fillId="0" borderId="0" xfId="4" applyFont="1" applyBorder="1" applyAlignment="1">
      <alignment horizontal="justify"/>
    </xf>
    <xf numFmtId="4" fontId="2" fillId="0" borderId="0" xfId="4" applyNumberFormat="1" applyFont="1" applyBorder="1" applyAlignment="1">
      <alignment horizontal="right"/>
    </xf>
    <xf numFmtId="0" fontId="17" fillId="4" borderId="0" xfId="4" applyFont="1" applyFill="1" applyBorder="1" applyAlignment="1">
      <alignment horizontal="center"/>
    </xf>
    <xf numFmtId="0" fontId="11" fillId="4" borderId="0" xfId="4" applyFont="1" applyFill="1" applyAlignment="1">
      <alignment horizontal="center" vertical="top"/>
    </xf>
    <xf numFmtId="0" fontId="9" fillId="4" borderId="0" xfId="4" applyFont="1" applyFill="1"/>
    <xf numFmtId="0" fontId="6" fillId="0" borderId="0" xfId="4" applyFont="1" applyAlignment="1">
      <alignment horizontal="right"/>
    </xf>
    <xf numFmtId="4" fontId="6" fillId="0" borderId="0" xfId="4" applyNumberFormat="1" applyFont="1" applyAlignment="1">
      <alignment horizontal="right"/>
    </xf>
    <xf numFmtId="0" fontId="2" fillId="0" borderId="0" xfId="4"/>
    <xf numFmtId="0" fontId="2" fillId="2" borderId="0" xfId="4" applyFont="1" applyFill="1" applyAlignment="1">
      <alignment horizontal="justify"/>
    </xf>
    <xf numFmtId="0" fontId="20" fillId="4" borderId="0" xfId="4" applyFont="1" applyFill="1" applyBorder="1" applyAlignment="1">
      <alignment horizontal="center"/>
    </xf>
    <xf numFmtId="0" fontId="5" fillId="3" borderId="0" xfId="2" applyFill="1"/>
    <xf numFmtId="0" fontId="5" fillId="4" borderId="0" xfId="2" applyFill="1"/>
    <xf numFmtId="0" fontId="19" fillId="6" borderId="8" xfId="2" applyFont="1" applyFill="1" applyBorder="1" applyAlignment="1">
      <alignment horizontal="left" vertical="center"/>
    </xf>
    <xf numFmtId="0" fontId="19" fillId="6" borderId="9" xfId="2" applyFont="1" applyFill="1" applyBorder="1" applyAlignment="1">
      <alignment horizontal="right" vertical="center"/>
    </xf>
    <xf numFmtId="0" fontId="19" fillId="6" borderId="9" xfId="2" applyFont="1" applyFill="1" applyBorder="1" applyAlignment="1">
      <alignment horizontal="right" vertical="center" wrapText="1"/>
    </xf>
    <xf numFmtId="0" fontId="19" fillId="6" borderId="10" xfId="2" applyFont="1" applyFill="1" applyBorder="1" applyAlignment="1">
      <alignment horizontal="right" vertical="center"/>
    </xf>
    <xf numFmtId="0" fontId="9" fillId="0" borderId="9" xfId="2" applyFont="1" applyFill="1" applyBorder="1" applyAlignment="1">
      <alignment horizontal="justify"/>
    </xf>
    <xf numFmtId="4" fontId="9" fillId="0" borderId="9" xfId="2" applyNumberFormat="1" applyFont="1" applyFill="1" applyBorder="1" applyAlignment="1">
      <alignment horizontal="right"/>
    </xf>
    <xf numFmtId="0" fontId="9" fillId="0" borderId="7" xfId="2" applyFont="1" applyFill="1" applyBorder="1" applyAlignment="1">
      <alignment horizontal="justify"/>
    </xf>
    <xf numFmtId="4" fontId="9" fillId="0" borderId="7" xfId="2" applyNumberFormat="1" applyFont="1" applyFill="1" applyBorder="1" applyAlignment="1">
      <alignment horizontal="right"/>
    </xf>
    <xf numFmtId="0" fontId="6" fillId="0" borderId="0" xfId="2" applyFont="1" applyAlignment="1">
      <alignment horizontal="right"/>
    </xf>
    <xf numFmtId="4" fontId="6" fillId="0" borderId="0" xfId="2" applyNumberFormat="1" applyFont="1" applyAlignment="1">
      <alignment horizontal="right"/>
    </xf>
    <xf numFmtId="0" fontId="5" fillId="0" borderId="4" xfId="2" applyFont="1" applyBorder="1" applyAlignment="1">
      <alignment horizontal="justify"/>
    </xf>
    <xf numFmtId="0" fontId="6" fillId="0" borderId="4" xfId="2" applyFont="1" applyBorder="1" applyAlignment="1">
      <alignment horizontal="right"/>
    </xf>
    <xf numFmtId="4" fontId="6" fillId="0" borderId="4" xfId="2" applyNumberFormat="1" applyFont="1" applyBorder="1" applyAlignment="1">
      <alignment horizontal="right"/>
    </xf>
    <xf numFmtId="0" fontId="8" fillId="4" borderId="0" xfId="4" applyFont="1" applyFill="1" applyBorder="1" applyAlignment="1">
      <alignment horizontal="center"/>
    </xf>
    <xf numFmtId="0" fontId="14" fillId="0" borderId="0" xfId="2" applyFont="1" applyAlignment="1">
      <alignment horizontal="right" vertical="center"/>
    </xf>
    <xf numFmtId="0" fontId="6" fillId="0" borderId="0" xfId="0" applyFont="1" applyFill="1" applyAlignment="1">
      <alignment horizontal="center"/>
    </xf>
    <xf numFmtId="0" fontId="10" fillId="0" borderId="3" xfId="0" applyFont="1" applyBorder="1" applyAlignment="1">
      <alignment horizontal="justify"/>
    </xf>
    <xf numFmtId="0" fontId="2" fillId="0" borderId="0" xfId="1" applyFont="1" applyAlignment="1">
      <alignment horizontal="justify"/>
    </xf>
    <xf numFmtId="0" fontId="0" fillId="3" borderId="0" xfId="0" applyFill="1"/>
    <xf numFmtId="0" fontId="6" fillId="0" borderId="0" xfId="0" applyNumberFormat="1" applyFont="1" applyFill="1" applyBorder="1" applyAlignment="1" applyProtection="1">
      <alignment horizontal="justify"/>
    </xf>
    <xf numFmtId="0" fontId="22" fillId="4" borderId="0" xfId="4" applyFont="1" applyFill="1" applyAlignment="1">
      <alignment horizontal="center"/>
    </xf>
    <xf numFmtId="0" fontId="5" fillId="0" borderId="0" xfId="2" applyFont="1" applyAlignment="1">
      <alignment horizontal="justify"/>
    </xf>
    <xf numFmtId="0" fontId="24" fillId="0" borderId="0" xfId="1" applyFont="1" applyAlignment="1">
      <alignment horizontal="justify"/>
    </xf>
    <xf numFmtId="0" fontId="12" fillId="0" borderId="0" xfId="2" applyFont="1" applyAlignment="1">
      <alignment horizontal="center" vertical="justify"/>
    </xf>
    <xf numFmtId="4" fontId="9" fillId="0" borderId="2" xfId="5" applyNumberFormat="1" applyFont="1" applyBorder="1" applyAlignment="1">
      <alignment horizontal="justify"/>
    </xf>
    <xf numFmtId="4" fontId="9" fillId="0" borderId="0" xfId="2" applyNumberFormat="1" applyFont="1" applyBorder="1" applyAlignment="1">
      <alignment horizontal="justify"/>
    </xf>
    <xf numFmtId="4" fontId="9" fillId="0" borderId="0" xfId="2" applyNumberFormat="1" applyFont="1" applyAlignment="1">
      <alignment horizontal="justify"/>
    </xf>
    <xf numFmtId="0" fontId="25" fillId="4" borderId="0" xfId="1" applyFont="1" applyFill="1" applyAlignment="1">
      <alignment horizontal="center"/>
    </xf>
    <xf numFmtId="0" fontId="23" fillId="0" borderId="0" xfId="0" applyNumberFormat="1" applyFont="1" applyFill="1" applyBorder="1" applyAlignment="1" applyProtection="1">
      <alignment horizontal="justify"/>
    </xf>
    <xf numFmtId="0" fontId="5" fillId="3" borderId="0" xfId="2" applyFill="1" applyProtection="1"/>
    <xf numFmtId="0" fontId="2" fillId="3" borderId="0" xfId="4" applyFill="1" applyProtection="1"/>
    <xf numFmtId="0" fontId="5" fillId="0" borderId="0" xfId="2" applyProtection="1"/>
    <xf numFmtId="0" fontId="26" fillId="0" borderId="0" xfId="4" applyFont="1" applyBorder="1" applyAlignment="1" applyProtection="1">
      <alignment horizontal="center" vertical="center"/>
    </xf>
    <xf numFmtId="0" fontId="2" fillId="4" borderId="0" xfId="4" applyFill="1" applyProtection="1"/>
    <xf numFmtId="0" fontId="4" fillId="0" borderId="0" xfId="2" applyFont="1" applyAlignment="1" applyProtection="1">
      <alignment horizontal="left" vertical="center"/>
    </xf>
    <xf numFmtId="0" fontId="2" fillId="0" borderId="0" xfId="4" applyProtection="1"/>
    <xf numFmtId="0" fontId="5" fillId="0" borderId="11" xfId="2" applyBorder="1" applyProtection="1"/>
    <xf numFmtId="0" fontId="2" fillId="0" borderId="12" xfId="4" applyBorder="1" applyProtection="1"/>
    <xf numFmtId="0" fontId="5" fillId="0" borderId="13" xfId="2" applyBorder="1" applyProtection="1"/>
    <xf numFmtId="0" fontId="5" fillId="0" borderId="14" xfId="2" applyBorder="1" applyProtection="1"/>
    <xf numFmtId="0" fontId="14" fillId="0" borderId="0" xfId="4" applyFont="1" applyBorder="1" applyAlignment="1" applyProtection="1">
      <alignment horizontal="left" vertical="center"/>
    </xf>
    <xf numFmtId="0" fontId="5" fillId="0" borderId="15" xfId="2" applyBorder="1" applyProtection="1"/>
    <xf numFmtId="0" fontId="5" fillId="0" borderId="16" xfId="2" applyBorder="1" applyProtection="1"/>
    <xf numFmtId="0" fontId="8" fillId="0" borderId="0" xfId="4" applyFont="1" applyFill="1" applyBorder="1" applyAlignment="1" applyProtection="1">
      <alignment horizontal="center"/>
    </xf>
    <xf numFmtId="0" fontId="27" fillId="0" borderId="5" xfId="4" applyNumberFormat="1" applyFont="1" applyBorder="1" applyAlignment="1" applyProtection="1">
      <alignment horizontal="justify"/>
    </xf>
    <xf numFmtId="0" fontId="8" fillId="0" borderId="15" xfId="4" applyFont="1" applyFill="1" applyBorder="1" applyAlignment="1" applyProtection="1">
      <alignment horizontal="center"/>
    </xf>
    <xf numFmtId="0" fontId="28" fillId="0" borderId="0" xfId="4" applyFont="1" applyBorder="1" applyAlignment="1" applyProtection="1">
      <alignment horizontal="left" vertical="top"/>
    </xf>
    <xf numFmtId="0" fontId="5" fillId="0" borderId="17" xfId="2" applyBorder="1" applyProtection="1"/>
    <xf numFmtId="0" fontId="2" fillId="0" borderId="18" xfId="4" applyBorder="1" applyProtection="1"/>
    <xf numFmtId="0" fontId="5" fillId="0" borderId="19" xfId="2" applyBorder="1" applyProtection="1"/>
    <xf numFmtId="0" fontId="4" fillId="3" borderId="0" xfId="2" applyFont="1" applyFill="1" applyAlignment="1" applyProtection="1">
      <alignment horizontal="left" vertical="center"/>
    </xf>
    <xf numFmtId="0" fontId="27" fillId="0" borderId="5" xfId="4" applyNumberFormat="1" applyFont="1" applyBorder="1" applyAlignment="1" applyProtection="1">
      <alignment horizontal="justify"/>
      <protection locked="0"/>
    </xf>
    <xf numFmtId="0" fontId="5" fillId="0" borderId="0" xfId="2" applyBorder="1" applyProtection="1"/>
    <xf numFmtId="0" fontId="2" fillId="0" borderId="0" xfId="4" applyBorder="1" applyProtection="1"/>
    <xf numFmtId="14" fontId="29" fillId="0" borderId="5" xfId="4" applyNumberFormat="1" applyFont="1" applyBorder="1" applyAlignment="1" applyProtection="1">
      <alignment horizontal="justify"/>
      <protection locked="0"/>
    </xf>
    <xf numFmtId="0" fontId="28" fillId="0" borderId="0" xfId="4" applyFont="1" applyBorder="1" applyAlignment="1" applyProtection="1">
      <alignment horizontal="justify" vertical="top"/>
    </xf>
    <xf numFmtId="0" fontId="5" fillId="0" borderId="20" xfId="2" applyBorder="1" applyProtection="1"/>
    <xf numFmtId="0" fontId="2" fillId="0" borderId="21" xfId="4" applyBorder="1" applyProtection="1"/>
    <xf numFmtId="0" fontId="5" fillId="0" borderId="22" xfId="2" applyBorder="1" applyProtection="1"/>
    <xf numFmtId="0" fontId="27" fillId="0" borderId="5" xfId="4" applyFont="1" applyBorder="1" applyAlignment="1" applyProtection="1">
      <alignment horizontal="justify"/>
      <protection locked="0"/>
    </xf>
    <xf numFmtId="0" fontId="2" fillId="0" borderId="16" xfId="4" applyBorder="1" applyProtection="1"/>
    <xf numFmtId="0" fontId="5" fillId="0" borderId="23" xfId="2" applyBorder="1" applyProtection="1"/>
    <xf numFmtId="0" fontId="5" fillId="0" borderId="24" xfId="2" applyBorder="1" applyProtection="1"/>
    <xf numFmtId="0" fontId="5" fillId="0" borderId="12" xfId="2" applyBorder="1" applyProtection="1"/>
    <xf numFmtId="0" fontId="5" fillId="0" borderId="21" xfId="2" applyBorder="1" applyProtection="1"/>
    <xf numFmtId="4" fontId="27" fillId="0" borderId="5" xfId="4" applyNumberFormat="1" applyFont="1" applyBorder="1" applyAlignment="1" applyProtection="1">
      <alignment horizontal="justify"/>
      <protection locked="0"/>
    </xf>
    <xf numFmtId="0" fontId="14" fillId="0" borderId="0" xfId="4" applyFont="1" applyBorder="1" applyAlignment="1" applyProtection="1">
      <alignment horizontal="justify"/>
    </xf>
    <xf numFmtId="1" fontId="27" fillId="0" borderId="5" xfId="4" applyNumberFormat="1" applyFont="1" applyBorder="1" applyAlignment="1" applyProtection="1">
      <alignment horizontal="justify"/>
      <protection locked="0"/>
    </xf>
    <xf numFmtId="4" fontId="27" fillId="0" borderId="5" xfId="4" applyNumberFormat="1" applyFont="1" applyBorder="1" applyAlignment="1" applyProtection="1">
      <alignment horizontal="justify"/>
    </xf>
    <xf numFmtId="164" fontId="27" fillId="0" borderId="5" xfId="4" applyNumberFormat="1" applyFont="1" applyBorder="1" applyAlignment="1" applyProtection="1">
      <alignment horizontal="justify"/>
      <protection locked="0"/>
    </xf>
    <xf numFmtId="0" fontId="5" fillId="4" borderId="0" xfId="2" applyFill="1" applyProtection="1"/>
    <xf numFmtId="0" fontId="5" fillId="2" borderId="0" xfId="2" applyFill="1" applyProtection="1"/>
    <xf numFmtId="0" fontId="5" fillId="3" borderId="0" xfId="2" applyFill="1" applyBorder="1" applyProtection="1"/>
    <xf numFmtId="0" fontId="0" fillId="3" borderId="0" xfId="0" applyFill="1" applyBorder="1" applyProtection="1"/>
    <xf numFmtId="0" fontId="14" fillId="3" borderId="0" xfId="2" applyFont="1" applyFill="1" applyAlignment="1" applyProtection="1">
      <alignment horizontal="left" vertical="center"/>
    </xf>
    <xf numFmtId="0" fontId="0" fillId="3" borderId="0" xfId="0" applyFill="1" applyProtection="1"/>
    <xf numFmtId="0" fontId="14" fillId="3" borderId="0" xfId="2" applyFont="1" applyFill="1" applyAlignment="1" applyProtection="1">
      <alignment horizontal="left" vertical="center" indent="1"/>
    </xf>
    <xf numFmtId="0" fontId="31" fillId="3" borderId="0" xfId="2" applyFont="1" applyFill="1" applyAlignment="1" applyProtection="1">
      <alignment horizontal="left" vertical="center"/>
    </xf>
    <xf numFmtId="0" fontId="14" fillId="3" borderId="0" xfId="2" applyFont="1" applyFill="1" applyAlignment="1" applyProtection="1">
      <alignment horizontal="left" vertical="center" indent="2"/>
    </xf>
    <xf numFmtId="1" fontId="14" fillId="3" borderId="25" xfId="0" applyNumberFormat="1" applyFont="1" applyFill="1" applyBorder="1" applyAlignment="1" applyProtection="1">
      <alignment horizontal="center" vertical="center"/>
      <protection locked="0"/>
    </xf>
    <xf numFmtId="0" fontId="0" fillId="0" borderId="0" xfId="2" applyFont="1" applyProtection="1"/>
    <xf numFmtId="0" fontId="5" fillId="0" borderId="27" xfId="2" applyBorder="1" applyProtection="1"/>
    <xf numFmtId="1" fontId="29" fillId="0" borderId="28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Protection="1"/>
    <xf numFmtId="0" fontId="0" fillId="4" borderId="0" xfId="0" applyFill="1" applyProtection="1"/>
    <xf numFmtId="0" fontId="0" fillId="0" borderId="12" xfId="0" applyBorder="1" applyProtection="1"/>
    <xf numFmtId="0" fontId="14" fillId="0" borderId="0" xfId="0" applyFont="1" applyBorder="1" applyAlignment="1" applyProtection="1">
      <alignment horizontal="left" vertical="center"/>
    </xf>
    <xf numFmtId="0" fontId="8" fillId="0" borderId="0" xfId="0" applyFont="1" applyFill="1" applyBorder="1" applyAlignment="1" applyProtection="1">
      <alignment horizontal="center"/>
    </xf>
    <xf numFmtId="0" fontId="28" fillId="0" borderId="0" xfId="0" applyFont="1" applyBorder="1" applyAlignment="1" applyProtection="1">
      <alignment horizontal="justify" vertical="top"/>
    </xf>
    <xf numFmtId="0" fontId="5" fillId="0" borderId="29" xfId="2" applyBorder="1" applyProtection="1"/>
    <xf numFmtId="0" fontId="32" fillId="0" borderId="0" xfId="0" applyFont="1" applyBorder="1" applyAlignment="1" applyProtection="1">
      <alignment horizontal="left" vertical="center"/>
    </xf>
    <xf numFmtId="0" fontId="0" fillId="0" borderId="0" xfId="0" applyBorder="1" applyProtection="1"/>
    <xf numFmtId="4" fontId="27" fillId="0" borderId="5" xfId="0" applyNumberFormat="1" applyFont="1" applyBorder="1" applyAlignment="1" applyProtection="1">
      <alignment horizontal="justify"/>
      <protection locked="0"/>
    </xf>
    <xf numFmtId="0" fontId="5" fillId="0" borderId="30" xfId="2" applyBorder="1" applyProtection="1"/>
    <xf numFmtId="0" fontId="28" fillId="0" borderId="0" xfId="0" applyFont="1" applyFill="1" applyBorder="1" applyAlignment="1" applyProtection="1">
      <alignment horizontal="justify" vertical="top"/>
    </xf>
    <xf numFmtId="0" fontId="28" fillId="0" borderId="18" xfId="0" applyFont="1" applyBorder="1" applyAlignment="1" applyProtection="1">
      <alignment horizontal="justify" vertical="top"/>
    </xf>
    <xf numFmtId="0" fontId="2" fillId="4" borderId="0" xfId="4" applyFill="1" applyBorder="1" applyProtection="1"/>
    <xf numFmtId="0" fontId="5" fillId="2" borderId="31" xfId="2" applyFill="1" applyBorder="1" applyProtection="1"/>
    <xf numFmtId="0" fontId="27" fillId="0" borderId="26" xfId="4" applyFont="1" applyBorder="1" applyAlignment="1" applyProtection="1">
      <alignment horizontal="justify"/>
    </xf>
    <xf numFmtId="0" fontId="9" fillId="3" borderId="0" xfId="2" applyFont="1" applyFill="1" applyProtection="1"/>
    <xf numFmtId="0" fontId="5" fillId="0" borderId="32" xfId="2" applyFont="1" applyBorder="1" applyAlignment="1">
      <alignment horizontal="justify"/>
    </xf>
    <xf numFmtId="0" fontId="33" fillId="4" borderId="0" xfId="1" applyFont="1" applyFill="1" applyAlignment="1">
      <alignment horizontal="center" vertical="top"/>
    </xf>
    <xf numFmtId="0" fontId="33" fillId="4" borderId="0" xfId="0" applyNumberFormat="1" applyFont="1" applyFill="1" applyBorder="1" applyAlignment="1" applyProtection="1">
      <alignment horizontal="center" vertical="center"/>
    </xf>
    <xf numFmtId="0" fontId="33" fillId="5" borderId="0" xfId="0" applyNumberFormat="1" applyFont="1" applyFill="1" applyBorder="1" applyAlignment="1" applyProtection="1">
      <alignment horizontal="center" vertical="center"/>
    </xf>
    <xf numFmtId="0" fontId="35" fillId="4" borderId="0" xfId="6" applyNumberFormat="1" applyFont="1" applyFill="1" applyBorder="1" applyAlignment="1" applyProtection="1">
      <alignment horizontal="center"/>
    </xf>
    <xf numFmtId="0" fontId="1" fillId="0" borderId="0" xfId="4" applyFont="1" applyBorder="1" applyAlignment="1">
      <alignment horizontal="justify"/>
    </xf>
    <xf numFmtId="4" fontId="1" fillId="0" borderId="0" xfId="4" applyNumberFormat="1" applyFont="1" applyBorder="1" applyAlignment="1">
      <alignment horizontal="right"/>
    </xf>
    <xf numFmtId="0" fontId="35" fillId="4" borderId="0" xfId="6" applyFont="1" applyFill="1" applyBorder="1" applyAlignment="1">
      <alignment horizontal="center" vertical="top"/>
    </xf>
    <xf numFmtId="0" fontId="9" fillId="0" borderId="0" xfId="0" applyFont="1" applyFill="1" applyAlignment="1">
      <alignment horizontal="justify"/>
    </xf>
    <xf numFmtId="0" fontId="37" fillId="3" borderId="0" xfId="0" applyFont="1" applyFill="1" applyAlignment="1" applyProtection="1">
      <alignment horizontal="center" vertical="top"/>
    </xf>
    <xf numFmtId="0" fontId="36" fillId="3" borderId="0" xfId="0" applyFont="1" applyFill="1" applyAlignment="1" applyProtection="1">
      <alignment horizontal="center" vertical="top"/>
    </xf>
    <xf numFmtId="0" fontId="0" fillId="0" borderId="16" xfId="0" applyBorder="1" applyProtection="1"/>
    <xf numFmtId="0" fontId="0" fillId="0" borderId="24" xfId="0" applyBorder="1" applyProtection="1"/>
    <xf numFmtId="0" fontId="27" fillId="0" borderId="5" xfId="4" applyFont="1" applyBorder="1" applyAlignment="1" applyProtection="1">
      <alignment horizontal="justify" wrapText="1"/>
      <protection locked="0"/>
    </xf>
    <xf numFmtId="0" fontId="1" fillId="0" borderId="0" xfId="4" applyNumberFormat="1" applyFont="1" applyBorder="1" applyAlignment="1">
      <alignment horizontal="left"/>
    </xf>
    <xf numFmtId="0" fontId="1" fillId="0" borderId="0" xfId="4" applyNumberFormat="1" applyFont="1" applyFill="1" applyAlignment="1">
      <alignment horizontal="left"/>
    </xf>
    <xf numFmtId="0" fontId="23" fillId="0" borderId="0" xfId="4" applyNumberFormat="1" applyFont="1" applyBorder="1" applyAlignment="1">
      <alignment horizontal="left"/>
    </xf>
    <xf numFmtId="0" fontId="23" fillId="0" borderId="0" xfId="4" applyFont="1" applyBorder="1" applyAlignment="1">
      <alignment horizontal="justify"/>
    </xf>
    <xf numFmtId="0" fontId="23" fillId="0" borderId="0" xfId="4" applyFont="1" applyFill="1" applyAlignment="1">
      <alignment horizontal="justify"/>
    </xf>
    <xf numFmtId="4" fontId="23" fillId="0" borderId="0" xfId="4" applyNumberFormat="1" applyFont="1" applyBorder="1" applyAlignment="1">
      <alignment horizontal="right"/>
    </xf>
    <xf numFmtId="0" fontId="1" fillId="0" borderId="0" xfId="4" applyFont="1" applyFill="1" applyAlignment="1">
      <alignment horizontal="justify"/>
    </xf>
    <xf numFmtId="0" fontId="7" fillId="2" borderId="1" xfId="1" applyFont="1" applyFill="1" applyBorder="1" applyAlignment="1">
      <alignment horizontal="left" vertical="center"/>
    </xf>
    <xf numFmtId="0" fontId="7" fillId="2" borderId="1" xfId="2" applyFont="1" applyFill="1" applyBorder="1" applyAlignment="1">
      <alignment horizontal="left" vertical="center"/>
    </xf>
    <xf numFmtId="0" fontId="12" fillId="0" borderId="0" xfId="1" applyFont="1" applyAlignment="1">
      <alignment horizontal="center" vertical="justify"/>
    </xf>
    <xf numFmtId="0" fontId="6" fillId="0" borderId="0" xfId="1" applyFont="1" applyAlignment="1">
      <alignment horizontal="center"/>
    </xf>
    <xf numFmtId="0" fontId="15" fillId="0" borderId="0" xfId="2" applyFont="1" applyAlignment="1">
      <alignment horizontal="center" vertical="center" wrapText="1"/>
    </xf>
    <xf numFmtId="0" fontId="15" fillId="0" borderId="0" xfId="2" applyFont="1" applyAlignment="1">
      <alignment horizontal="center" vertical="center"/>
    </xf>
    <xf numFmtId="0" fontId="17" fillId="0" borderId="4" xfId="2" applyFont="1" applyBorder="1" applyAlignment="1">
      <alignment horizontal="left" vertical="top"/>
    </xf>
    <xf numFmtId="0" fontId="21" fillId="2" borderId="1" xfId="2" applyFont="1" applyFill="1" applyBorder="1" applyAlignment="1">
      <alignment horizontal="left" vertical="center"/>
    </xf>
    <xf numFmtId="0" fontId="6" fillId="0" borderId="0" xfId="2" applyFont="1" applyAlignment="1">
      <alignment horizontal="center"/>
    </xf>
    <xf numFmtId="0" fontId="5" fillId="0" borderId="0" xfId="2" applyFont="1" applyAlignment="1">
      <alignment horizontal="justify"/>
    </xf>
    <xf numFmtId="0" fontId="17" fillId="0" borderId="0" xfId="2" applyFont="1" applyBorder="1" applyAlignment="1">
      <alignment horizontal="left" vertical="top"/>
    </xf>
    <xf numFmtId="0" fontId="5" fillId="0" borderId="0" xfId="2" applyFont="1" applyAlignment="1">
      <alignment horizontal="left"/>
    </xf>
    <xf numFmtId="0" fontId="7" fillId="2" borderId="1" xfId="4" applyFont="1" applyFill="1" applyBorder="1" applyAlignment="1">
      <alignment horizontal="left" vertical="center"/>
    </xf>
    <xf numFmtId="0" fontId="6" fillId="0" borderId="0" xfId="4" applyFont="1" applyAlignment="1">
      <alignment horizontal="center"/>
    </xf>
    <xf numFmtId="0" fontId="6" fillId="0" borderId="0" xfId="4" applyFont="1" applyAlignment="1">
      <alignment horizontal="left"/>
    </xf>
    <xf numFmtId="0" fontId="6" fillId="0" borderId="0" xfId="2" applyFont="1" applyAlignment="1">
      <alignment horizontal="left"/>
    </xf>
  </cellXfs>
  <cellStyles count="7">
    <cellStyle name="Comma" xfId="5" builtinId="3"/>
    <cellStyle name="Hyperlink" xfId="6" builtinId="8"/>
    <cellStyle name="Normal" xfId="0" builtinId="0"/>
    <cellStyle name="Normal 2" xfId="1"/>
    <cellStyle name="Normal 2 2" xfId="2"/>
    <cellStyle name="Normal 3" xfId="3"/>
    <cellStyle name="Normal 3 2" xfId="4"/>
  </cellStyles>
  <dxfs count="80">
    <dxf>
      <font>
        <b val="0"/>
        <i val="0"/>
        <strike val="0"/>
        <outline val="0"/>
        <shadow val="0"/>
        <u val="none"/>
        <vertAlign val="baseline"/>
        <sz val="10"/>
        <color rgb="FF404040"/>
        <name val="Arial"/>
        <scheme val="none"/>
      </font>
      <fill>
        <patternFill patternType="solid">
          <fgColor indexed="64"/>
          <bgColor theme="0" tint="-0.249977111117893"/>
        </patternFill>
      </fill>
      <alignment horizontal="center" vertical="top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name val="Arial"/>
        <scheme val="none"/>
      </font>
      <numFmt numFmtId="0" formatCode="General"/>
      <alignment horizontal="lef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5" tint="-0.249977111117893"/>
        <name val="Arial"/>
        <scheme val="none"/>
      </font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name val="Arial"/>
        <scheme val="none"/>
      </font>
    </dxf>
    <dxf>
      <font>
        <i/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ont>
        <i val="0"/>
      </font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0" formatCode="General"/>
      <alignment horizontal="left" vertical="bottom" textRotation="0" wrapText="0" indent="0" justifyLastLine="0" shrinkToFit="0" readingOrder="0"/>
    </dxf>
    <dxf>
      <font>
        <i val="0"/>
        <color theme="5" tint="-0.249977111117893"/>
      </font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</dxf>
    <dxf>
      <font>
        <i val="0"/>
      </font>
    </dxf>
    <dxf>
      <font>
        <i/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ont>
        <i val="0"/>
      </font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0" formatCode="General"/>
      <alignment horizontal="left" vertical="bottom" textRotation="0" wrapText="0" indent="0" justifyLastLine="0" shrinkToFit="0" readingOrder="0"/>
    </dxf>
    <dxf>
      <font>
        <i val="0"/>
        <color theme="5" tint="-0.249977111117893"/>
      </font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0" formatCode="General"/>
      <alignment horizontal="left" vertical="bottom" textRotation="0" wrapText="0" indent="0" justifyLastLine="0" shrinkToFit="0" readingOrder="0"/>
    </dxf>
    <dxf>
      <font>
        <color theme="5" tint="-0.249977111117893"/>
      </font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0" formatCode="General"/>
      <alignment horizontal="left" vertical="bottom" textRotation="0" wrapText="0" indent="0" justifyLastLine="0" shrinkToFit="0" readingOrder="0"/>
    </dxf>
    <dxf>
      <font>
        <color theme="5" tint="-0.249977111117893"/>
      </font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0" formatCode="General"/>
      <alignment horizontal="left" vertical="bottom" textRotation="0" wrapText="0" indent="0" justifyLastLine="0" shrinkToFit="0" readingOrder="0"/>
    </dxf>
    <dxf>
      <font>
        <color theme="5" tint="-0.249977111117893"/>
      </font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rgb="FF404040"/>
        <name val="Arial"/>
        <scheme val="none"/>
      </font>
      <fill>
        <patternFill patternType="solid">
          <fgColor indexed="64"/>
          <bgColor theme="0" tint="-0.249977111117893"/>
        </patternFill>
      </fill>
      <alignment horizontal="center" vertical="top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0" formatCode="General"/>
      <alignment horizontal="left" vertical="bottom" textRotation="0" wrapText="0" indent="0" justifyLastLine="0" shrinkToFit="0" readingOrder="0"/>
    </dxf>
    <dxf>
      <font>
        <color theme="5" tint="-0.249977111117893"/>
      </font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0" formatCode="General"/>
      <alignment horizontal="left" vertical="bottom" textRotation="0" wrapText="0" indent="0" justifyLastLine="0" shrinkToFit="0" readingOrder="0"/>
    </dxf>
    <dxf>
      <font>
        <color theme="5" tint="-0.249977111117893"/>
      </font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rgb="FF404040"/>
        <name val="Arial"/>
        <scheme val="none"/>
      </font>
      <fill>
        <patternFill patternType="solid">
          <fgColor indexed="64"/>
          <bgColor theme="0" tint="-0.249977111117893"/>
        </patternFill>
      </fill>
      <alignment horizontal="center" vertical="top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alignment horizontal="justify" vertical="bottom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2"/>
        <color theme="1"/>
        <name val="Arial"/>
        <scheme val="none"/>
      </font>
      <numFmt numFmtId="0" formatCode="General"/>
      <alignment horizontal="left" vertical="bottom" textRotation="0" wrapText="0" indent="0" justifyLastLine="0" shrinkToFit="0" readingOrder="0"/>
    </dxf>
    <dxf>
      <font>
        <color theme="5" tint="-0.249977111117893"/>
      </font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8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rgb="FF404040"/>
        <name val="Arial"/>
        <scheme val="none"/>
      </font>
      <numFmt numFmtId="0" formatCode="General"/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justify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justify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5" tint="-0.249977111117893"/>
        <name val="Arial"/>
        <scheme val="none"/>
      </font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</dxf>
    <dxf>
      <font>
        <b val="0"/>
        <i val="0"/>
        <color theme="0" tint="-0.14996795556505021"/>
      </font>
      <fill>
        <patternFill>
          <bgColor theme="0" tint="-0.499984740745262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ont>
        <color auto="1"/>
      </font>
      <fill>
        <patternFill patternType="none">
          <bgColor auto="1"/>
        </patternFill>
      </fill>
      <border>
        <left/>
        <right/>
        <top/>
        <bottom style="thin">
          <color theme="0" tint="-0.499984740745262"/>
        </bottom>
        <vertical/>
        <horizontal style="thin">
          <color theme="0" tint="-0.499984740745262"/>
        </horizontal>
      </border>
    </dxf>
  </dxfs>
  <tableStyles count="2" defaultTableStyle="TableStyleMedium9" defaultPivotStyle="PivotStyleLight16">
    <tableStyle name="Mehanizam2" pivot="0" count="2">
      <tableStyleElement type="wholeTable" dxfId="79"/>
      <tableStyleElement type="headerRow" dxfId="78"/>
    </tableStyle>
    <tableStyle name="Pilot1" pivot="0" count="0"/>
  </tableStyles>
  <colors>
    <mruColors>
      <color rgb="FF9C0006"/>
      <color rgb="FF9C6500"/>
      <color rgb="FFC0C0C0"/>
      <color rgb="FF0061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#PutanjaBaze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7" Type="http://schemas.openxmlformats.org/officeDocument/2006/relationships/hyperlink" Target="#'10'!A2"/><Relationship Id="rId2" Type="http://schemas.openxmlformats.org/officeDocument/2006/relationships/hyperlink" Target="#Datum"/><Relationship Id="rId1" Type="http://schemas.openxmlformats.org/officeDocument/2006/relationships/hyperlink" Target="#PutanjaBaze"/><Relationship Id="rId6" Type="http://schemas.openxmlformats.org/officeDocument/2006/relationships/image" Target="../media/image8.sv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utanjaBaze"/><Relationship Id="rId1" Type="http://schemas.openxmlformats.org/officeDocument/2006/relationships/hyperlink" Target="#'20'!A2"/><Relationship Id="rId6" Type="http://schemas.openxmlformats.org/officeDocument/2006/relationships/image" Target="../media/image8.svg"/><Relationship Id="rId4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utanjaBaze"/><Relationship Id="rId1" Type="http://schemas.openxmlformats.org/officeDocument/2006/relationships/hyperlink" Target="#'41'!A2"/><Relationship Id="rId6" Type="http://schemas.openxmlformats.org/officeDocument/2006/relationships/image" Target="../media/image8.svg"/><Relationship Id="rId4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utanjaBaze"/><Relationship Id="rId1" Type="http://schemas.openxmlformats.org/officeDocument/2006/relationships/hyperlink" Target="#'42'!A2"/><Relationship Id="rId6" Type="http://schemas.openxmlformats.org/officeDocument/2006/relationships/image" Target="../media/image80.svg"/><Relationship Id="rId4" Type="http://schemas.openxmlformats.org/officeDocument/2006/relationships/image" Target="../media/image5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utanjaBaze"/><Relationship Id="rId1" Type="http://schemas.openxmlformats.org/officeDocument/2006/relationships/hyperlink" Target="#'43'!A2"/><Relationship Id="rId6" Type="http://schemas.openxmlformats.org/officeDocument/2006/relationships/image" Target="../media/image8.svg"/><Relationship Id="rId4" Type="http://schemas.openxmlformats.org/officeDocument/2006/relationships/image" Target="../media/image5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utanjaBaze"/><Relationship Id="rId1" Type="http://schemas.openxmlformats.org/officeDocument/2006/relationships/hyperlink" Target="#'44'!A2"/><Relationship Id="rId6" Type="http://schemas.openxmlformats.org/officeDocument/2006/relationships/image" Target="../media/image8.svg"/><Relationship Id="rId4" Type="http://schemas.openxmlformats.org/officeDocument/2006/relationships/image" Target="../media/image5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utanjaBaze"/><Relationship Id="rId1" Type="http://schemas.openxmlformats.org/officeDocument/2006/relationships/hyperlink" Target="#'450'!A2"/><Relationship Id="rId6" Type="http://schemas.openxmlformats.org/officeDocument/2006/relationships/image" Target="../media/image8.svg"/><Relationship Id="rId4" Type="http://schemas.openxmlformats.org/officeDocument/2006/relationships/image" Target="../media/image5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utanjaBaze"/><Relationship Id="rId1" Type="http://schemas.openxmlformats.org/officeDocument/2006/relationships/hyperlink" Target="#'451'!A2"/><Relationship Id="rId6" Type="http://schemas.openxmlformats.org/officeDocument/2006/relationships/image" Target="../media/image8.svg"/><Relationship Id="rId4" Type="http://schemas.openxmlformats.org/officeDocument/2006/relationships/image" Target="../media/image5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utanjaBaze"/><Relationship Id="rId1" Type="http://schemas.openxmlformats.org/officeDocument/2006/relationships/hyperlink" Target="#'452'!A2"/><Relationship Id="rId6" Type="http://schemas.openxmlformats.org/officeDocument/2006/relationships/image" Target="../media/image8.svg"/><Relationship Id="rId4" Type="http://schemas.openxmlformats.org/officeDocument/2006/relationships/image" Target="../media/image5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utanjaBaze"/><Relationship Id="rId1" Type="http://schemas.openxmlformats.org/officeDocument/2006/relationships/hyperlink" Target="#'453'!A2"/><Relationship Id="rId6" Type="http://schemas.openxmlformats.org/officeDocument/2006/relationships/image" Target="../media/image8.svg"/><Relationship Id="rId4" Type="http://schemas.openxmlformats.org/officeDocument/2006/relationships/image" Target="../media/image5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utanjaBaze"/><Relationship Id="rId1" Type="http://schemas.openxmlformats.org/officeDocument/2006/relationships/hyperlink" Target="#'460'!A2"/><Relationship Id="rId6" Type="http://schemas.openxmlformats.org/officeDocument/2006/relationships/image" Target="../media/image8.svg"/><Relationship Id="rId4" Type="http://schemas.openxmlformats.org/officeDocument/2006/relationships/image" Target="../media/image5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utanjaBaze"/><Relationship Id="rId1" Type="http://schemas.openxmlformats.org/officeDocument/2006/relationships/hyperlink" Target="#'461'!A2"/><Relationship Id="rId6" Type="http://schemas.openxmlformats.org/officeDocument/2006/relationships/image" Target="../media/image8.svg"/><Relationship Id="rId4" Type="http://schemas.openxmlformats.org/officeDocument/2006/relationships/image" Target="../media/image5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utanjaBaze"/><Relationship Id="rId1" Type="http://schemas.openxmlformats.org/officeDocument/2006/relationships/hyperlink" Target="#Po!A2"/><Relationship Id="rId6" Type="http://schemas.openxmlformats.org/officeDocument/2006/relationships/image" Target="../media/image80.svg"/><Relationship Id="rId4" Type="http://schemas.openxmlformats.org/officeDocument/2006/relationships/image" Target="../media/image5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utanjaBaze"/><Relationship Id="rId1" Type="http://schemas.openxmlformats.org/officeDocument/2006/relationships/hyperlink" Target="#Su!A2"/><Relationship Id="rId6" Type="http://schemas.openxmlformats.org/officeDocument/2006/relationships/image" Target="../media/image80.svg"/><Relationship Id="rId4" Type="http://schemas.openxmlformats.org/officeDocument/2006/relationships/image" Target="../media/image5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utanjaBaze"/><Relationship Id="rId1" Type="http://schemas.openxmlformats.org/officeDocument/2006/relationships/hyperlink" Target="#Pr!A2"/><Relationship Id="rId6" Type="http://schemas.openxmlformats.org/officeDocument/2006/relationships/image" Target="../media/image80.svg"/><Relationship Id="rId4" Type="http://schemas.openxmlformats.org/officeDocument/2006/relationships/image" Target="../media/image5.pn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utanjaBaze"/><Relationship Id="rId1" Type="http://schemas.openxmlformats.org/officeDocument/2006/relationships/hyperlink" Target="#'S1'!A2"/><Relationship Id="rId6" Type="http://schemas.openxmlformats.org/officeDocument/2006/relationships/image" Target="../media/image80.svg"/><Relationship Id="rId4" Type="http://schemas.openxmlformats.org/officeDocument/2006/relationships/image" Target="../media/image5.png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utanjaBaze"/><Relationship Id="rId1" Type="http://schemas.openxmlformats.org/officeDocument/2006/relationships/hyperlink" Target="#'S2'!A2"/><Relationship Id="rId6" Type="http://schemas.openxmlformats.org/officeDocument/2006/relationships/image" Target="../media/image80.svg"/><Relationship Id="rId4" Type="http://schemas.openxmlformats.org/officeDocument/2006/relationships/image" Target="../media/image5.pn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utanjaBaze"/><Relationship Id="rId1" Type="http://schemas.openxmlformats.org/officeDocument/2006/relationships/hyperlink" Target="#'S3'!A2"/><Relationship Id="rId6" Type="http://schemas.openxmlformats.org/officeDocument/2006/relationships/image" Target="../media/image80.svg"/><Relationship Id="rId4" Type="http://schemas.openxmlformats.org/officeDocument/2006/relationships/image" Target="../media/image5.png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utanjaBaze"/><Relationship Id="rId1" Type="http://schemas.openxmlformats.org/officeDocument/2006/relationships/hyperlink" Target="#'S4'!A2"/><Relationship Id="rId6" Type="http://schemas.openxmlformats.org/officeDocument/2006/relationships/image" Target="../media/image80.svg"/><Relationship Id="rId4" Type="http://schemas.openxmlformats.org/officeDocument/2006/relationships/image" Target="../media/image5.pn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utanjaBaze"/><Relationship Id="rId1" Type="http://schemas.openxmlformats.org/officeDocument/2006/relationships/hyperlink" Target="#'S5'!A2"/><Relationship Id="rId6" Type="http://schemas.openxmlformats.org/officeDocument/2006/relationships/image" Target="../media/image80.svg"/><Relationship Id="rId4" Type="http://schemas.openxmlformats.org/officeDocument/2006/relationships/image" Target="../media/image5.png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utanjaBaze"/><Relationship Id="rId1" Type="http://schemas.openxmlformats.org/officeDocument/2006/relationships/hyperlink" Target="#Pk!A2"/><Relationship Id="rId6" Type="http://schemas.openxmlformats.org/officeDocument/2006/relationships/image" Target="../media/image80.svg"/><Relationship Id="rId4" Type="http://schemas.openxmlformats.org/officeDocument/2006/relationships/image" Target="../media/image5.png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utanjaBaze"/><Relationship Id="rId1" Type="http://schemas.openxmlformats.org/officeDocument/2006/relationships/hyperlink" Target="#Rekapitulacija!A2"/><Relationship Id="rId6" Type="http://schemas.openxmlformats.org/officeDocument/2006/relationships/image" Target="../media/image8.svg"/><Relationship Id="rId4" Type="http://schemas.openxmlformats.org/officeDocument/2006/relationships/image" Target="../media/image5.png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hyperlink" Target="#Datum"/><Relationship Id="rId2" Type="http://schemas.openxmlformats.org/officeDocument/2006/relationships/hyperlink" Target="#PutanjaBaze"/><Relationship Id="rId1" Type="http://schemas.openxmlformats.org/officeDocument/2006/relationships/hyperlink" Target="#'470'!A2"/><Relationship Id="rId6" Type="http://schemas.openxmlformats.org/officeDocument/2006/relationships/image" Target="../media/image8.svg"/><Relationship Id="rId4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vmlDrawing12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vmlDrawing13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vmlDrawing14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vmlDrawing15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vmlDrawing16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vmlDrawing17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vmlDrawing18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vmlDrawing19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vmlDrawing20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vmlDrawing21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vmlDrawing22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vmlDrawing23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vmlDrawing24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14</xdr:row>
      <xdr:rowOff>38100</xdr:rowOff>
    </xdr:from>
    <xdr:to>
      <xdr:col>6</xdr:col>
      <xdr:colOff>152400</xdr:colOff>
      <xdr:row>15</xdr:row>
      <xdr:rowOff>0</xdr:rowOff>
    </xdr:to>
    <xdr:pic macro="[0]!OdaberiPutanjuBaze">
      <xdr:nvPicPr>
        <xdr:cNvPr id="2" name="Odaberi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39275" y="2933700"/>
          <a:ext cx="152400" cy="152400"/>
        </a:xfrm>
        <a:prstGeom prst="rect">
          <a:avLst/>
        </a:prstGeom>
      </xdr:spPr>
    </xdr:pic>
    <xdr:clientData/>
  </xdr:twoCellAnchor>
  <xdr:twoCellAnchor>
    <xdr:from>
      <xdr:col>1</xdr:col>
      <xdr:colOff>3552825</xdr:colOff>
      <xdr:row>2</xdr:row>
      <xdr:rowOff>0</xdr:rowOff>
    </xdr:from>
    <xdr:to>
      <xdr:col>2</xdr:col>
      <xdr:colOff>0</xdr:colOff>
      <xdr:row>3</xdr:row>
      <xdr:rowOff>180676</xdr:rowOff>
    </xdr:to>
    <xdr:sp macro="[0]!PDF" textlink="">
      <xdr:nvSpPr>
        <xdr:cNvPr id="16" name="PDF"/>
        <xdr:cNvSpPr/>
      </xdr:nvSpPr>
      <xdr:spPr>
        <a:xfrm>
          <a:off x="3743325" y="571500"/>
          <a:ext cx="381000" cy="371176"/>
        </a:xfrm>
        <a:prstGeom prst="ellipse">
          <a:avLst/>
        </a:prstGeom>
        <a:solidFill>
          <a:schemeClr val="bg1">
            <a:lumMod val="95000"/>
          </a:schemeClr>
        </a:solidFill>
        <a:ln w="3175"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sr-Latn-RS" sz="1000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PDF</a:t>
          </a:r>
        </a:p>
      </xdr:txBody>
    </xdr:sp>
    <xdr:clientData/>
  </xdr:twoCellAnchor>
  <xdr:twoCellAnchor>
    <xdr:from>
      <xdr:col>1</xdr:col>
      <xdr:colOff>2981325</xdr:colOff>
      <xdr:row>2</xdr:row>
      <xdr:rowOff>0</xdr:rowOff>
    </xdr:from>
    <xdr:to>
      <xdr:col>1</xdr:col>
      <xdr:colOff>3362325</xdr:colOff>
      <xdr:row>3</xdr:row>
      <xdr:rowOff>180676</xdr:rowOff>
    </xdr:to>
    <xdr:sp macro="[0]!RastezanjeRedova" textlink="">
      <xdr:nvSpPr>
        <xdr:cNvPr id="17" name="Red"/>
        <xdr:cNvSpPr/>
      </xdr:nvSpPr>
      <xdr:spPr>
        <a:xfrm>
          <a:off x="3171825" y="571500"/>
          <a:ext cx="381000" cy="371176"/>
        </a:xfrm>
        <a:prstGeom prst="ellipse">
          <a:avLst/>
        </a:prstGeom>
        <a:solidFill>
          <a:schemeClr val="bg1">
            <a:lumMod val="95000"/>
          </a:schemeClr>
        </a:solidFill>
        <a:ln w="3175"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sr-Latn-RS" sz="1000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Red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28568</xdr:colOff>
      <xdr:row>1</xdr:row>
      <xdr:rowOff>9525</xdr:rowOff>
    </xdr:to>
    <xdr:grpSp>
      <xdr:nvGrpSpPr>
        <xdr:cNvPr id="60" name="Zaglavlje"/>
        <xdr:cNvGrpSpPr/>
      </xdr:nvGrpSpPr>
      <xdr:grpSpPr>
        <a:xfrm>
          <a:off x="0" y="0"/>
          <a:ext cx="11277593" cy="390525"/>
          <a:chOff x="-25424" y="0"/>
          <a:chExt cx="10036199" cy="390525"/>
        </a:xfrm>
      </xdr:grpSpPr>
      <xdr:sp macro="" textlink="">
        <xdr:nvSpPr>
          <xdr:cNvPr id="61" name="Logo"/>
          <xdr:cNvSpPr/>
        </xdr:nvSpPr>
        <xdr:spPr>
          <a:xfrm>
            <a:off x="-25424" y="0"/>
            <a:ext cx="338903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62" name="Naslov"/>
          <xdr:cNvSpPr/>
        </xdr:nvSpPr>
        <xdr:spPr>
          <a:xfrm>
            <a:off x="313637" y="0"/>
            <a:ext cx="9502184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Izveštaj zatečenog stanja</a:t>
            </a:r>
          </a:p>
        </xdr:txBody>
      </xdr:sp>
      <xdr:sp macro="" textlink="">
        <xdr:nvSpPr>
          <xdr:cNvPr id="63" name="Gore">
            <a:hlinkClick xmlns:r="http://schemas.openxmlformats.org/officeDocument/2006/relationships" r:id="rId2" tooltip="Gore"/>
          </xdr:cNvPr>
          <xdr:cNvSpPr/>
        </xdr:nvSpPr>
        <xdr:spPr>
          <a:xfrm>
            <a:off x="9820275" y="85725"/>
            <a:ext cx="190500" cy="190500"/>
          </a:xfrm>
          <a:prstGeom prst="upArrow">
            <a:avLst/>
          </a:prstGeom>
          <a:solidFill>
            <a:schemeClr val="bg1">
              <a:lumMod val="75000"/>
            </a:schemeClr>
          </a:solidFill>
          <a:ln>
            <a:noFill/>
          </a:ln>
          <a:effectLst>
            <a:outerShdw blurRad="50800" dist="127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sr-Latn-RS" sz="10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 editAs="oneCell">
    <xdr:from>
      <xdr:col>0</xdr:col>
      <xdr:colOff>47625</xdr:colOff>
      <xdr:row>7</xdr:row>
      <xdr:rowOff>19050</xdr:rowOff>
    </xdr:from>
    <xdr:to>
      <xdr:col>1</xdr:col>
      <xdr:colOff>9506</xdr:colOff>
      <xdr:row>7</xdr:row>
      <xdr:rowOff>171431</xdr:rowOff>
    </xdr:to>
    <xdr:pic macro="[0]!PrikaziFrmPrilozi">
      <xdr:nvPicPr>
        <xdr:cNvPr id="66" name="Uredi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562100"/>
          <a:ext cx="152381" cy="1523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5</xdr:col>
      <xdr:colOff>0</xdr:colOff>
      <xdr:row>4</xdr:row>
      <xdr:rowOff>10123</xdr:rowOff>
    </xdr:to>
    <xdr:grpSp>
      <xdr:nvGrpSpPr>
        <xdr:cNvPr id="2" name="Navigacija"/>
        <xdr:cNvGrpSpPr/>
      </xdr:nvGrpSpPr>
      <xdr:grpSpPr>
        <a:xfrm>
          <a:off x="381000" y="581025"/>
          <a:ext cx="7248525" cy="391123"/>
          <a:chOff x="381000" y="581025"/>
          <a:chExt cx="7248525" cy="391123"/>
        </a:xfrm>
      </xdr:grpSpPr>
      <xdr:sp macro="" textlink="">
        <xdr:nvSpPr>
          <xdr:cNvPr id="3" name="Podesavanja">
            <a:hlinkClick xmlns:r="http://schemas.openxmlformats.org/officeDocument/2006/relationships" r:id="rId1" tooltip="Podešavanja"/>
          </xdr:cNvPr>
          <xdr:cNvSpPr/>
        </xdr:nvSpPr>
        <xdr:spPr>
          <a:xfrm>
            <a:off x="571500" y="581025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5" name="Podaci">
            <a:hlinkClick xmlns:r="http://schemas.openxmlformats.org/officeDocument/2006/relationships" r:id="rId2" tooltip="Podaci"/>
          </xdr:cNvPr>
          <xdr:cNvSpPr/>
        </xdr:nvSpPr>
        <xdr:spPr>
          <a:xfrm>
            <a:off x="571500" y="781050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6" name="PDF"/>
          <xdr:cNvSpPr/>
        </xdr:nvSpPr>
        <xdr:spPr>
          <a:xfrm>
            <a:off x="7248525" y="581025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91746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8" name="Red"/>
          <xdr:cNvSpPr/>
        </xdr:nvSpPr>
        <xdr:spPr>
          <a:xfrm>
            <a:off x="6677025" y="581324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5</xdr:col>
      <xdr:colOff>23563</xdr:colOff>
      <xdr:row>1</xdr:row>
      <xdr:rowOff>9525</xdr:rowOff>
    </xdr:to>
    <xdr:grpSp>
      <xdr:nvGrpSpPr>
        <xdr:cNvPr id="13" name="Zaglavlje"/>
        <xdr:cNvGrpSpPr/>
      </xdr:nvGrpSpPr>
      <xdr:grpSpPr>
        <a:xfrm>
          <a:off x="0" y="0"/>
          <a:ext cx="7653088" cy="390525"/>
          <a:chOff x="0" y="0"/>
          <a:chExt cx="7653088" cy="390525"/>
        </a:xfrm>
      </xdr:grpSpPr>
      <xdr:sp macro="" textlink="">
        <xdr:nvSpPr>
          <xdr:cNvPr id="10" name="Logo"/>
          <xdr:cNvSpPr/>
        </xdr:nvSpPr>
        <xdr:spPr>
          <a:xfrm>
            <a:off x="0" y="0"/>
            <a:ext cx="380822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11" name="Naslov"/>
          <xdr:cNvSpPr/>
        </xdr:nvSpPr>
        <xdr:spPr>
          <a:xfrm>
            <a:off x="381000" y="0"/>
            <a:ext cx="7058025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Izveštaj zatečenog stanja</a:t>
            </a:r>
          </a:p>
        </xdr:txBody>
      </xdr:sp>
      <xdr:sp macro="" textlink="">
        <xdr:nvSpPr>
          <xdr:cNvPr id="12" name="Gore">
            <a:hlinkClick xmlns:r="http://schemas.openxmlformats.org/officeDocument/2006/relationships" r:id="rId7" tooltip="Gore"/>
          </xdr:cNvPr>
          <xdr:cNvSpPr/>
        </xdr:nvSpPr>
        <xdr:spPr>
          <a:xfrm>
            <a:off x="7439025" y="85725"/>
            <a:ext cx="214063" cy="190500"/>
          </a:xfrm>
          <a:prstGeom prst="upArrow">
            <a:avLst/>
          </a:prstGeom>
          <a:solidFill>
            <a:schemeClr val="bg1">
              <a:lumMod val="75000"/>
            </a:schemeClr>
          </a:solidFill>
          <a:ln>
            <a:noFill/>
          </a:ln>
          <a:effectLst>
            <a:outerShdw blurRad="50800" dist="127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sr-Latn-RS" sz="10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23563</xdr:colOff>
      <xdr:row>1</xdr:row>
      <xdr:rowOff>9525</xdr:rowOff>
    </xdr:to>
    <xdr:grpSp>
      <xdr:nvGrpSpPr>
        <xdr:cNvPr id="2" name="Zaglavlje"/>
        <xdr:cNvGrpSpPr/>
      </xdr:nvGrpSpPr>
      <xdr:grpSpPr>
        <a:xfrm>
          <a:off x="0" y="0"/>
          <a:ext cx="6662488" cy="390525"/>
          <a:chOff x="0" y="0"/>
          <a:chExt cx="6662488" cy="390525"/>
        </a:xfrm>
      </xdr:grpSpPr>
      <xdr:sp macro="" textlink="">
        <xdr:nvSpPr>
          <xdr:cNvPr id="3" name="Logo"/>
          <xdr:cNvSpPr/>
        </xdr:nvSpPr>
        <xdr:spPr>
          <a:xfrm>
            <a:off x="0" y="0"/>
            <a:ext cx="380822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4" name="Naslov"/>
          <xdr:cNvSpPr/>
        </xdr:nvSpPr>
        <xdr:spPr>
          <a:xfrm>
            <a:off x="381000" y="0"/>
            <a:ext cx="6067425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Izveštaj zatečenog stanja</a:t>
            </a:r>
          </a:p>
        </xdr:txBody>
      </xdr:sp>
      <xdr:sp macro="" textlink="">
        <xdr:nvSpPr>
          <xdr:cNvPr id="5" name="Gore">
            <a:hlinkClick xmlns:r="http://schemas.openxmlformats.org/officeDocument/2006/relationships" r:id="rId1" tooltip="Gore"/>
          </xdr:cNvPr>
          <xdr:cNvSpPr/>
        </xdr:nvSpPr>
        <xdr:spPr>
          <a:xfrm>
            <a:off x="6448425" y="85725"/>
            <a:ext cx="214063" cy="190500"/>
          </a:xfrm>
          <a:prstGeom prst="upArrow">
            <a:avLst/>
          </a:prstGeom>
          <a:solidFill>
            <a:schemeClr val="bg1">
              <a:lumMod val="75000"/>
            </a:schemeClr>
          </a:solidFill>
          <a:ln>
            <a:noFill/>
          </a:ln>
          <a:effectLst>
            <a:outerShdw blurRad="50800" dist="127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sr-Latn-RS" sz="10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2</xdr:col>
      <xdr:colOff>0</xdr:colOff>
      <xdr:row>2</xdr:row>
      <xdr:rowOff>0</xdr:rowOff>
    </xdr:from>
    <xdr:to>
      <xdr:col>6</xdr:col>
      <xdr:colOff>0</xdr:colOff>
      <xdr:row>4</xdr:row>
      <xdr:rowOff>10123</xdr:rowOff>
    </xdr:to>
    <xdr:grpSp>
      <xdr:nvGrpSpPr>
        <xdr:cNvPr id="6" name="Navigacija"/>
        <xdr:cNvGrpSpPr/>
      </xdr:nvGrpSpPr>
      <xdr:grpSpPr>
        <a:xfrm>
          <a:off x="381000" y="581025"/>
          <a:ext cx="6257925" cy="391123"/>
          <a:chOff x="381000" y="581025"/>
          <a:chExt cx="6257925" cy="391123"/>
        </a:xfrm>
      </xdr:grpSpPr>
      <xdr:sp macro="" textlink="">
        <xdr:nvSpPr>
          <xdr:cNvPr id="7" name="Podesavanja">
            <a:hlinkClick xmlns:r="http://schemas.openxmlformats.org/officeDocument/2006/relationships" r:id="rId2" tooltip="Podešavanja"/>
          </xdr:cNvPr>
          <xdr:cNvSpPr/>
        </xdr:nvSpPr>
        <xdr:spPr>
          <a:xfrm>
            <a:off x="571500" y="581025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8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81050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9" name="PDF"/>
          <xdr:cNvSpPr/>
        </xdr:nvSpPr>
        <xdr:spPr>
          <a:xfrm>
            <a:off x="6257925" y="581025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10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91746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11" name="Red"/>
          <xdr:cNvSpPr/>
        </xdr:nvSpPr>
        <xdr:spPr>
          <a:xfrm>
            <a:off x="5686425" y="581324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23563</xdr:colOff>
      <xdr:row>1</xdr:row>
      <xdr:rowOff>9525</xdr:rowOff>
    </xdr:to>
    <xdr:grpSp>
      <xdr:nvGrpSpPr>
        <xdr:cNvPr id="2" name="Zaglavlje"/>
        <xdr:cNvGrpSpPr/>
      </xdr:nvGrpSpPr>
      <xdr:grpSpPr>
        <a:xfrm>
          <a:off x="0" y="0"/>
          <a:ext cx="7653088" cy="390525"/>
          <a:chOff x="0" y="0"/>
          <a:chExt cx="7653088" cy="390525"/>
        </a:xfrm>
      </xdr:grpSpPr>
      <xdr:sp macro="" textlink="">
        <xdr:nvSpPr>
          <xdr:cNvPr id="3" name="Logo"/>
          <xdr:cNvSpPr/>
        </xdr:nvSpPr>
        <xdr:spPr>
          <a:xfrm>
            <a:off x="0" y="0"/>
            <a:ext cx="380822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4" name="Naslov"/>
          <xdr:cNvSpPr/>
        </xdr:nvSpPr>
        <xdr:spPr>
          <a:xfrm>
            <a:off x="381000" y="0"/>
            <a:ext cx="7058025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Izveštaj zatečenog stanja</a:t>
            </a:r>
          </a:p>
        </xdr:txBody>
      </xdr:sp>
      <xdr:sp macro="" textlink="">
        <xdr:nvSpPr>
          <xdr:cNvPr id="5" name="Gore">
            <a:hlinkClick xmlns:r="http://schemas.openxmlformats.org/officeDocument/2006/relationships" r:id="rId1" tooltip="Gore"/>
          </xdr:cNvPr>
          <xdr:cNvSpPr/>
        </xdr:nvSpPr>
        <xdr:spPr>
          <a:xfrm>
            <a:off x="7439025" y="85725"/>
            <a:ext cx="214063" cy="190500"/>
          </a:xfrm>
          <a:prstGeom prst="upArrow">
            <a:avLst/>
          </a:prstGeom>
          <a:solidFill>
            <a:schemeClr val="bg1">
              <a:lumMod val="75000"/>
            </a:schemeClr>
          </a:solidFill>
          <a:ln>
            <a:noFill/>
          </a:ln>
          <a:effectLst>
            <a:outerShdw blurRad="50800" dist="127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sr-Latn-RS" sz="10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2</xdr:col>
      <xdr:colOff>0</xdr:colOff>
      <xdr:row>2</xdr:row>
      <xdr:rowOff>0</xdr:rowOff>
    </xdr:from>
    <xdr:to>
      <xdr:col>5</xdr:col>
      <xdr:colOff>0</xdr:colOff>
      <xdr:row>4</xdr:row>
      <xdr:rowOff>10123</xdr:rowOff>
    </xdr:to>
    <xdr:grpSp>
      <xdr:nvGrpSpPr>
        <xdr:cNvPr id="6" name="Navigacija"/>
        <xdr:cNvGrpSpPr/>
      </xdr:nvGrpSpPr>
      <xdr:grpSpPr>
        <a:xfrm>
          <a:off x="381000" y="581025"/>
          <a:ext cx="7248525" cy="391123"/>
          <a:chOff x="381000" y="581025"/>
          <a:chExt cx="7248525" cy="391123"/>
        </a:xfrm>
      </xdr:grpSpPr>
      <xdr:sp macro="" textlink="">
        <xdr:nvSpPr>
          <xdr:cNvPr id="7" name="Podesavanja">
            <a:hlinkClick xmlns:r="http://schemas.openxmlformats.org/officeDocument/2006/relationships" r:id="rId2" tooltip="Podešavanja"/>
          </xdr:cNvPr>
          <xdr:cNvSpPr/>
        </xdr:nvSpPr>
        <xdr:spPr>
          <a:xfrm>
            <a:off x="571500" y="581025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8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81050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9" name="PDF"/>
          <xdr:cNvSpPr/>
        </xdr:nvSpPr>
        <xdr:spPr>
          <a:xfrm>
            <a:off x="7248525" y="581025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10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91746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11" name="Red"/>
          <xdr:cNvSpPr/>
        </xdr:nvSpPr>
        <xdr:spPr>
          <a:xfrm>
            <a:off x="6677025" y="581324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23563</xdr:colOff>
      <xdr:row>1</xdr:row>
      <xdr:rowOff>9525</xdr:rowOff>
    </xdr:to>
    <xdr:grpSp>
      <xdr:nvGrpSpPr>
        <xdr:cNvPr id="2" name="Zaglavlje"/>
        <xdr:cNvGrpSpPr/>
      </xdr:nvGrpSpPr>
      <xdr:grpSpPr>
        <a:xfrm>
          <a:off x="0" y="0"/>
          <a:ext cx="6662488" cy="390525"/>
          <a:chOff x="0" y="0"/>
          <a:chExt cx="6662488" cy="390525"/>
        </a:xfrm>
      </xdr:grpSpPr>
      <xdr:sp macro="" textlink="">
        <xdr:nvSpPr>
          <xdr:cNvPr id="3" name="Logo"/>
          <xdr:cNvSpPr/>
        </xdr:nvSpPr>
        <xdr:spPr>
          <a:xfrm>
            <a:off x="0" y="0"/>
            <a:ext cx="380822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4" name="Naslov"/>
          <xdr:cNvSpPr/>
        </xdr:nvSpPr>
        <xdr:spPr>
          <a:xfrm>
            <a:off x="381000" y="0"/>
            <a:ext cx="6067425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Izveštaj zatečenog stanja</a:t>
            </a:r>
          </a:p>
        </xdr:txBody>
      </xdr:sp>
      <xdr:sp macro="" textlink="">
        <xdr:nvSpPr>
          <xdr:cNvPr id="5" name="Gore">
            <a:hlinkClick xmlns:r="http://schemas.openxmlformats.org/officeDocument/2006/relationships" r:id="rId1" tooltip="Gore"/>
          </xdr:cNvPr>
          <xdr:cNvSpPr/>
        </xdr:nvSpPr>
        <xdr:spPr>
          <a:xfrm>
            <a:off x="6448425" y="85725"/>
            <a:ext cx="214063" cy="190500"/>
          </a:xfrm>
          <a:prstGeom prst="upArrow">
            <a:avLst/>
          </a:prstGeom>
          <a:solidFill>
            <a:schemeClr val="bg1">
              <a:lumMod val="75000"/>
            </a:schemeClr>
          </a:solidFill>
          <a:ln>
            <a:noFill/>
          </a:ln>
          <a:effectLst>
            <a:outerShdw blurRad="50800" dist="127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sr-Latn-RS" sz="10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2</xdr:col>
      <xdr:colOff>0</xdr:colOff>
      <xdr:row>2</xdr:row>
      <xdr:rowOff>0</xdr:rowOff>
    </xdr:from>
    <xdr:to>
      <xdr:col>6</xdr:col>
      <xdr:colOff>0</xdr:colOff>
      <xdr:row>4</xdr:row>
      <xdr:rowOff>10123</xdr:rowOff>
    </xdr:to>
    <xdr:grpSp>
      <xdr:nvGrpSpPr>
        <xdr:cNvPr id="12" name="Navigacija"/>
        <xdr:cNvGrpSpPr/>
      </xdr:nvGrpSpPr>
      <xdr:grpSpPr>
        <a:xfrm>
          <a:off x="381000" y="581025"/>
          <a:ext cx="6257925" cy="391123"/>
          <a:chOff x="381000" y="570902"/>
          <a:chExt cx="6257925" cy="391123"/>
        </a:xfrm>
      </xdr:grpSpPr>
      <xdr:sp macro="" textlink="">
        <xdr:nvSpPr>
          <xdr:cNvPr id="13" name="Podesavanja">
            <a:hlinkClick xmlns:r="http://schemas.openxmlformats.org/officeDocument/2006/relationships" r:id="rId2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15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16" name="PDF"/>
          <xdr:cNvSpPr/>
        </xdr:nvSpPr>
        <xdr:spPr>
          <a:xfrm>
            <a:off x="6257925" y="5709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17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18" name="Red"/>
          <xdr:cNvSpPr/>
        </xdr:nvSpPr>
        <xdr:spPr>
          <a:xfrm>
            <a:off x="5724525" y="5712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  <xdr:sp macro="[0]!PrikaziFrmDodajGrafickiPrilog" textlink="">
        <xdr:nvSpPr>
          <xdr:cNvPr id="19" name="Dodaj"/>
          <xdr:cNvSpPr/>
        </xdr:nvSpPr>
        <xdr:spPr>
          <a:xfrm>
            <a:off x="5153025" y="581025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2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Simplex" panose="00000400000000000000" pitchFamily="2" charset="0"/>
                <a:ea typeface="+mn-ea"/>
                <a:cs typeface="Simplex" panose="00000400000000000000" pitchFamily="2" charset="0"/>
              </a:rPr>
              <a:t>+</a:t>
            </a: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0</xdr:colOff>
      <xdr:row>1</xdr:row>
      <xdr:rowOff>9525</xdr:rowOff>
    </xdr:to>
    <xdr:grpSp>
      <xdr:nvGrpSpPr>
        <xdr:cNvPr id="2" name="Zaglavlje"/>
        <xdr:cNvGrpSpPr/>
      </xdr:nvGrpSpPr>
      <xdr:grpSpPr>
        <a:xfrm>
          <a:off x="0" y="0"/>
          <a:ext cx="6743700" cy="390525"/>
          <a:chOff x="0" y="0"/>
          <a:chExt cx="6743700" cy="390525"/>
        </a:xfrm>
      </xdr:grpSpPr>
      <xdr:sp macro="" textlink="">
        <xdr:nvSpPr>
          <xdr:cNvPr id="3" name="Logo"/>
          <xdr:cNvSpPr/>
        </xdr:nvSpPr>
        <xdr:spPr>
          <a:xfrm>
            <a:off x="0" y="0"/>
            <a:ext cx="380822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4" name="Naslov"/>
          <xdr:cNvSpPr/>
        </xdr:nvSpPr>
        <xdr:spPr>
          <a:xfrm>
            <a:off x="381000" y="0"/>
            <a:ext cx="617220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Izveštaj zatečenog stanja</a:t>
            </a:r>
          </a:p>
        </xdr:txBody>
      </xdr:sp>
      <xdr:sp macro="" textlink="">
        <xdr:nvSpPr>
          <xdr:cNvPr id="5" name="Gore">
            <a:hlinkClick xmlns:r="http://schemas.openxmlformats.org/officeDocument/2006/relationships" r:id="rId1" tooltip="Gore"/>
          </xdr:cNvPr>
          <xdr:cNvSpPr/>
        </xdr:nvSpPr>
        <xdr:spPr>
          <a:xfrm>
            <a:off x="6529637" y="85725"/>
            <a:ext cx="214063" cy="190500"/>
          </a:xfrm>
          <a:prstGeom prst="upArrow">
            <a:avLst/>
          </a:prstGeom>
          <a:solidFill>
            <a:schemeClr val="bg1">
              <a:lumMod val="75000"/>
            </a:schemeClr>
          </a:solidFill>
          <a:ln>
            <a:noFill/>
          </a:ln>
          <a:effectLst>
            <a:outerShdw blurRad="50800" dist="127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sr-Latn-RS" sz="10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2</xdr:col>
      <xdr:colOff>0</xdr:colOff>
      <xdr:row>2</xdr:row>
      <xdr:rowOff>0</xdr:rowOff>
    </xdr:from>
    <xdr:to>
      <xdr:col>5</xdr:col>
      <xdr:colOff>0</xdr:colOff>
      <xdr:row>4</xdr:row>
      <xdr:rowOff>10123</xdr:rowOff>
    </xdr:to>
    <xdr:grpSp>
      <xdr:nvGrpSpPr>
        <xdr:cNvPr id="6" name="Navigacija"/>
        <xdr:cNvGrpSpPr/>
      </xdr:nvGrpSpPr>
      <xdr:grpSpPr>
        <a:xfrm>
          <a:off x="381000" y="581025"/>
          <a:ext cx="6362700" cy="391123"/>
          <a:chOff x="381000" y="581025"/>
          <a:chExt cx="6362700" cy="391123"/>
        </a:xfrm>
      </xdr:grpSpPr>
      <xdr:sp macro="" textlink="">
        <xdr:nvSpPr>
          <xdr:cNvPr id="7" name="Podesavanja">
            <a:hlinkClick xmlns:r="http://schemas.openxmlformats.org/officeDocument/2006/relationships" r:id="rId2" tooltip="Podešavanja"/>
          </xdr:cNvPr>
          <xdr:cNvSpPr/>
        </xdr:nvSpPr>
        <xdr:spPr>
          <a:xfrm>
            <a:off x="571500" y="581025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8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81050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9" name="PDF"/>
          <xdr:cNvSpPr/>
        </xdr:nvSpPr>
        <xdr:spPr>
          <a:xfrm>
            <a:off x="6362700" y="581025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10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91746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11" name="Red"/>
          <xdr:cNvSpPr/>
        </xdr:nvSpPr>
        <xdr:spPr>
          <a:xfrm>
            <a:off x="5791200" y="581324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0</xdr:colOff>
      <xdr:row>1</xdr:row>
      <xdr:rowOff>9525</xdr:rowOff>
    </xdr:to>
    <xdr:grpSp>
      <xdr:nvGrpSpPr>
        <xdr:cNvPr id="2" name="Zaglavlje"/>
        <xdr:cNvGrpSpPr/>
      </xdr:nvGrpSpPr>
      <xdr:grpSpPr>
        <a:xfrm>
          <a:off x="0" y="0"/>
          <a:ext cx="6743700" cy="390525"/>
          <a:chOff x="0" y="0"/>
          <a:chExt cx="6743700" cy="390525"/>
        </a:xfrm>
      </xdr:grpSpPr>
      <xdr:sp macro="" textlink="">
        <xdr:nvSpPr>
          <xdr:cNvPr id="3" name="Logo"/>
          <xdr:cNvSpPr/>
        </xdr:nvSpPr>
        <xdr:spPr>
          <a:xfrm>
            <a:off x="0" y="0"/>
            <a:ext cx="380822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4" name="Naslov"/>
          <xdr:cNvSpPr/>
        </xdr:nvSpPr>
        <xdr:spPr>
          <a:xfrm>
            <a:off x="381000" y="0"/>
            <a:ext cx="617220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Izveštaj zatečenog stanja</a:t>
            </a:r>
          </a:p>
        </xdr:txBody>
      </xdr:sp>
      <xdr:sp macro="" textlink="">
        <xdr:nvSpPr>
          <xdr:cNvPr id="5" name="Gore">
            <a:hlinkClick xmlns:r="http://schemas.openxmlformats.org/officeDocument/2006/relationships" r:id="rId1" tooltip="Gore"/>
          </xdr:cNvPr>
          <xdr:cNvSpPr/>
        </xdr:nvSpPr>
        <xdr:spPr>
          <a:xfrm>
            <a:off x="6529637" y="85725"/>
            <a:ext cx="214063" cy="190500"/>
          </a:xfrm>
          <a:prstGeom prst="upArrow">
            <a:avLst/>
          </a:prstGeom>
          <a:solidFill>
            <a:schemeClr val="bg1">
              <a:lumMod val="75000"/>
            </a:schemeClr>
          </a:solidFill>
          <a:ln>
            <a:noFill/>
          </a:ln>
          <a:effectLst>
            <a:outerShdw blurRad="50800" dist="127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sr-Latn-RS" sz="10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2</xdr:col>
      <xdr:colOff>0</xdr:colOff>
      <xdr:row>2</xdr:row>
      <xdr:rowOff>0</xdr:rowOff>
    </xdr:from>
    <xdr:to>
      <xdr:col>5</xdr:col>
      <xdr:colOff>0</xdr:colOff>
      <xdr:row>4</xdr:row>
      <xdr:rowOff>10123</xdr:rowOff>
    </xdr:to>
    <xdr:grpSp>
      <xdr:nvGrpSpPr>
        <xdr:cNvPr id="12" name="Navigacija"/>
        <xdr:cNvGrpSpPr/>
      </xdr:nvGrpSpPr>
      <xdr:grpSpPr>
        <a:xfrm>
          <a:off x="381000" y="581025"/>
          <a:ext cx="6362700" cy="391123"/>
          <a:chOff x="381000" y="581025"/>
          <a:chExt cx="6362700" cy="391123"/>
        </a:xfrm>
      </xdr:grpSpPr>
      <xdr:sp macro="" textlink="">
        <xdr:nvSpPr>
          <xdr:cNvPr id="13" name="Podesavanja">
            <a:hlinkClick xmlns:r="http://schemas.openxmlformats.org/officeDocument/2006/relationships" r:id="rId2" tooltip="Podešavanja"/>
          </xdr:cNvPr>
          <xdr:cNvSpPr/>
        </xdr:nvSpPr>
        <xdr:spPr>
          <a:xfrm>
            <a:off x="571500" y="581025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14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81050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15" name="PDF"/>
          <xdr:cNvSpPr/>
        </xdr:nvSpPr>
        <xdr:spPr>
          <a:xfrm>
            <a:off x="6362700" y="581025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16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91746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17" name="Red"/>
          <xdr:cNvSpPr/>
        </xdr:nvSpPr>
        <xdr:spPr>
          <a:xfrm>
            <a:off x="5791200" y="581324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0</xdr:colOff>
      <xdr:row>1</xdr:row>
      <xdr:rowOff>9525</xdr:rowOff>
    </xdr:to>
    <xdr:grpSp>
      <xdr:nvGrpSpPr>
        <xdr:cNvPr id="2" name="Zaglavlje"/>
        <xdr:cNvGrpSpPr/>
      </xdr:nvGrpSpPr>
      <xdr:grpSpPr>
        <a:xfrm>
          <a:off x="0" y="0"/>
          <a:ext cx="6743700" cy="390525"/>
          <a:chOff x="0" y="0"/>
          <a:chExt cx="6743700" cy="390525"/>
        </a:xfrm>
      </xdr:grpSpPr>
      <xdr:sp macro="" textlink="">
        <xdr:nvSpPr>
          <xdr:cNvPr id="3" name="Logo"/>
          <xdr:cNvSpPr/>
        </xdr:nvSpPr>
        <xdr:spPr>
          <a:xfrm>
            <a:off x="0" y="0"/>
            <a:ext cx="380822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4" name="Naslov"/>
          <xdr:cNvSpPr/>
        </xdr:nvSpPr>
        <xdr:spPr>
          <a:xfrm>
            <a:off x="381000" y="0"/>
            <a:ext cx="617220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Izveštaj zatečenog stanja</a:t>
            </a:r>
          </a:p>
        </xdr:txBody>
      </xdr:sp>
      <xdr:sp macro="" textlink="">
        <xdr:nvSpPr>
          <xdr:cNvPr id="5" name="Gore">
            <a:hlinkClick xmlns:r="http://schemas.openxmlformats.org/officeDocument/2006/relationships" r:id="rId1" tooltip="Gore"/>
          </xdr:cNvPr>
          <xdr:cNvSpPr/>
        </xdr:nvSpPr>
        <xdr:spPr>
          <a:xfrm>
            <a:off x="6529637" y="85725"/>
            <a:ext cx="214063" cy="190500"/>
          </a:xfrm>
          <a:prstGeom prst="upArrow">
            <a:avLst/>
          </a:prstGeom>
          <a:solidFill>
            <a:schemeClr val="bg1">
              <a:lumMod val="75000"/>
            </a:schemeClr>
          </a:solidFill>
          <a:ln>
            <a:noFill/>
          </a:ln>
          <a:effectLst>
            <a:outerShdw blurRad="50800" dist="127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sr-Latn-RS" sz="10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2</xdr:col>
      <xdr:colOff>0</xdr:colOff>
      <xdr:row>2</xdr:row>
      <xdr:rowOff>0</xdr:rowOff>
    </xdr:from>
    <xdr:to>
      <xdr:col>5</xdr:col>
      <xdr:colOff>0</xdr:colOff>
      <xdr:row>4</xdr:row>
      <xdr:rowOff>10123</xdr:rowOff>
    </xdr:to>
    <xdr:grpSp>
      <xdr:nvGrpSpPr>
        <xdr:cNvPr id="6" name="Navigacija"/>
        <xdr:cNvGrpSpPr/>
      </xdr:nvGrpSpPr>
      <xdr:grpSpPr>
        <a:xfrm>
          <a:off x="381000" y="581025"/>
          <a:ext cx="6362700" cy="391123"/>
          <a:chOff x="381000" y="581025"/>
          <a:chExt cx="6362700" cy="391123"/>
        </a:xfrm>
      </xdr:grpSpPr>
      <xdr:sp macro="" textlink="">
        <xdr:nvSpPr>
          <xdr:cNvPr id="7" name="Podesavanja">
            <a:hlinkClick xmlns:r="http://schemas.openxmlformats.org/officeDocument/2006/relationships" r:id="rId2" tooltip="Podešavanja"/>
          </xdr:cNvPr>
          <xdr:cNvSpPr/>
        </xdr:nvSpPr>
        <xdr:spPr>
          <a:xfrm>
            <a:off x="571500" y="581025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8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81050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9" name="PDF"/>
          <xdr:cNvSpPr/>
        </xdr:nvSpPr>
        <xdr:spPr>
          <a:xfrm>
            <a:off x="6362700" y="581025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10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91746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11" name="Red"/>
          <xdr:cNvSpPr/>
        </xdr:nvSpPr>
        <xdr:spPr>
          <a:xfrm>
            <a:off x="5791200" y="581324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0</xdr:colOff>
      <xdr:row>1</xdr:row>
      <xdr:rowOff>9525</xdr:rowOff>
    </xdr:to>
    <xdr:grpSp>
      <xdr:nvGrpSpPr>
        <xdr:cNvPr id="2" name="Zaglavlje"/>
        <xdr:cNvGrpSpPr/>
      </xdr:nvGrpSpPr>
      <xdr:grpSpPr>
        <a:xfrm>
          <a:off x="0" y="0"/>
          <a:ext cx="6743700" cy="390525"/>
          <a:chOff x="0" y="0"/>
          <a:chExt cx="6743700" cy="390525"/>
        </a:xfrm>
      </xdr:grpSpPr>
      <xdr:sp macro="" textlink="">
        <xdr:nvSpPr>
          <xdr:cNvPr id="3" name="Logo"/>
          <xdr:cNvSpPr/>
        </xdr:nvSpPr>
        <xdr:spPr>
          <a:xfrm>
            <a:off x="0" y="0"/>
            <a:ext cx="380822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4" name="Naslov"/>
          <xdr:cNvSpPr/>
        </xdr:nvSpPr>
        <xdr:spPr>
          <a:xfrm>
            <a:off x="381000" y="0"/>
            <a:ext cx="617220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Izveštaj zatečenog stanja</a:t>
            </a:r>
          </a:p>
        </xdr:txBody>
      </xdr:sp>
      <xdr:sp macro="" textlink="">
        <xdr:nvSpPr>
          <xdr:cNvPr id="5" name="Gore">
            <a:hlinkClick xmlns:r="http://schemas.openxmlformats.org/officeDocument/2006/relationships" r:id="rId1" tooltip="Gore"/>
          </xdr:cNvPr>
          <xdr:cNvSpPr/>
        </xdr:nvSpPr>
        <xdr:spPr>
          <a:xfrm>
            <a:off x="6529637" y="85725"/>
            <a:ext cx="214063" cy="190500"/>
          </a:xfrm>
          <a:prstGeom prst="upArrow">
            <a:avLst/>
          </a:prstGeom>
          <a:solidFill>
            <a:schemeClr val="bg1">
              <a:lumMod val="75000"/>
            </a:schemeClr>
          </a:solidFill>
          <a:ln>
            <a:noFill/>
          </a:ln>
          <a:effectLst>
            <a:outerShdw blurRad="50800" dist="127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sr-Latn-RS" sz="10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2</xdr:col>
      <xdr:colOff>0</xdr:colOff>
      <xdr:row>2</xdr:row>
      <xdr:rowOff>0</xdr:rowOff>
    </xdr:from>
    <xdr:to>
      <xdr:col>5</xdr:col>
      <xdr:colOff>0</xdr:colOff>
      <xdr:row>4</xdr:row>
      <xdr:rowOff>10123</xdr:rowOff>
    </xdr:to>
    <xdr:grpSp>
      <xdr:nvGrpSpPr>
        <xdr:cNvPr id="6" name="Navigacija"/>
        <xdr:cNvGrpSpPr/>
      </xdr:nvGrpSpPr>
      <xdr:grpSpPr>
        <a:xfrm>
          <a:off x="381000" y="581025"/>
          <a:ext cx="6362700" cy="391123"/>
          <a:chOff x="381000" y="581025"/>
          <a:chExt cx="6362700" cy="391123"/>
        </a:xfrm>
      </xdr:grpSpPr>
      <xdr:sp macro="" textlink="">
        <xdr:nvSpPr>
          <xdr:cNvPr id="7" name="Podesavanja">
            <a:hlinkClick xmlns:r="http://schemas.openxmlformats.org/officeDocument/2006/relationships" r:id="rId2" tooltip="Podešavanja"/>
          </xdr:cNvPr>
          <xdr:cNvSpPr/>
        </xdr:nvSpPr>
        <xdr:spPr>
          <a:xfrm>
            <a:off x="571500" y="581025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8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81050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9" name="PDF"/>
          <xdr:cNvSpPr/>
        </xdr:nvSpPr>
        <xdr:spPr>
          <a:xfrm>
            <a:off x="6362700" y="581025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10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91746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11" name="Red"/>
          <xdr:cNvSpPr/>
        </xdr:nvSpPr>
        <xdr:spPr>
          <a:xfrm>
            <a:off x="5791200" y="581324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0</xdr:colOff>
      <xdr:row>1</xdr:row>
      <xdr:rowOff>9525</xdr:rowOff>
    </xdr:to>
    <xdr:grpSp>
      <xdr:nvGrpSpPr>
        <xdr:cNvPr id="2" name="Zaglavlje"/>
        <xdr:cNvGrpSpPr/>
      </xdr:nvGrpSpPr>
      <xdr:grpSpPr>
        <a:xfrm>
          <a:off x="0" y="0"/>
          <a:ext cx="6743700" cy="390525"/>
          <a:chOff x="0" y="0"/>
          <a:chExt cx="6743700" cy="390525"/>
        </a:xfrm>
      </xdr:grpSpPr>
      <xdr:sp macro="" textlink="">
        <xdr:nvSpPr>
          <xdr:cNvPr id="3" name="Logo"/>
          <xdr:cNvSpPr/>
        </xdr:nvSpPr>
        <xdr:spPr>
          <a:xfrm>
            <a:off x="0" y="0"/>
            <a:ext cx="380822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4" name="Naslov"/>
          <xdr:cNvSpPr/>
        </xdr:nvSpPr>
        <xdr:spPr>
          <a:xfrm>
            <a:off x="381000" y="0"/>
            <a:ext cx="617220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Izveštaj zatečenog stanja</a:t>
            </a:r>
          </a:p>
        </xdr:txBody>
      </xdr:sp>
      <xdr:sp macro="" textlink="">
        <xdr:nvSpPr>
          <xdr:cNvPr id="5" name="Gore">
            <a:hlinkClick xmlns:r="http://schemas.openxmlformats.org/officeDocument/2006/relationships" r:id="rId1" tooltip="Gore"/>
          </xdr:cNvPr>
          <xdr:cNvSpPr/>
        </xdr:nvSpPr>
        <xdr:spPr>
          <a:xfrm>
            <a:off x="6529637" y="85725"/>
            <a:ext cx="214063" cy="190500"/>
          </a:xfrm>
          <a:prstGeom prst="upArrow">
            <a:avLst/>
          </a:prstGeom>
          <a:solidFill>
            <a:schemeClr val="bg1">
              <a:lumMod val="75000"/>
            </a:schemeClr>
          </a:solidFill>
          <a:ln>
            <a:noFill/>
          </a:ln>
          <a:effectLst>
            <a:outerShdw blurRad="50800" dist="127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sr-Latn-RS" sz="10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2</xdr:col>
      <xdr:colOff>0</xdr:colOff>
      <xdr:row>2</xdr:row>
      <xdr:rowOff>0</xdr:rowOff>
    </xdr:from>
    <xdr:to>
      <xdr:col>5</xdr:col>
      <xdr:colOff>0</xdr:colOff>
      <xdr:row>4</xdr:row>
      <xdr:rowOff>598</xdr:rowOff>
    </xdr:to>
    <xdr:grpSp>
      <xdr:nvGrpSpPr>
        <xdr:cNvPr id="6" name="Navigacija"/>
        <xdr:cNvGrpSpPr/>
      </xdr:nvGrpSpPr>
      <xdr:grpSpPr>
        <a:xfrm>
          <a:off x="381000" y="581025"/>
          <a:ext cx="6362700" cy="391123"/>
          <a:chOff x="381000" y="581025"/>
          <a:chExt cx="6362700" cy="391123"/>
        </a:xfrm>
      </xdr:grpSpPr>
      <xdr:sp macro="" textlink="">
        <xdr:nvSpPr>
          <xdr:cNvPr id="7" name="Podesavanja">
            <a:hlinkClick xmlns:r="http://schemas.openxmlformats.org/officeDocument/2006/relationships" r:id="rId2" tooltip="Podešavanja"/>
          </xdr:cNvPr>
          <xdr:cNvSpPr/>
        </xdr:nvSpPr>
        <xdr:spPr>
          <a:xfrm>
            <a:off x="571500" y="581025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8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81050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9" name="PDF"/>
          <xdr:cNvSpPr/>
        </xdr:nvSpPr>
        <xdr:spPr>
          <a:xfrm>
            <a:off x="6362700" y="581025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10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91746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11" name="Red"/>
          <xdr:cNvSpPr/>
        </xdr:nvSpPr>
        <xdr:spPr>
          <a:xfrm>
            <a:off x="5791200" y="581324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0</xdr:colOff>
      <xdr:row>1</xdr:row>
      <xdr:rowOff>9525</xdr:rowOff>
    </xdr:to>
    <xdr:grpSp>
      <xdr:nvGrpSpPr>
        <xdr:cNvPr id="2" name="Zaglavlje"/>
        <xdr:cNvGrpSpPr/>
      </xdr:nvGrpSpPr>
      <xdr:grpSpPr>
        <a:xfrm>
          <a:off x="0" y="0"/>
          <a:ext cx="6743700" cy="390525"/>
          <a:chOff x="0" y="0"/>
          <a:chExt cx="6743700" cy="390525"/>
        </a:xfrm>
      </xdr:grpSpPr>
      <xdr:sp macro="" textlink="">
        <xdr:nvSpPr>
          <xdr:cNvPr id="3" name="Logo"/>
          <xdr:cNvSpPr/>
        </xdr:nvSpPr>
        <xdr:spPr>
          <a:xfrm>
            <a:off x="0" y="0"/>
            <a:ext cx="380822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4" name="Naslov"/>
          <xdr:cNvSpPr/>
        </xdr:nvSpPr>
        <xdr:spPr>
          <a:xfrm>
            <a:off x="381000" y="0"/>
            <a:ext cx="617220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Izveštaj zatečenog stanja</a:t>
            </a:r>
          </a:p>
        </xdr:txBody>
      </xdr:sp>
      <xdr:sp macro="" textlink="">
        <xdr:nvSpPr>
          <xdr:cNvPr id="5" name="Gore">
            <a:hlinkClick xmlns:r="http://schemas.openxmlformats.org/officeDocument/2006/relationships" r:id="rId1" tooltip="Gore"/>
          </xdr:cNvPr>
          <xdr:cNvSpPr/>
        </xdr:nvSpPr>
        <xdr:spPr>
          <a:xfrm>
            <a:off x="6529637" y="85725"/>
            <a:ext cx="214063" cy="190500"/>
          </a:xfrm>
          <a:prstGeom prst="upArrow">
            <a:avLst/>
          </a:prstGeom>
          <a:solidFill>
            <a:schemeClr val="bg1">
              <a:lumMod val="75000"/>
            </a:schemeClr>
          </a:solidFill>
          <a:ln>
            <a:noFill/>
          </a:ln>
          <a:effectLst>
            <a:outerShdw blurRad="50800" dist="127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sr-Latn-RS" sz="10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2</xdr:col>
      <xdr:colOff>0</xdr:colOff>
      <xdr:row>2</xdr:row>
      <xdr:rowOff>0</xdr:rowOff>
    </xdr:from>
    <xdr:to>
      <xdr:col>5</xdr:col>
      <xdr:colOff>0</xdr:colOff>
      <xdr:row>4</xdr:row>
      <xdr:rowOff>598</xdr:rowOff>
    </xdr:to>
    <xdr:grpSp>
      <xdr:nvGrpSpPr>
        <xdr:cNvPr id="6" name="Navigacija"/>
        <xdr:cNvGrpSpPr/>
      </xdr:nvGrpSpPr>
      <xdr:grpSpPr>
        <a:xfrm>
          <a:off x="381000" y="581025"/>
          <a:ext cx="6362700" cy="391123"/>
          <a:chOff x="381000" y="581025"/>
          <a:chExt cx="6362700" cy="391123"/>
        </a:xfrm>
      </xdr:grpSpPr>
      <xdr:sp macro="" textlink="">
        <xdr:nvSpPr>
          <xdr:cNvPr id="7" name="Podesavanja">
            <a:hlinkClick xmlns:r="http://schemas.openxmlformats.org/officeDocument/2006/relationships" r:id="rId2" tooltip="Podešavanja"/>
          </xdr:cNvPr>
          <xdr:cNvSpPr/>
        </xdr:nvSpPr>
        <xdr:spPr>
          <a:xfrm>
            <a:off x="571500" y="581025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8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81050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9" name="PDF"/>
          <xdr:cNvSpPr/>
        </xdr:nvSpPr>
        <xdr:spPr>
          <a:xfrm>
            <a:off x="6362700" y="581025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10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91746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11" name="Red"/>
          <xdr:cNvSpPr/>
        </xdr:nvSpPr>
        <xdr:spPr>
          <a:xfrm>
            <a:off x="5791200" y="581324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0</xdr:colOff>
      <xdr:row>1</xdr:row>
      <xdr:rowOff>9525</xdr:rowOff>
    </xdr:to>
    <xdr:grpSp>
      <xdr:nvGrpSpPr>
        <xdr:cNvPr id="2" name="Zaglavlje"/>
        <xdr:cNvGrpSpPr/>
      </xdr:nvGrpSpPr>
      <xdr:grpSpPr>
        <a:xfrm>
          <a:off x="0" y="0"/>
          <a:ext cx="6743700" cy="390525"/>
          <a:chOff x="0" y="0"/>
          <a:chExt cx="6743700" cy="390525"/>
        </a:xfrm>
      </xdr:grpSpPr>
      <xdr:sp macro="" textlink="">
        <xdr:nvSpPr>
          <xdr:cNvPr id="3" name="Logo"/>
          <xdr:cNvSpPr/>
        </xdr:nvSpPr>
        <xdr:spPr>
          <a:xfrm>
            <a:off x="0" y="0"/>
            <a:ext cx="380822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4" name="Naslov"/>
          <xdr:cNvSpPr/>
        </xdr:nvSpPr>
        <xdr:spPr>
          <a:xfrm>
            <a:off x="381000" y="0"/>
            <a:ext cx="617220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Izveštaj zatečenog stanja</a:t>
            </a:r>
          </a:p>
        </xdr:txBody>
      </xdr:sp>
      <xdr:sp macro="" textlink="">
        <xdr:nvSpPr>
          <xdr:cNvPr id="5" name="Gore">
            <a:hlinkClick xmlns:r="http://schemas.openxmlformats.org/officeDocument/2006/relationships" r:id="rId1" tooltip="Gore"/>
          </xdr:cNvPr>
          <xdr:cNvSpPr/>
        </xdr:nvSpPr>
        <xdr:spPr>
          <a:xfrm>
            <a:off x="6529637" y="85725"/>
            <a:ext cx="214063" cy="190500"/>
          </a:xfrm>
          <a:prstGeom prst="upArrow">
            <a:avLst/>
          </a:prstGeom>
          <a:solidFill>
            <a:schemeClr val="bg1">
              <a:lumMod val="75000"/>
            </a:schemeClr>
          </a:solidFill>
          <a:ln>
            <a:noFill/>
          </a:ln>
          <a:effectLst>
            <a:outerShdw blurRad="50800" dist="127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sr-Latn-RS" sz="10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2</xdr:col>
      <xdr:colOff>0</xdr:colOff>
      <xdr:row>2</xdr:row>
      <xdr:rowOff>0</xdr:rowOff>
    </xdr:from>
    <xdr:to>
      <xdr:col>5</xdr:col>
      <xdr:colOff>0</xdr:colOff>
      <xdr:row>4</xdr:row>
      <xdr:rowOff>10123</xdr:rowOff>
    </xdr:to>
    <xdr:grpSp>
      <xdr:nvGrpSpPr>
        <xdr:cNvPr id="6" name="Navigacija"/>
        <xdr:cNvGrpSpPr/>
      </xdr:nvGrpSpPr>
      <xdr:grpSpPr>
        <a:xfrm>
          <a:off x="381000" y="581025"/>
          <a:ext cx="6362700" cy="391123"/>
          <a:chOff x="381000" y="581025"/>
          <a:chExt cx="6362700" cy="391123"/>
        </a:xfrm>
      </xdr:grpSpPr>
      <xdr:sp macro="" textlink="">
        <xdr:nvSpPr>
          <xdr:cNvPr id="7" name="Podesavanja">
            <a:hlinkClick xmlns:r="http://schemas.openxmlformats.org/officeDocument/2006/relationships" r:id="rId2" tooltip="Podešavanja"/>
          </xdr:cNvPr>
          <xdr:cNvSpPr/>
        </xdr:nvSpPr>
        <xdr:spPr>
          <a:xfrm>
            <a:off x="571500" y="581025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8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81050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9" name="PDF"/>
          <xdr:cNvSpPr/>
        </xdr:nvSpPr>
        <xdr:spPr>
          <a:xfrm>
            <a:off x="6362700" y="581025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10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91746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11" name="Red"/>
          <xdr:cNvSpPr/>
        </xdr:nvSpPr>
        <xdr:spPr>
          <a:xfrm>
            <a:off x="5791200" y="581324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23563</xdr:colOff>
      <xdr:row>1</xdr:row>
      <xdr:rowOff>9525</xdr:rowOff>
    </xdr:to>
    <xdr:grpSp>
      <xdr:nvGrpSpPr>
        <xdr:cNvPr id="2" name="Zaglavlje"/>
        <xdr:cNvGrpSpPr/>
      </xdr:nvGrpSpPr>
      <xdr:grpSpPr>
        <a:xfrm>
          <a:off x="0" y="0"/>
          <a:ext cx="6700588" cy="390525"/>
          <a:chOff x="0" y="0"/>
          <a:chExt cx="6700588" cy="390525"/>
        </a:xfrm>
      </xdr:grpSpPr>
      <xdr:sp macro="" textlink="">
        <xdr:nvSpPr>
          <xdr:cNvPr id="3" name="Logo"/>
          <xdr:cNvSpPr/>
        </xdr:nvSpPr>
        <xdr:spPr>
          <a:xfrm>
            <a:off x="0" y="0"/>
            <a:ext cx="380822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4" name="Naslov"/>
          <xdr:cNvSpPr/>
        </xdr:nvSpPr>
        <xdr:spPr>
          <a:xfrm>
            <a:off x="381000" y="0"/>
            <a:ext cx="6105525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Izveštaj zatečenog stanja</a:t>
            </a:r>
          </a:p>
        </xdr:txBody>
      </xdr:sp>
      <xdr:sp macro="" textlink="">
        <xdr:nvSpPr>
          <xdr:cNvPr id="5" name="Gore">
            <a:hlinkClick xmlns:r="http://schemas.openxmlformats.org/officeDocument/2006/relationships" r:id="rId1" tooltip="Gore"/>
          </xdr:cNvPr>
          <xdr:cNvSpPr/>
        </xdr:nvSpPr>
        <xdr:spPr>
          <a:xfrm>
            <a:off x="6486525" y="85725"/>
            <a:ext cx="214063" cy="190500"/>
          </a:xfrm>
          <a:prstGeom prst="upArrow">
            <a:avLst/>
          </a:prstGeom>
          <a:solidFill>
            <a:schemeClr val="bg1">
              <a:lumMod val="75000"/>
            </a:schemeClr>
          </a:solidFill>
          <a:ln>
            <a:noFill/>
          </a:ln>
          <a:effectLst>
            <a:outerShdw blurRad="50800" dist="127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sr-Latn-RS" sz="10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2</xdr:col>
      <xdr:colOff>0</xdr:colOff>
      <xdr:row>2</xdr:row>
      <xdr:rowOff>0</xdr:rowOff>
    </xdr:from>
    <xdr:to>
      <xdr:col>6</xdr:col>
      <xdr:colOff>0</xdr:colOff>
      <xdr:row>4</xdr:row>
      <xdr:rowOff>10123</xdr:rowOff>
    </xdr:to>
    <xdr:grpSp>
      <xdr:nvGrpSpPr>
        <xdr:cNvPr id="6" name="Navigacija"/>
        <xdr:cNvGrpSpPr/>
      </xdr:nvGrpSpPr>
      <xdr:grpSpPr>
        <a:xfrm>
          <a:off x="381000" y="581025"/>
          <a:ext cx="6296025" cy="391123"/>
          <a:chOff x="381000" y="581025"/>
          <a:chExt cx="6296025" cy="391123"/>
        </a:xfrm>
      </xdr:grpSpPr>
      <xdr:sp macro="" textlink="">
        <xdr:nvSpPr>
          <xdr:cNvPr id="7" name="Podesavanja">
            <a:hlinkClick xmlns:r="http://schemas.openxmlformats.org/officeDocument/2006/relationships" r:id="rId2" tooltip="Podešavanja"/>
          </xdr:cNvPr>
          <xdr:cNvSpPr/>
        </xdr:nvSpPr>
        <xdr:spPr>
          <a:xfrm>
            <a:off x="571500" y="581025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8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81050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9" name="PDF"/>
          <xdr:cNvSpPr/>
        </xdr:nvSpPr>
        <xdr:spPr>
          <a:xfrm>
            <a:off x="6296025" y="581025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10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91746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11" name="Red"/>
          <xdr:cNvSpPr/>
        </xdr:nvSpPr>
        <xdr:spPr>
          <a:xfrm>
            <a:off x="5724525" y="581324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23563</xdr:colOff>
      <xdr:row>1</xdr:row>
      <xdr:rowOff>9525</xdr:rowOff>
    </xdr:to>
    <xdr:grpSp>
      <xdr:nvGrpSpPr>
        <xdr:cNvPr id="2" name="Zaglavlje"/>
        <xdr:cNvGrpSpPr/>
      </xdr:nvGrpSpPr>
      <xdr:grpSpPr>
        <a:xfrm>
          <a:off x="0" y="0"/>
          <a:ext cx="6710113" cy="390525"/>
          <a:chOff x="0" y="0"/>
          <a:chExt cx="6710113" cy="390525"/>
        </a:xfrm>
      </xdr:grpSpPr>
      <xdr:sp macro="" textlink="">
        <xdr:nvSpPr>
          <xdr:cNvPr id="3" name="Logo"/>
          <xdr:cNvSpPr/>
        </xdr:nvSpPr>
        <xdr:spPr>
          <a:xfrm>
            <a:off x="0" y="0"/>
            <a:ext cx="380822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4" name="Naslov"/>
          <xdr:cNvSpPr/>
        </xdr:nvSpPr>
        <xdr:spPr>
          <a:xfrm>
            <a:off x="381000" y="0"/>
            <a:ext cx="611505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Izveštaj zatečenog stanja</a:t>
            </a:r>
          </a:p>
        </xdr:txBody>
      </xdr:sp>
      <xdr:sp macro="" textlink="">
        <xdr:nvSpPr>
          <xdr:cNvPr id="5" name="Gore">
            <a:hlinkClick xmlns:r="http://schemas.openxmlformats.org/officeDocument/2006/relationships" r:id="rId1" tooltip="Gore"/>
          </xdr:cNvPr>
          <xdr:cNvSpPr/>
        </xdr:nvSpPr>
        <xdr:spPr>
          <a:xfrm>
            <a:off x="6496050" y="85725"/>
            <a:ext cx="214063" cy="190500"/>
          </a:xfrm>
          <a:prstGeom prst="upArrow">
            <a:avLst/>
          </a:prstGeom>
          <a:solidFill>
            <a:schemeClr val="bg1">
              <a:lumMod val="75000"/>
            </a:schemeClr>
          </a:solidFill>
          <a:ln>
            <a:noFill/>
          </a:ln>
          <a:effectLst>
            <a:outerShdw blurRad="50800" dist="127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sr-Latn-RS" sz="10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2</xdr:col>
      <xdr:colOff>0</xdr:colOff>
      <xdr:row>2</xdr:row>
      <xdr:rowOff>0</xdr:rowOff>
    </xdr:from>
    <xdr:to>
      <xdr:col>9</xdr:col>
      <xdr:colOff>0</xdr:colOff>
      <xdr:row>4</xdr:row>
      <xdr:rowOff>10123</xdr:rowOff>
    </xdr:to>
    <xdr:grpSp>
      <xdr:nvGrpSpPr>
        <xdr:cNvPr id="12" name="Navigacija"/>
        <xdr:cNvGrpSpPr/>
      </xdr:nvGrpSpPr>
      <xdr:grpSpPr>
        <a:xfrm>
          <a:off x="381000" y="581025"/>
          <a:ext cx="6305550" cy="391123"/>
          <a:chOff x="381000" y="570902"/>
          <a:chExt cx="6305550" cy="391123"/>
        </a:xfrm>
      </xdr:grpSpPr>
      <xdr:sp macro="" textlink="">
        <xdr:nvSpPr>
          <xdr:cNvPr id="13" name="Podesavanja">
            <a:hlinkClick xmlns:r="http://schemas.openxmlformats.org/officeDocument/2006/relationships" r:id="rId2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14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15" name="PDF"/>
          <xdr:cNvSpPr/>
        </xdr:nvSpPr>
        <xdr:spPr>
          <a:xfrm>
            <a:off x="6305550" y="5709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16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17" name="Red"/>
          <xdr:cNvSpPr/>
        </xdr:nvSpPr>
        <xdr:spPr>
          <a:xfrm>
            <a:off x="5772150" y="5712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  <xdr:sp macro="[0]!PrikaziFrmDodajProstoriju" textlink="">
        <xdr:nvSpPr>
          <xdr:cNvPr id="18" name="Dodaj"/>
          <xdr:cNvSpPr/>
        </xdr:nvSpPr>
        <xdr:spPr>
          <a:xfrm>
            <a:off x="5200650" y="581025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2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Simplex" panose="00000400000000000000" pitchFamily="2" charset="0"/>
                <a:ea typeface="+mn-ea"/>
                <a:cs typeface="Simplex" panose="00000400000000000000" pitchFamily="2" charset="0"/>
              </a:rPr>
              <a:t>+</a:t>
            </a:r>
          </a:p>
        </xdr:txBody>
      </xdr:sp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23563</xdr:colOff>
      <xdr:row>1</xdr:row>
      <xdr:rowOff>9525</xdr:rowOff>
    </xdr:to>
    <xdr:grpSp>
      <xdr:nvGrpSpPr>
        <xdr:cNvPr id="2" name="Zaglavlje"/>
        <xdr:cNvGrpSpPr/>
      </xdr:nvGrpSpPr>
      <xdr:grpSpPr>
        <a:xfrm>
          <a:off x="0" y="0"/>
          <a:ext cx="6710113" cy="390525"/>
          <a:chOff x="0" y="0"/>
          <a:chExt cx="6710113" cy="390525"/>
        </a:xfrm>
      </xdr:grpSpPr>
      <xdr:sp macro="" textlink="">
        <xdr:nvSpPr>
          <xdr:cNvPr id="3" name="Logo"/>
          <xdr:cNvSpPr/>
        </xdr:nvSpPr>
        <xdr:spPr>
          <a:xfrm>
            <a:off x="0" y="0"/>
            <a:ext cx="380822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4" name="Naslov"/>
          <xdr:cNvSpPr/>
        </xdr:nvSpPr>
        <xdr:spPr>
          <a:xfrm>
            <a:off x="381000" y="0"/>
            <a:ext cx="611505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Izveštaj zatečenog stanja</a:t>
            </a:r>
          </a:p>
        </xdr:txBody>
      </xdr:sp>
      <xdr:sp macro="" textlink="">
        <xdr:nvSpPr>
          <xdr:cNvPr id="5" name="Gore">
            <a:hlinkClick xmlns:r="http://schemas.openxmlformats.org/officeDocument/2006/relationships" r:id="rId1" tooltip="Gore"/>
          </xdr:cNvPr>
          <xdr:cNvSpPr/>
        </xdr:nvSpPr>
        <xdr:spPr>
          <a:xfrm>
            <a:off x="6496050" y="85725"/>
            <a:ext cx="214063" cy="190500"/>
          </a:xfrm>
          <a:prstGeom prst="upArrow">
            <a:avLst/>
          </a:prstGeom>
          <a:solidFill>
            <a:schemeClr val="bg1">
              <a:lumMod val="75000"/>
            </a:schemeClr>
          </a:solidFill>
          <a:ln>
            <a:noFill/>
          </a:ln>
          <a:effectLst>
            <a:outerShdw blurRad="50800" dist="127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sr-Latn-RS" sz="10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2</xdr:col>
      <xdr:colOff>0</xdr:colOff>
      <xdr:row>2</xdr:row>
      <xdr:rowOff>0</xdr:rowOff>
    </xdr:from>
    <xdr:to>
      <xdr:col>9</xdr:col>
      <xdr:colOff>0</xdr:colOff>
      <xdr:row>4</xdr:row>
      <xdr:rowOff>10123</xdr:rowOff>
    </xdr:to>
    <xdr:grpSp>
      <xdr:nvGrpSpPr>
        <xdr:cNvPr id="6" name="Navigacija"/>
        <xdr:cNvGrpSpPr/>
      </xdr:nvGrpSpPr>
      <xdr:grpSpPr>
        <a:xfrm>
          <a:off x="381000" y="581025"/>
          <a:ext cx="6305550" cy="391123"/>
          <a:chOff x="381000" y="570902"/>
          <a:chExt cx="6305550" cy="391123"/>
        </a:xfrm>
      </xdr:grpSpPr>
      <xdr:sp macro="" textlink="">
        <xdr:nvSpPr>
          <xdr:cNvPr id="7" name="Podesavanja">
            <a:hlinkClick xmlns:r="http://schemas.openxmlformats.org/officeDocument/2006/relationships" r:id="rId2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8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9" name="PDF"/>
          <xdr:cNvSpPr/>
        </xdr:nvSpPr>
        <xdr:spPr>
          <a:xfrm>
            <a:off x="6305550" y="5709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10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11" name="Red"/>
          <xdr:cNvSpPr/>
        </xdr:nvSpPr>
        <xdr:spPr>
          <a:xfrm>
            <a:off x="5772150" y="5712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  <xdr:sp macro="[0]!PrikaziFrmDodajProstoriju" textlink="">
        <xdr:nvSpPr>
          <xdr:cNvPr id="12" name="Dodaj"/>
          <xdr:cNvSpPr/>
        </xdr:nvSpPr>
        <xdr:spPr>
          <a:xfrm>
            <a:off x="5200650" y="581025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2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Simplex" panose="00000400000000000000" pitchFamily="2" charset="0"/>
                <a:ea typeface="+mn-ea"/>
                <a:cs typeface="Simplex" panose="00000400000000000000" pitchFamily="2" charset="0"/>
              </a:rPr>
              <a:t>+</a:t>
            </a:r>
          </a:p>
        </xdr:txBody>
      </xdr:sp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23563</xdr:colOff>
      <xdr:row>1</xdr:row>
      <xdr:rowOff>9525</xdr:rowOff>
    </xdr:to>
    <xdr:grpSp>
      <xdr:nvGrpSpPr>
        <xdr:cNvPr id="2" name="Zaglavlje"/>
        <xdr:cNvGrpSpPr/>
      </xdr:nvGrpSpPr>
      <xdr:grpSpPr>
        <a:xfrm>
          <a:off x="0" y="0"/>
          <a:ext cx="6710113" cy="390525"/>
          <a:chOff x="0" y="0"/>
          <a:chExt cx="6710113" cy="390525"/>
        </a:xfrm>
      </xdr:grpSpPr>
      <xdr:sp macro="" textlink="">
        <xdr:nvSpPr>
          <xdr:cNvPr id="3" name="Logo"/>
          <xdr:cNvSpPr/>
        </xdr:nvSpPr>
        <xdr:spPr>
          <a:xfrm>
            <a:off x="0" y="0"/>
            <a:ext cx="380822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4" name="Naslov"/>
          <xdr:cNvSpPr/>
        </xdr:nvSpPr>
        <xdr:spPr>
          <a:xfrm>
            <a:off x="381000" y="0"/>
            <a:ext cx="611505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Izveštaj zatečenog stanja</a:t>
            </a:r>
          </a:p>
        </xdr:txBody>
      </xdr:sp>
      <xdr:sp macro="" textlink="">
        <xdr:nvSpPr>
          <xdr:cNvPr id="5" name="Gore">
            <a:hlinkClick xmlns:r="http://schemas.openxmlformats.org/officeDocument/2006/relationships" r:id="rId1" tooltip="Gore"/>
          </xdr:cNvPr>
          <xdr:cNvSpPr/>
        </xdr:nvSpPr>
        <xdr:spPr>
          <a:xfrm>
            <a:off x="6496050" y="85725"/>
            <a:ext cx="214063" cy="190500"/>
          </a:xfrm>
          <a:prstGeom prst="upArrow">
            <a:avLst/>
          </a:prstGeom>
          <a:solidFill>
            <a:schemeClr val="bg1">
              <a:lumMod val="75000"/>
            </a:schemeClr>
          </a:solidFill>
          <a:ln>
            <a:noFill/>
          </a:ln>
          <a:effectLst>
            <a:outerShdw blurRad="50800" dist="127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sr-Latn-RS" sz="10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2</xdr:col>
      <xdr:colOff>0</xdr:colOff>
      <xdr:row>2</xdr:row>
      <xdr:rowOff>0</xdr:rowOff>
    </xdr:from>
    <xdr:to>
      <xdr:col>9</xdr:col>
      <xdr:colOff>0</xdr:colOff>
      <xdr:row>4</xdr:row>
      <xdr:rowOff>10123</xdr:rowOff>
    </xdr:to>
    <xdr:grpSp>
      <xdr:nvGrpSpPr>
        <xdr:cNvPr id="6" name="Navigacija"/>
        <xdr:cNvGrpSpPr/>
      </xdr:nvGrpSpPr>
      <xdr:grpSpPr>
        <a:xfrm>
          <a:off x="381000" y="581025"/>
          <a:ext cx="6305550" cy="391123"/>
          <a:chOff x="381000" y="570902"/>
          <a:chExt cx="6305550" cy="391123"/>
        </a:xfrm>
      </xdr:grpSpPr>
      <xdr:sp macro="" textlink="">
        <xdr:nvSpPr>
          <xdr:cNvPr id="7" name="Podesavanja">
            <a:hlinkClick xmlns:r="http://schemas.openxmlformats.org/officeDocument/2006/relationships" r:id="rId2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8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9" name="PDF"/>
          <xdr:cNvSpPr/>
        </xdr:nvSpPr>
        <xdr:spPr>
          <a:xfrm>
            <a:off x="6305550" y="5709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10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11" name="Red"/>
          <xdr:cNvSpPr/>
        </xdr:nvSpPr>
        <xdr:spPr>
          <a:xfrm>
            <a:off x="5772150" y="5712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  <xdr:sp macro="[0]!PrikaziFrmDodajProstoriju" textlink="">
        <xdr:nvSpPr>
          <xdr:cNvPr id="12" name="Dodaj"/>
          <xdr:cNvSpPr/>
        </xdr:nvSpPr>
        <xdr:spPr>
          <a:xfrm>
            <a:off x="5200650" y="581025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2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Simplex" panose="00000400000000000000" pitchFamily="2" charset="0"/>
                <a:ea typeface="+mn-ea"/>
                <a:cs typeface="Simplex" panose="00000400000000000000" pitchFamily="2" charset="0"/>
              </a:rPr>
              <a:t>+</a:t>
            </a:r>
          </a:p>
        </xdr:txBody>
      </xdr:sp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23563</xdr:colOff>
      <xdr:row>1</xdr:row>
      <xdr:rowOff>9525</xdr:rowOff>
    </xdr:to>
    <xdr:grpSp>
      <xdr:nvGrpSpPr>
        <xdr:cNvPr id="2" name="Zaglavlje"/>
        <xdr:cNvGrpSpPr/>
      </xdr:nvGrpSpPr>
      <xdr:grpSpPr>
        <a:xfrm>
          <a:off x="0" y="0"/>
          <a:ext cx="6710113" cy="390525"/>
          <a:chOff x="0" y="0"/>
          <a:chExt cx="6710113" cy="390525"/>
        </a:xfrm>
      </xdr:grpSpPr>
      <xdr:sp macro="" textlink="">
        <xdr:nvSpPr>
          <xdr:cNvPr id="3" name="Logo"/>
          <xdr:cNvSpPr/>
        </xdr:nvSpPr>
        <xdr:spPr>
          <a:xfrm>
            <a:off x="0" y="0"/>
            <a:ext cx="380822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4" name="Naslov"/>
          <xdr:cNvSpPr/>
        </xdr:nvSpPr>
        <xdr:spPr>
          <a:xfrm>
            <a:off x="381000" y="0"/>
            <a:ext cx="611505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Izveštaj zatečenog stanja</a:t>
            </a:r>
          </a:p>
        </xdr:txBody>
      </xdr:sp>
      <xdr:sp macro="" textlink="">
        <xdr:nvSpPr>
          <xdr:cNvPr id="5" name="Gore">
            <a:hlinkClick xmlns:r="http://schemas.openxmlformats.org/officeDocument/2006/relationships" r:id="rId1" tooltip="Gore"/>
          </xdr:cNvPr>
          <xdr:cNvSpPr/>
        </xdr:nvSpPr>
        <xdr:spPr>
          <a:xfrm>
            <a:off x="6496050" y="85725"/>
            <a:ext cx="214063" cy="190500"/>
          </a:xfrm>
          <a:prstGeom prst="upArrow">
            <a:avLst/>
          </a:prstGeom>
          <a:solidFill>
            <a:schemeClr val="bg1">
              <a:lumMod val="75000"/>
            </a:schemeClr>
          </a:solidFill>
          <a:ln>
            <a:noFill/>
          </a:ln>
          <a:effectLst>
            <a:outerShdw blurRad="50800" dist="127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sr-Latn-RS" sz="10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2</xdr:col>
      <xdr:colOff>0</xdr:colOff>
      <xdr:row>2</xdr:row>
      <xdr:rowOff>0</xdr:rowOff>
    </xdr:from>
    <xdr:to>
      <xdr:col>9</xdr:col>
      <xdr:colOff>0</xdr:colOff>
      <xdr:row>4</xdr:row>
      <xdr:rowOff>10123</xdr:rowOff>
    </xdr:to>
    <xdr:grpSp>
      <xdr:nvGrpSpPr>
        <xdr:cNvPr id="6" name="Navigacija"/>
        <xdr:cNvGrpSpPr/>
      </xdr:nvGrpSpPr>
      <xdr:grpSpPr>
        <a:xfrm>
          <a:off x="381000" y="581025"/>
          <a:ext cx="6305550" cy="391123"/>
          <a:chOff x="381000" y="570902"/>
          <a:chExt cx="6305550" cy="391123"/>
        </a:xfrm>
      </xdr:grpSpPr>
      <xdr:sp macro="" textlink="">
        <xdr:nvSpPr>
          <xdr:cNvPr id="7" name="Podesavanja">
            <a:hlinkClick xmlns:r="http://schemas.openxmlformats.org/officeDocument/2006/relationships" r:id="rId2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8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9" name="PDF"/>
          <xdr:cNvSpPr/>
        </xdr:nvSpPr>
        <xdr:spPr>
          <a:xfrm>
            <a:off x="6305550" y="5709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10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11" name="Red"/>
          <xdr:cNvSpPr/>
        </xdr:nvSpPr>
        <xdr:spPr>
          <a:xfrm>
            <a:off x="5772150" y="5712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  <xdr:sp macro="[0]!PrikaziFrmDodajProstoriju" textlink="">
        <xdr:nvSpPr>
          <xdr:cNvPr id="12" name="Dodaj"/>
          <xdr:cNvSpPr/>
        </xdr:nvSpPr>
        <xdr:spPr>
          <a:xfrm>
            <a:off x="5200650" y="581025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2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Simplex" panose="00000400000000000000" pitchFamily="2" charset="0"/>
                <a:ea typeface="+mn-ea"/>
                <a:cs typeface="Simplex" panose="00000400000000000000" pitchFamily="2" charset="0"/>
              </a:rPr>
              <a:t>+</a:t>
            </a:r>
          </a:p>
        </xdr:txBody>
      </xdr:sp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23563</xdr:colOff>
      <xdr:row>1</xdr:row>
      <xdr:rowOff>9525</xdr:rowOff>
    </xdr:to>
    <xdr:grpSp>
      <xdr:nvGrpSpPr>
        <xdr:cNvPr id="2" name="Zaglavlje"/>
        <xdr:cNvGrpSpPr/>
      </xdr:nvGrpSpPr>
      <xdr:grpSpPr>
        <a:xfrm>
          <a:off x="0" y="0"/>
          <a:ext cx="6710113" cy="390525"/>
          <a:chOff x="0" y="0"/>
          <a:chExt cx="6710113" cy="390525"/>
        </a:xfrm>
      </xdr:grpSpPr>
      <xdr:sp macro="" textlink="">
        <xdr:nvSpPr>
          <xdr:cNvPr id="3" name="Logo"/>
          <xdr:cNvSpPr/>
        </xdr:nvSpPr>
        <xdr:spPr>
          <a:xfrm>
            <a:off x="0" y="0"/>
            <a:ext cx="380822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4" name="Naslov"/>
          <xdr:cNvSpPr/>
        </xdr:nvSpPr>
        <xdr:spPr>
          <a:xfrm>
            <a:off x="381000" y="0"/>
            <a:ext cx="611505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Izveštaj zatečenog stanja</a:t>
            </a:r>
          </a:p>
        </xdr:txBody>
      </xdr:sp>
      <xdr:sp macro="" textlink="">
        <xdr:nvSpPr>
          <xdr:cNvPr id="5" name="Gore">
            <a:hlinkClick xmlns:r="http://schemas.openxmlformats.org/officeDocument/2006/relationships" r:id="rId1" tooltip="Gore"/>
          </xdr:cNvPr>
          <xdr:cNvSpPr/>
        </xdr:nvSpPr>
        <xdr:spPr>
          <a:xfrm>
            <a:off x="6496050" y="85725"/>
            <a:ext cx="214063" cy="190500"/>
          </a:xfrm>
          <a:prstGeom prst="upArrow">
            <a:avLst/>
          </a:prstGeom>
          <a:solidFill>
            <a:schemeClr val="bg1">
              <a:lumMod val="75000"/>
            </a:schemeClr>
          </a:solidFill>
          <a:ln>
            <a:noFill/>
          </a:ln>
          <a:effectLst>
            <a:outerShdw blurRad="50800" dist="127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sr-Latn-RS" sz="10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2</xdr:col>
      <xdr:colOff>0</xdr:colOff>
      <xdr:row>2</xdr:row>
      <xdr:rowOff>0</xdr:rowOff>
    </xdr:from>
    <xdr:to>
      <xdr:col>9</xdr:col>
      <xdr:colOff>0</xdr:colOff>
      <xdr:row>4</xdr:row>
      <xdr:rowOff>10123</xdr:rowOff>
    </xdr:to>
    <xdr:grpSp>
      <xdr:nvGrpSpPr>
        <xdr:cNvPr id="6" name="Navigacija"/>
        <xdr:cNvGrpSpPr/>
      </xdr:nvGrpSpPr>
      <xdr:grpSpPr>
        <a:xfrm>
          <a:off x="381000" y="581025"/>
          <a:ext cx="6305550" cy="391123"/>
          <a:chOff x="381000" y="570902"/>
          <a:chExt cx="6305550" cy="391123"/>
        </a:xfrm>
      </xdr:grpSpPr>
      <xdr:sp macro="" textlink="">
        <xdr:nvSpPr>
          <xdr:cNvPr id="7" name="Podesavanja">
            <a:hlinkClick xmlns:r="http://schemas.openxmlformats.org/officeDocument/2006/relationships" r:id="rId2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8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9" name="PDF"/>
          <xdr:cNvSpPr/>
        </xdr:nvSpPr>
        <xdr:spPr>
          <a:xfrm>
            <a:off x="6305550" y="5709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10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11" name="Red"/>
          <xdr:cNvSpPr/>
        </xdr:nvSpPr>
        <xdr:spPr>
          <a:xfrm>
            <a:off x="5772150" y="5712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  <xdr:sp macro="[0]!PrikaziFrmDodajProstoriju" textlink="">
        <xdr:nvSpPr>
          <xdr:cNvPr id="12" name="Dodaj"/>
          <xdr:cNvSpPr/>
        </xdr:nvSpPr>
        <xdr:spPr>
          <a:xfrm>
            <a:off x="5200650" y="581025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2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Simplex" panose="00000400000000000000" pitchFamily="2" charset="0"/>
                <a:ea typeface="+mn-ea"/>
                <a:cs typeface="Simplex" panose="00000400000000000000" pitchFamily="2" charset="0"/>
              </a:rPr>
              <a:t>+</a:t>
            </a:r>
          </a:p>
        </xdr:txBody>
      </xdr:sp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23563</xdr:colOff>
      <xdr:row>1</xdr:row>
      <xdr:rowOff>9525</xdr:rowOff>
    </xdr:to>
    <xdr:grpSp>
      <xdr:nvGrpSpPr>
        <xdr:cNvPr id="2" name="Zaglavlje"/>
        <xdr:cNvGrpSpPr/>
      </xdr:nvGrpSpPr>
      <xdr:grpSpPr>
        <a:xfrm>
          <a:off x="0" y="0"/>
          <a:ext cx="6710113" cy="390525"/>
          <a:chOff x="0" y="0"/>
          <a:chExt cx="6710113" cy="390525"/>
        </a:xfrm>
      </xdr:grpSpPr>
      <xdr:sp macro="" textlink="">
        <xdr:nvSpPr>
          <xdr:cNvPr id="3" name="Logo"/>
          <xdr:cNvSpPr/>
        </xdr:nvSpPr>
        <xdr:spPr>
          <a:xfrm>
            <a:off x="0" y="0"/>
            <a:ext cx="380822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4" name="Naslov"/>
          <xdr:cNvSpPr/>
        </xdr:nvSpPr>
        <xdr:spPr>
          <a:xfrm>
            <a:off x="381000" y="0"/>
            <a:ext cx="611505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Izveštaj zatečenog stanja</a:t>
            </a:r>
          </a:p>
        </xdr:txBody>
      </xdr:sp>
      <xdr:sp macro="" textlink="">
        <xdr:nvSpPr>
          <xdr:cNvPr id="5" name="Gore">
            <a:hlinkClick xmlns:r="http://schemas.openxmlformats.org/officeDocument/2006/relationships" r:id="rId1" tooltip="Gore"/>
          </xdr:cNvPr>
          <xdr:cNvSpPr/>
        </xdr:nvSpPr>
        <xdr:spPr>
          <a:xfrm>
            <a:off x="6496050" y="85725"/>
            <a:ext cx="214063" cy="190500"/>
          </a:xfrm>
          <a:prstGeom prst="upArrow">
            <a:avLst/>
          </a:prstGeom>
          <a:solidFill>
            <a:schemeClr val="bg1">
              <a:lumMod val="75000"/>
            </a:schemeClr>
          </a:solidFill>
          <a:ln>
            <a:noFill/>
          </a:ln>
          <a:effectLst>
            <a:outerShdw blurRad="50800" dist="127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sr-Latn-RS" sz="10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2</xdr:col>
      <xdr:colOff>0</xdr:colOff>
      <xdr:row>2</xdr:row>
      <xdr:rowOff>0</xdr:rowOff>
    </xdr:from>
    <xdr:to>
      <xdr:col>9</xdr:col>
      <xdr:colOff>0</xdr:colOff>
      <xdr:row>4</xdr:row>
      <xdr:rowOff>10123</xdr:rowOff>
    </xdr:to>
    <xdr:grpSp>
      <xdr:nvGrpSpPr>
        <xdr:cNvPr id="6" name="Navigacija"/>
        <xdr:cNvGrpSpPr/>
      </xdr:nvGrpSpPr>
      <xdr:grpSpPr>
        <a:xfrm>
          <a:off x="381000" y="581025"/>
          <a:ext cx="6305550" cy="391123"/>
          <a:chOff x="381000" y="570902"/>
          <a:chExt cx="6305550" cy="391123"/>
        </a:xfrm>
      </xdr:grpSpPr>
      <xdr:sp macro="" textlink="">
        <xdr:nvSpPr>
          <xdr:cNvPr id="7" name="Podesavanja">
            <a:hlinkClick xmlns:r="http://schemas.openxmlformats.org/officeDocument/2006/relationships" r:id="rId2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8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9" name="PDF"/>
          <xdr:cNvSpPr/>
        </xdr:nvSpPr>
        <xdr:spPr>
          <a:xfrm>
            <a:off x="6305550" y="5709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10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11" name="Red"/>
          <xdr:cNvSpPr/>
        </xdr:nvSpPr>
        <xdr:spPr>
          <a:xfrm>
            <a:off x="5772150" y="5712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  <xdr:sp macro="[0]!PrikaziFrmDodajProstoriju" textlink="">
        <xdr:nvSpPr>
          <xdr:cNvPr id="12" name="Dodaj"/>
          <xdr:cNvSpPr/>
        </xdr:nvSpPr>
        <xdr:spPr>
          <a:xfrm>
            <a:off x="5200650" y="581025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2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Simplex" panose="00000400000000000000" pitchFamily="2" charset="0"/>
                <a:ea typeface="+mn-ea"/>
                <a:cs typeface="Simplex" panose="00000400000000000000" pitchFamily="2" charset="0"/>
              </a:rPr>
              <a:t>+</a:t>
            </a:r>
          </a:p>
        </xdr:txBody>
      </xdr:sp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23563</xdr:colOff>
      <xdr:row>1</xdr:row>
      <xdr:rowOff>9525</xdr:rowOff>
    </xdr:to>
    <xdr:grpSp>
      <xdr:nvGrpSpPr>
        <xdr:cNvPr id="2" name="Zaglavlje"/>
        <xdr:cNvGrpSpPr/>
      </xdr:nvGrpSpPr>
      <xdr:grpSpPr>
        <a:xfrm>
          <a:off x="0" y="0"/>
          <a:ext cx="6710113" cy="390525"/>
          <a:chOff x="0" y="0"/>
          <a:chExt cx="6710113" cy="390525"/>
        </a:xfrm>
      </xdr:grpSpPr>
      <xdr:sp macro="" textlink="">
        <xdr:nvSpPr>
          <xdr:cNvPr id="3" name="Logo"/>
          <xdr:cNvSpPr/>
        </xdr:nvSpPr>
        <xdr:spPr>
          <a:xfrm>
            <a:off x="0" y="0"/>
            <a:ext cx="380822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4" name="Naslov"/>
          <xdr:cNvSpPr/>
        </xdr:nvSpPr>
        <xdr:spPr>
          <a:xfrm>
            <a:off x="381000" y="0"/>
            <a:ext cx="611505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Izveštaj zatečenog stanja</a:t>
            </a:r>
          </a:p>
        </xdr:txBody>
      </xdr:sp>
      <xdr:sp macro="" textlink="">
        <xdr:nvSpPr>
          <xdr:cNvPr id="5" name="Gore">
            <a:hlinkClick xmlns:r="http://schemas.openxmlformats.org/officeDocument/2006/relationships" r:id="rId1" tooltip="Gore"/>
          </xdr:cNvPr>
          <xdr:cNvSpPr/>
        </xdr:nvSpPr>
        <xdr:spPr>
          <a:xfrm>
            <a:off x="6496050" y="85725"/>
            <a:ext cx="214063" cy="190500"/>
          </a:xfrm>
          <a:prstGeom prst="upArrow">
            <a:avLst/>
          </a:prstGeom>
          <a:solidFill>
            <a:schemeClr val="bg1">
              <a:lumMod val="75000"/>
            </a:schemeClr>
          </a:solidFill>
          <a:ln>
            <a:noFill/>
          </a:ln>
          <a:effectLst>
            <a:outerShdw blurRad="50800" dist="127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sr-Latn-RS" sz="10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2</xdr:col>
      <xdr:colOff>0</xdr:colOff>
      <xdr:row>2</xdr:row>
      <xdr:rowOff>0</xdr:rowOff>
    </xdr:from>
    <xdr:to>
      <xdr:col>9</xdr:col>
      <xdr:colOff>0</xdr:colOff>
      <xdr:row>4</xdr:row>
      <xdr:rowOff>10123</xdr:rowOff>
    </xdr:to>
    <xdr:grpSp>
      <xdr:nvGrpSpPr>
        <xdr:cNvPr id="6" name="Navigacija"/>
        <xdr:cNvGrpSpPr/>
      </xdr:nvGrpSpPr>
      <xdr:grpSpPr>
        <a:xfrm>
          <a:off x="381000" y="581025"/>
          <a:ext cx="6305550" cy="391123"/>
          <a:chOff x="381000" y="570902"/>
          <a:chExt cx="6305550" cy="391123"/>
        </a:xfrm>
      </xdr:grpSpPr>
      <xdr:sp macro="" textlink="">
        <xdr:nvSpPr>
          <xdr:cNvPr id="7" name="Podesavanja">
            <a:hlinkClick xmlns:r="http://schemas.openxmlformats.org/officeDocument/2006/relationships" r:id="rId2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8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9" name="PDF"/>
          <xdr:cNvSpPr/>
        </xdr:nvSpPr>
        <xdr:spPr>
          <a:xfrm>
            <a:off x="6305550" y="5709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10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11" name="Red"/>
          <xdr:cNvSpPr/>
        </xdr:nvSpPr>
        <xdr:spPr>
          <a:xfrm>
            <a:off x="5772150" y="5712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  <xdr:sp macro="[0]!PrikaziFrmDodajProstoriju" textlink="">
        <xdr:nvSpPr>
          <xdr:cNvPr id="12" name="Dodaj"/>
          <xdr:cNvSpPr/>
        </xdr:nvSpPr>
        <xdr:spPr>
          <a:xfrm>
            <a:off x="5200650" y="581025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2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Simplex" panose="00000400000000000000" pitchFamily="2" charset="0"/>
                <a:ea typeface="+mn-ea"/>
                <a:cs typeface="Simplex" panose="00000400000000000000" pitchFamily="2" charset="0"/>
              </a:rPr>
              <a:t>+</a:t>
            </a:r>
          </a:p>
        </xdr:txBody>
      </xdr:sp>
    </xdr:grp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23563</xdr:colOff>
      <xdr:row>1</xdr:row>
      <xdr:rowOff>9525</xdr:rowOff>
    </xdr:to>
    <xdr:grpSp>
      <xdr:nvGrpSpPr>
        <xdr:cNvPr id="2" name="Zaglavlje"/>
        <xdr:cNvGrpSpPr/>
      </xdr:nvGrpSpPr>
      <xdr:grpSpPr>
        <a:xfrm>
          <a:off x="0" y="0"/>
          <a:ext cx="6710113" cy="390525"/>
          <a:chOff x="0" y="0"/>
          <a:chExt cx="6710113" cy="390525"/>
        </a:xfrm>
      </xdr:grpSpPr>
      <xdr:sp macro="" textlink="">
        <xdr:nvSpPr>
          <xdr:cNvPr id="3" name="Logo"/>
          <xdr:cNvSpPr/>
        </xdr:nvSpPr>
        <xdr:spPr>
          <a:xfrm>
            <a:off x="0" y="0"/>
            <a:ext cx="380822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4" name="Naslov"/>
          <xdr:cNvSpPr/>
        </xdr:nvSpPr>
        <xdr:spPr>
          <a:xfrm>
            <a:off x="381000" y="0"/>
            <a:ext cx="611505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Izveštaj zatečenog stanja</a:t>
            </a:r>
          </a:p>
        </xdr:txBody>
      </xdr:sp>
      <xdr:sp macro="" textlink="">
        <xdr:nvSpPr>
          <xdr:cNvPr id="5" name="Gore">
            <a:hlinkClick xmlns:r="http://schemas.openxmlformats.org/officeDocument/2006/relationships" r:id="rId1" tooltip="Gore"/>
          </xdr:cNvPr>
          <xdr:cNvSpPr/>
        </xdr:nvSpPr>
        <xdr:spPr>
          <a:xfrm>
            <a:off x="6496050" y="85725"/>
            <a:ext cx="214063" cy="190500"/>
          </a:xfrm>
          <a:prstGeom prst="upArrow">
            <a:avLst/>
          </a:prstGeom>
          <a:solidFill>
            <a:schemeClr val="bg1">
              <a:lumMod val="75000"/>
            </a:schemeClr>
          </a:solidFill>
          <a:ln>
            <a:noFill/>
          </a:ln>
          <a:effectLst>
            <a:outerShdw blurRad="50800" dist="127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sr-Latn-RS" sz="10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2</xdr:col>
      <xdr:colOff>0</xdr:colOff>
      <xdr:row>2</xdr:row>
      <xdr:rowOff>0</xdr:rowOff>
    </xdr:from>
    <xdr:to>
      <xdr:col>9</xdr:col>
      <xdr:colOff>0</xdr:colOff>
      <xdr:row>4</xdr:row>
      <xdr:rowOff>10123</xdr:rowOff>
    </xdr:to>
    <xdr:grpSp>
      <xdr:nvGrpSpPr>
        <xdr:cNvPr id="6" name="Navigacija"/>
        <xdr:cNvGrpSpPr/>
      </xdr:nvGrpSpPr>
      <xdr:grpSpPr>
        <a:xfrm>
          <a:off x="381000" y="581025"/>
          <a:ext cx="6305550" cy="391123"/>
          <a:chOff x="381000" y="570902"/>
          <a:chExt cx="6305550" cy="391123"/>
        </a:xfrm>
      </xdr:grpSpPr>
      <xdr:sp macro="" textlink="">
        <xdr:nvSpPr>
          <xdr:cNvPr id="7" name="Podesavanja">
            <a:hlinkClick xmlns:r="http://schemas.openxmlformats.org/officeDocument/2006/relationships" r:id="rId2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8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9" name="PDF"/>
          <xdr:cNvSpPr/>
        </xdr:nvSpPr>
        <xdr:spPr>
          <a:xfrm>
            <a:off x="6305550" y="5709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10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11" name="Red"/>
          <xdr:cNvSpPr/>
        </xdr:nvSpPr>
        <xdr:spPr>
          <a:xfrm>
            <a:off x="5772150" y="5712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  <xdr:sp macro="[0]!PrikaziFrmDodajProstoriju" textlink="">
        <xdr:nvSpPr>
          <xdr:cNvPr id="12" name="Dodaj"/>
          <xdr:cNvSpPr/>
        </xdr:nvSpPr>
        <xdr:spPr>
          <a:xfrm>
            <a:off x="5200650" y="581025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2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Simplex" panose="00000400000000000000" pitchFamily="2" charset="0"/>
                <a:ea typeface="+mn-ea"/>
                <a:cs typeface="Simplex" panose="00000400000000000000" pitchFamily="2" charset="0"/>
              </a:rPr>
              <a:t>+</a:t>
            </a:r>
          </a:p>
        </xdr:txBody>
      </xdr:sp>
    </xdr:grp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23563</xdr:colOff>
      <xdr:row>1</xdr:row>
      <xdr:rowOff>9525</xdr:rowOff>
    </xdr:to>
    <xdr:grpSp>
      <xdr:nvGrpSpPr>
        <xdr:cNvPr id="2" name="Zaglavlje"/>
        <xdr:cNvGrpSpPr/>
      </xdr:nvGrpSpPr>
      <xdr:grpSpPr>
        <a:xfrm>
          <a:off x="0" y="0"/>
          <a:ext cx="6710113" cy="390525"/>
          <a:chOff x="0" y="0"/>
          <a:chExt cx="6710113" cy="390525"/>
        </a:xfrm>
      </xdr:grpSpPr>
      <xdr:sp macro="" textlink="">
        <xdr:nvSpPr>
          <xdr:cNvPr id="3" name="Logo"/>
          <xdr:cNvSpPr/>
        </xdr:nvSpPr>
        <xdr:spPr>
          <a:xfrm>
            <a:off x="0" y="0"/>
            <a:ext cx="380822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4" name="Naslov"/>
          <xdr:cNvSpPr/>
        </xdr:nvSpPr>
        <xdr:spPr>
          <a:xfrm>
            <a:off x="381000" y="0"/>
            <a:ext cx="611505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Izveštaj zatečenog stanja</a:t>
            </a:r>
          </a:p>
        </xdr:txBody>
      </xdr:sp>
      <xdr:sp macro="" textlink="">
        <xdr:nvSpPr>
          <xdr:cNvPr id="5" name="Gore">
            <a:hlinkClick xmlns:r="http://schemas.openxmlformats.org/officeDocument/2006/relationships" r:id="rId1" tooltip="Gore"/>
          </xdr:cNvPr>
          <xdr:cNvSpPr/>
        </xdr:nvSpPr>
        <xdr:spPr>
          <a:xfrm>
            <a:off x="6496050" y="85725"/>
            <a:ext cx="214063" cy="190500"/>
          </a:xfrm>
          <a:prstGeom prst="upArrow">
            <a:avLst/>
          </a:prstGeom>
          <a:solidFill>
            <a:schemeClr val="bg1">
              <a:lumMod val="75000"/>
            </a:schemeClr>
          </a:solidFill>
          <a:ln>
            <a:noFill/>
          </a:ln>
          <a:effectLst>
            <a:outerShdw blurRad="50800" dist="127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sr-Latn-RS" sz="10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2</xdr:col>
      <xdr:colOff>0</xdr:colOff>
      <xdr:row>2</xdr:row>
      <xdr:rowOff>0</xdr:rowOff>
    </xdr:from>
    <xdr:to>
      <xdr:col>9</xdr:col>
      <xdr:colOff>0</xdr:colOff>
      <xdr:row>4</xdr:row>
      <xdr:rowOff>10123</xdr:rowOff>
    </xdr:to>
    <xdr:grpSp>
      <xdr:nvGrpSpPr>
        <xdr:cNvPr id="6" name="Navigacija"/>
        <xdr:cNvGrpSpPr/>
      </xdr:nvGrpSpPr>
      <xdr:grpSpPr>
        <a:xfrm>
          <a:off x="381000" y="581025"/>
          <a:ext cx="6305550" cy="391123"/>
          <a:chOff x="381000" y="570902"/>
          <a:chExt cx="6305550" cy="391123"/>
        </a:xfrm>
      </xdr:grpSpPr>
      <xdr:sp macro="" textlink="">
        <xdr:nvSpPr>
          <xdr:cNvPr id="7" name="Podesavanja">
            <a:hlinkClick xmlns:r="http://schemas.openxmlformats.org/officeDocument/2006/relationships" r:id="rId2" tooltip="Podešavanja"/>
          </xdr:cNvPr>
          <xdr:cNvSpPr/>
        </xdr:nvSpPr>
        <xdr:spPr>
          <a:xfrm>
            <a:off x="571500" y="570902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8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70927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no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9" name="PDF"/>
          <xdr:cNvSpPr/>
        </xdr:nvSpPr>
        <xdr:spPr>
          <a:xfrm>
            <a:off x="6305550" y="570902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10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81623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11" name="Red"/>
          <xdr:cNvSpPr/>
        </xdr:nvSpPr>
        <xdr:spPr>
          <a:xfrm>
            <a:off x="5772150" y="571201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  <xdr:sp macro="[0]!PrikaziFrmDodajProstoriju" textlink="">
        <xdr:nvSpPr>
          <xdr:cNvPr id="12" name="Dodaj"/>
          <xdr:cNvSpPr/>
        </xdr:nvSpPr>
        <xdr:spPr>
          <a:xfrm>
            <a:off x="5200650" y="581025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2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Simplex" panose="00000400000000000000" pitchFamily="2" charset="0"/>
                <a:ea typeface="+mn-ea"/>
                <a:cs typeface="Simplex" panose="00000400000000000000" pitchFamily="2" charset="0"/>
              </a:rPr>
              <a:t>+</a:t>
            </a:r>
          </a:p>
        </xdr:txBody>
      </xdr:sp>
    </xdr:grp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8</xdr:col>
      <xdr:colOff>14038</xdr:colOff>
      <xdr:row>1</xdr:row>
      <xdr:rowOff>9525</xdr:rowOff>
    </xdr:to>
    <xdr:grpSp>
      <xdr:nvGrpSpPr>
        <xdr:cNvPr id="2" name="Zaglavlje"/>
        <xdr:cNvGrpSpPr/>
      </xdr:nvGrpSpPr>
      <xdr:grpSpPr>
        <a:xfrm>
          <a:off x="0" y="0"/>
          <a:ext cx="6710113" cy="390525"/>
          <a:chOff x="0" y="0"/>
          <a:chExt cx="6710113" cy="390525"/>
        </a:xfrm>
      </xdr:grpSpPr>
      <xdr:sp macro="" textlink="">
        <xdr:nvSpPr>
          <xdr:cNvPr id="3" name="Logo"/>
          <xdr:cNvSpPr/>
        </xdr:nvSpPr>
        <xdr:spPr>
          <a:xfrm>
            <a:off x="0" y="0"/>
            <a:ext cx="380822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4" name="Naslov"/>
          <xdr:cNvSpPr/>
        </xdr:nvSpPr>
        <xdr:spPr>
          <a:xfrm>
            <a:off x="381000" y="0"/>
            <a:ext cx="611505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Izveštaj zatečenog stanja</a:t>
            </a:r>
          </a:p>
        </xdr:txBody>
      </xdr:sp>
      <xdr:sp macro="" textlink="">
        <xdr:nvSpPr>
          <xdr:cNvPr id="5" name="Gore">
            <a:hlinkClick xmlns:r="http://schemas.openxmlformats.org/officeDocument/2006/relationships" r:id="rId1" tooltip="Gore"/>
          </xdr:cNvPr>
          <xdr:cNvSpPr/>
        </xdr:nvSpPr>
        <xdr:spPr>
          <a:xfrm>
            <a:off x="6496050" y="85725"/>
            <a:ext cx="214063" cy="190500"/>
          </a:xfrm>
          <a:prstGeom prst="upArrow">
            <a:avLst/>
          </a:prstGeom>
          <a:solidFill>
            <a:schemeClr val="bg1">
              <a:lumMod val="75000"/>
            </a:schemeClr>
          </a:solidFill>
          <a:ln>
            <a:noFill/>
          </a:ln>
          <a:effectLst>
            <a:outerShdw blurRad="50800" dist="127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sr-Latn-RS" sz="10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2</xdr:col>
      <xdr:colOff>0</xdr:colOff>
      <xdr:row>2</xdr:row>
      <xdr:rowOff>0</xdr:rowOff>
    </xdr:from>
    <xdr:to>
      <xdr:col>8</xdr:col>
      <xdr:colOff>0</xdr:colOff>
      <xdr:row>4</xdr:row>
      <xdr:rowOff>10123</xdr:rowOff>
    </xdr:to>
    <xdr:grpSp>
      <xdr:nvGrpSpPr>
        <xdr:cNvPr id="6" name="Navigacija"/>
        <xdr:cNvGrpSpPr/>
      </xdr:nvGrpSpPr>
      <xdr:grpSpPr>
        <a:xfrm>
          <a:off x="381000" y="581025"/>
          <a:ext cx="6315075" cy="391123"/>
          <a:chOff x="381000" y="581025"/>
          <a:chExt cx="6315075" cy="391123"/>
        </a:xfrm>
      </xdr:grpSpPr>
      <xdr:sp macro="" textlink="">
        <xdr:nvSpPr>
          <xdr:cNvPr id="7" name="Podesavanja">
            <a:hlinkClick xmlns:r="http://schemas.openxmlformats.org/officeDocument/2006/relationships" r:id="rId2" tooltip="Podešavanja"/>
          </xdr:cNvPr>
          <xdr:cNvSpPr/>
        </xdr:nvSpPr>
        <xdr:spPr>
          <a:xfrm>
            <a:off x="571500" y="581025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8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81050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9" name="PDF"/>
          <xdr:cNvSpPr/>
        </xdr:nvSpPr>
        <xdr:spPr>
          <a:xfrm>
            <a:off x="6315075" y="581025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10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91746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11" name="Red"/>
          <xdr:cNvSpPr/>
        </xdr:nvSpPr>
        <xdr:spPr>
          <a:xfrm>
            <a:off x="5743575" y="581324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</xdr:grp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0</xdr:colOff>
      <xdr:row>1</xdr:row>
      <xdr:rowOff>9525</xdr:rowOff>
    </xdr:to>
    <xdr:grpSp>
      <xdr:nvGrpSpPr>
        <xdr:cNvPr id="2" name="Zaglavlje"/>
        <xdr:cNvGrpSpPr/>
      </xdr:nvGrpSpPr>
      <xdr:grpSpPr>
        <a:xfrm>
          <a:off x="0" y="0"/>
          <a:ext cx="6743700" cy="390525"/>
          <a:chOff x="0" y="0"/>
          <a:chExt cx="6743700" cy="390525"/>
        </a:xfrm>
      </xdr:grpSpPr>
      <xdr:sp macro="" textlink="">
        <xdr:nvSpPr>
          <xdr:cNvPr id="3" name="Logo"/>
          <xdr:cNvSpPr/>
        </xdr:nvSpPr>
        <xdr:spPr>
          <a:xfrm>
            <a:off x="0" y="0"/>
            <a:ext cx="380822" cy="381000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sr-Latn-RS" sz="240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Stoing, symbol" panose="020B0603050302020204" pitchFamily="34" charset="2"/>
              </a:rPr>
              <a:t>,</a:t>
            </a:r>
          </a:p>
        </xdr:txBody>
      </xdr:sp>
      <xdr:sp macro="" textlink="">
        <xdr:nvSpPr>
          <xdr:cNvPr id="4" name="Naslov"/>
          <xdr:cNvSpPr/>
        </xdr:nvSpPr>
        <xdr:spPr>
          <a:xfrm>
            <a:off x="381000" y="0"/>
            <a:ext cx="6172200" cy="390525"/>
          </a:xfrm>
          <a:prstGeom prst="rect">
            <a:avLst/>
          </a:prstGeom>
          <a:noFill/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54000" tIns="0" rIns="0" bIns="0" rtlCol="0" anchor="ctr"/>
          <a:lstStyle/>
          <a:p>
            <a:pPr algn="l"/>
            <a:r>
              <a:rPr lang="sr-Latn-RS" sz="1200" b="0" i="0" u="none" baseline="0">
                <a:solidFill>
                  <a:schemeClr val="bg1">
                    <a:lumMod val="75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Pilot - Izveštaj zatečenog stanja</a:t>
            </a:r>
          </a:p>
        </xdr:txBody>
      </xdr:sp>
      <xdr:sp macro="" textlink="">
        <xdr:nvSpPr>
          <xdr:cNvPr id="5" name="Gore">
            <a:hlinkClick xmlns:r="http://schemas.openxmlformats.org/officeDocument/2006/relationships" r:id="rId1" tooltip="Gore"/>
          </xdr:cNvPr>
          <xdr:cNvSpPr/>
        </xdr:nvSpPr>
        <xdr:spPr>
          <a:xfrm>
            <a:off x="6529637" y="85725"/>
            <a:ext cx="214063" cy="190500"/>
          </a:xfrm>
          <a:prstGeom prst="upArrow">
            <a:avLst/>
          </a:prstGeom>
          <a:solidFill>
            <a:schemeClr val="bg1">
              <a:lumMod val="75000"/>
            </a:schemeClr>
          </a:solidFill>
          <a:ln>
            <a:noFill/>
          </a:ln>
          <a:effectLst>
            <a:outerShdw blurRad="50800" dist="127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sr-Latn-RS" sz="10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2</xdr:col>
      <xdr:colOff>0</xdr:colOff>
      <xdr:row>2</xdr:row>
      <xdr:rowOff>0</xdr:rowOff>
    </xdr:from>
    <xdr:to>
      <xdr:col>5</xdr:col>
      <xdr:colOff>0</xdr:colOff>
      <xdr:row>4</xdr:row>
      <xdr:rowOff>10123</xdr:rowOff>
    </xdr:to>
    <xdr:grpSp>
      <xdr:nvGrpSpPr>
        <xdr:cNvPr id="6" name="Navigacija"/>
        <xdr:cNvGrpSpPr/>
      </xdr:nvGrpSpPr>
      <xdr:grpSpPr>
        <a:xfrm>
          <a:off x="381000" y="581025"/>
          <a:ext cx="6362700" cy="391123"/>
          <a:chOff x="381000" y="581025"/>
          <a:chExt cx="6362700" cy="391123"/>
        </a:xfrm>
      </xdr:grpSpPr>
      <xdr:sp macro="" textlink="">
        <xdr:nvSpPr>
          <xdr:cNvPr id="7" name="Podesavanja">
            <a:hlinkClick xmlns:r="http://schemas.openxmlformats.org/officeDocument/2006/relationships" r:id="rId2" tooltip="Podešavanja"/>
          </xdr:cNvPr>
          <xdr:cNvSpPr/>
        </xdr:nvSpPr>
        <xdr:spPr>
          <a:xfrm>
            <a:off x="571500" y="581025"/>
            <a:ext cx="814060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Podešavanja</a:t>
            </a:r>
          </a:p>
        </xdr:txBody>
      </xdr:sp>
      <xdr:sp macro="" textlink="">
        <xdr:nvSpPr>
          <xdr:cNvPr id="8" name="Podaci">
            <a:hlinkClick xmlns:r="http://schemas.openxmlformats.org/officeDocument/2006/relationships" r:id="rId3" tooltip="Podaci"/>
          </xdr:cNvPr>
          <xdr:cNvSpPr/>
        </xdr:nvSpPr>
        <xdr:spPr>
          <a:xfrm>
            <a:off x="571500" y="781050"/>
            <a:ext cx="464734" cy="191098"/>
          </a:xfrm>
          <a:prstGeom prst="rect">
            <a:avLst/>
          </a:prstGeom>
          <a:noFill/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wrap="none" lIns="36000" tIns="21600" rIns="36000" bIns="21600" rtlCol="0" anchor="ctr">
            <a:spAutoFit/>
          </a:bodyPr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Podaci</a:t>
            </a:r>
          </a:p>
        </xdr:txBody>
      </xdr:sp>
      <xdr:sp macro="[0]!PDF" textlink="">
        <xdr:nvSpPr>
          <xdr:cNvPr id="9" name="PDF"/>
          <xdr:cNvSpPr/>
        </xdr:nvSpPr>
        <xdr:spPr>
          <a:xfrm>
            <a:off x="6362700" y="581025"/>
            <a:ext cx="381000" cy="371475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PDF</a:t>
            </a:r>
          </a:p>
        </xdr:txBody>
      </xdr:sp>
      <xdr:pic>
        <xdr:nvPicPr>
          <xdr:cNvPr id="10" name="Nazad" descr="Back">
            <a:extLst>
              <a:ext uri="{FF2B5EF4-FFF2-40B4-BE49-F238E27FC236}">
                <a16:creationId xmlns:a16="http://schemas.microsoft.com/office/drawing/2014/main" id="{7DE1ABB1-D455-4E15-BE3C-1433BE90F6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381000" y="591746"/>
            <a:ext cx="190500" cy="190500"/>
          </a:xfrm>
          <a:prstGeom prst="rect">
            <a:avLst/>
          </a:prstGeom>
        </xdr:spPr>
      </xdr:pic>
      <xdr:sp macro="[0]!RastezanjeRedova" textlink="">
        <xdr:nvSpPr>
          <xdr:cNvPr id="11" name="Red"/>
          <xdr:cNvSpPr/>
        </xdr:nvSpPr>
        <xdr:spPr>
          <a:xfrm>
            <a:off x="5791200" y="581324"/>
            <a:ext cx="381000" cy="371176"/>
          </a:xfrm>
          <a:prstGeom prst="ellipse">
            <a:avLst/>
          </a:prstGeom>
          <a:solidFill>
            <a:sysClr val="window" lastClr="FFFFFF">
              <a:lumMod val="95000"/>
            </a:sysClr>
          </a:solidFill>
          <a:ln w="3175" cap="flat" cmpd="sng" algn="ctr">
            <a:noFill/>
            <a:prstDash val="solid"/>
            <a:miter lim="800000"/>
          </a:ln>
          <a:effectLst/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sr-Latn-R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75000"/>
                    <a:lumOff val="25000"/>
                  </a:sysClr>
                </a:solidFill>
                <a:effectLst/>
                <a:uLnTx/>
                <a:uFillTx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Red</a:t>
            </a:r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id="2" name="GrafickiPrilozi" displayName="GrafickiPrilozi" ref="C36:F37" insertRow="1" totalsRowShown="0">
  <autoFilter ref="C36:F37">
    <filterColumn colId="0" hiddenButton="1"/>
    <filterColumn colId="1" hiddenButton="1"/>
    <filterColumn colId="2" hiddenButton="1"/>
    <filterColumn colId="3" hiddenButton="1"/>
  </autoFilter>
  <tableColumns count="4">
    <tableColumn id="1" name="a" dataDxfId="77" dataCellStyle="Normal 2">
      <calculatedColumnFormula>IF(E37="","*","")</calculatedColumnFormula>
    </tableColumn>
    <tableColumn id="2" name="4.7." dataDxfId="76"/>
    <tableColumn id="3" name="Grafička dokumentacija" dataDxfId="75"/>
    <tableColumn id="4" name="b" dataDxfId="74" dataCellStyle="Hyperlink"/>
  </tableColumns>
  <tableStyleInfo name="Pilot1" showFirstColumn="0" showLastColumn="0" showRowStripes="1" showColumnStripes="0"/>
</table>
</file>

<file path=xl/tables/table2.xml><?xml version="1.0" encoding="utf-8"?>
<table xmlns="http://schemas.openxmlformats.org/spreadsheetml/2006/main" id="1" name="Po" displayName="Po" ref="C16:I17" insertRow="1" headerRowDxfId="73">
  <autoFilter ref="C16:I17"/>
  <tableColumns count="7">
    <tableColumn id="7" name="a" dataDxfId="72" dataCellStyle="Normal 3 2">
      <calculatedColumnFormula>IF(OR(Po[Naziv prostorije]="",Po[Neto površina]=0),"*","")</calculatedColumnFormula>
    </tableColumn>
    <tableColumn id="1" name="Redni broj" totalsRowLabel="Total" dataDxfId="71" dataCellStyle="Normal 3 2">
      <calculatedColumnFormula>ROW(A17)-16</calculatedColumnFormula>
    </tableColumn>
    <tableColumn id="2" name="Naziv prostorije" dataDxfId="70"/>
    <tableColumn id="3" name="Obrada zida" dataDxfId="69"/>
    <tableColumn id="4" name="Obrada poda" dataDxfId="68"/>
    <tableColumn id="5" name="Neto površina" totalsRowFunction="sum" dataDxfId="67"/>
    <tableColumn id="6" name="b" dataDxfId="66" dataCellStyle="Hyperlink"/>
  </tableColumns>
  <tableStyleInfo name="Mehanizam2" showFirstColumn="0" showLastColumn="0" showRowStripes="1" showColumnStripes="0"/>
</table>
</file>

<file path=xl/tables/table3.xml><?xml version="1.0" encoding="utf-8"?>
<table xmlns="http://schemas.openxmlformats.org/spreadsheetml/2006/main" id="3" name="Su" displayName="Su" ref="C16:I17" insertRow="1" headerRowDxfId="65">
  <autoFilter ref="C16:I17"/>
  <tableColumns count="7">
    <tableColumn id="7" name="a" dataDxfId="64" dataCellStyle="Normal 3 2">
      <calculatedColumnFormula>IF(OR(Po[Naziv prostorije]="",Po[Neto površina]=0),"*","")</calculatedColumnFormula>
    </tableColumn>
    <tableColumn id="1" name="Redni broj" totalsRowLabel="Total" dataDxfId="63" dataCellStyle="Normal 3 2">
      <calculatedColumnFormula>ROW(A17)-16</calculatedColumnFormula>
    </tableColumn>
    <tableColumn id="2" name="Naziv prostorije" dataDxfId="62"/>
    <tableColumn id="3" name="Obrada zida" dataDxfId="61"/>
    <tableColumn id="4" name="Obrada poda" dataDxfId="60"/>
    <tableColumn id="5" name="Neto površina" totalsRowFunction="sum" dataDxfId="59"/>
    <tableColumn id="6" name="b" dataDxfId="58"/>
  </tableColumns>
  <tableStyleInfo name="Mehanizam2" showFirstColumn="0" showLastColumn="0" showRowStripes="1" showColumnStripes="0"/>
</table>
</file>

<file path=xl/tables/table4.xml><?xml version="1.0" encoding="utf-8"?>
<table xmlns="http://schemas.openxmlformats.org/spreadsheetml/2006/main" id="4" name="Pr" displayName="Pr" ref="C16:I17" insertRow="1" headerRowDxfId="57">
  <autoFilter ref="C16:I17"/>
  <tableColumns count="7">
    <tableColumn id="7" name="a" dataDxfId="56" dataCellStyle="Normal 3 2">
      <calculatedColumnFormula>IF(OR(Po[Naziv prostorije]="",Po[Neto površina]=0),"*","")</calculatedColumnFormula>
    </tableColumn>
    <tableColumn id="1" name="Redni broj" totalsRowLabel="Total" dataDxfId="55">
      <calculatedColumnFormula>ROW(A17)-16</calculatedColumnFormula>
    </tableColumn>
    <tableColumn id="2" name="Naziv prostorije" dataDxfId="54"/>
    <tableColumn id="3" name="Obrada zida" dataDxfId="53"/>
    <tableColumn id="4" name="Obrada poda" dataDxfId="52" dataCellStyle="Normal 3 2"/>
    <tableColumn id="5" name="Neto površina" totalsRowFunction="sum" dataDxfId="51"/>
    <tableColumn id="6" name="b" dataDxfId="50" dataCellStyle="Hyperlink"/>
  </tableColumns>
  <tableStyleInfo name="Mehanizam2" showFirstColumn="0" showLastColumn="0" showRowStripes="1" showColumnStripes="0"/>
</table>
</file>

<file path=xl/tables/table5.xml><?xml version="1.0" encoding="utf-8"?>
<table xmlns="http://schemas.openxmlformats.org/spreadsheetml/2006/main" id="5" name="Sprat1" displayName="Sprat1" ref="C16:I17" insertRow="1" headerRowDxfId="49">
  <autoFilter ref="C16:I17"/>
  <tableColumns count="7">
    <tableColumn id="7" name="a" dataDxfId="48" dataCellStyle="Normal 3 2">
      <calculatedColumnFormula>IF(OR(Po[Naziv prostorije]="",Po[Neto površina]=0),"*","")</calculatedColumnFormula>
    </tableColumn>
    <tableColumn id="1" name="Redni broj" totalsRowLabel="Total" dataDxfId="47" dataCellStyle="Normal 3 2">
      <calculatedColumnFormula>ROW(A17)-16</calculatedColumnFormula>
    </tableColumn>
    <tableColumn id="2" name="Naziv prostorije" dataDxfId="46"/>
    <tableColumn id="3" name="Obrada zida" dataDxfId="45"/>
    <tableColumn id="4" name="Obrada poda" dataDxfId="44"/>
    <tableColumn id="5" name="Neto površina" totalsRowFunction="sum" dataDxfId="43"/>
    <tableColumn id="6" name="b" dataDxfId="42"/>
  </tableColumns>
  <tableStyleInfo name="Mehanizam2" showFirstColumn="0" showLastColumn="0" showRowStripes="1" showColumnStripes="0"/>
</table>
</file>

<file path=xl/tables/table6.xml><?xml version="1.0" encoding="utf-8"?>
<table xmlns="http://schemas.openxmlformats.org/spreadsheetml/2006/main" id="6" name="Sprat2" displayName="Sprat2" ref="C16:I17" insertRow="1" headerRowDxfId="41">
  <autoFilter ref="C16:I17"/>
  <tableColumns count="7">
    <tableColumn id="7" name="a" dataDxfId="40" dataCellStyle="Normal 3 2">
      <calculatedColumnFormula>IF(OR(Po[Naziv prostorije]="",Po[Neto površina]=0),"*","")</calculatedColumnFormula>
    </tableColumn>
    <tableColumn id="1" name="Redni broj" totalsRowLabel="Total" dataDxfId="39" dataCellStyle="Normal 3 2">
      <calculatedColumnFormula>ROW(A17)-16</calculatedColumnFormula>
    </tableColumn>
    <tableColumn id="2" name="Naziv prostorije" dataDxfId="38"/>
    <tableColumn id="3" name="Obrada zida" dataDxfId="37"/>
    <tableColumn id="4" name="Obrada poda" dataDxfId="36"/>
    <tableColumn id="5" name="Neto površina" totalsRowFunction="sum" dataDxfId="35"/>
    <tableColumn id="6" name="b" dataDxfId="34"/>
  </tableColumns>
  <tableStyleInfo name="Mehanizam2" showFirstColumn="0" showLastColumn="0" showRowStripes="1" showColumnStripes="0"/>
</table>
</file>

<file path=xl/tables/table7.xml><?xml version="1.0" encoding="utf-8"?>
<table xmlns="http://schemas.openxmlformats.org/spreadsheetml/2006/main" id="7" name="Sprat3" displayName="Sprat3" ref="C16:I17" insertRow="1" headerRowDxfId="33">
  <autoFilter ref="C16:I17"/>
  <tableColumns count="7">
    <tableColumn id="7" name="a" dataDxfId="32" dataCellStyle="Normal 3 2">
      <calculatedColumnFormula>IF(OR(Po[Naziv prostorije]="",Po[Neto površina]=0),"*","")</calculatedColumnFormula>
    </tableColumn>
    <tableColumn id="1" name="Redni broj" totalsRowLabel="Total" dataDxfId="31" dataCellStyle="Normal 3 2">
      <calculatedColumnFormula>ROW(A17)-16</calculatedColumnFormula>
    </tableColumn>
    <tableColumn id="2" name="Naziv prostorije" dataDxfId="30"/>
    <tableColumn id="3" name="Obrada zida" dataDxfId="29"/>
    <tableColumn id="4" name="Obrada poda" dataDxfId="28"/>
    <tableColumn id="5" name="Neto površina" totalsRowFunction="sum" dataDxfId="27"/>
    <tableColumn id="6" name="b" dataDxfId="26"/>
  </tableColumns>
  <tableStyleInfo name="Mehanizam2" showFirstColumn="0" showLastColumn="0" showRowStripes="1" showColumnStripes="0"/>
</table>
</file>

<file path=xl/tables/table8.xml><?xml version="1.0" encoding="utf-8"?>
<table xmlns="http://schemas.openxmlformats.org/spreadsheetml/2006/main" id="8" name="Sprat4" displayName="Sprat4" ref="C16:I17" insertRow="1" headerRowDxfId="25">
  <autoFilter ref="C16:I17"/>
  <tableColumns count="7">
    <tableColumn id="7" name="a" dataDxfId="24" dataCellStyle="Normal 3 2">
      <calculatedColumnFormula>IF(OR(Po[Naziv prostorije]="",Po[Neto površina]=0),"*","")</calculatedColumnFormula>
    </tableColumn>
    <tableColumn id="1" name="Redni broj" totalsRowLabel="Total" dataDxfId="23" dataCellStyle="Normal 3 2">
      <calculatedColumnFormula>ROW(A17)-16</calculatedColumnFormula>
    </tableColumn>
    <tableColumn id="2" name="Naziv prostorije" dataDxfId="22"/>
    <tableColumn id="3" name="Obrada zida" dataDxfId="21"/>
    <tableColumn id="4" name="Obrada poda" dataDxfId="20"/>
    <tableColumn id="5" name="Neto površina" totalsRowFunction="sum" dataDxfId="19"/>
    <tableColumn id="6" name="b" dataDxfId="18"/>
  </tableColumns>
  <tableStyleInfo name="Mehanizam2" showFirstColumn="0" showLastColumn="0" showRowStripes="1" showColumnStripes="0"/>
</table>
</file>

<file path=xl/tables/table9.xml><?xml version="1.0" encoding="utf-8"?>
<table xmlns="http://schemas.openxmlformats.org/spreadsheetml/2006/main" id="9" name="Sprat5" displayName="Sprat5" ref="C16:I17" insertRow="1" headerRowDxfId="17" dataDxfId="16">
  <autoFilter ref="C16:I17"/>
  <tableColumns count="7">
    <tableColumn id="7" name="a" dataDxfId="15" dataCellStyle="Normal 3 2">
      <calculatedColumnFormula>IF(OR(Po[Naziv prostorije]="",Po[Neto površina]=0),"*","")</calculatedColumnFormula>
    </tableColumn>
    <tableColumn id="1" name="Redni broj" totalsRowLabel="Total" dataDxfId="14" dataCellStyle="Normal 3 2">
      <calculatedColumnFormula>ROW(A17)-16</calculatedColumnFormula>
    </tableColumn>
    <tableColumn id="2" name="Naziv prostorije" dataDxfId="13"/>
    <tableColumn id="3" name="Obrada zida" dataDxfId="12"/>
    <tableColumn id="4" name="Obrada poda" dataDxfId="11"/>
    <tableColumn id="5" name="Neto površina" totalsRowFunction="sum" dataDxfId="10"/>
    <tableColumn id="6" name="b" dataDxfId="9"/>
  </tableColumns>
  <tableStyleInfo name="Mehanizam2" showFirstColumn="0" showLastColumn="0" showRowStripes="1" showColumnStripes="0"/>
</table>
</file>

<file path=xl/tables/table10.xml><?xml version="1.0" encoding="utf-8"?>
<table xmlns="http://schemas.openxmlformats.org/spreadsheetml/2006/main" id="15" name="Pk" displayName="Pk" ref="C16:I17" insertRow="1" headerRowDxfId="8" dataDxfId="7">
  <autoFilter ref="C16:I17"/>
  <tableColumns count="7">
    <tableColumn id="7" name="a" dataDxfId="6" dataCellStyle="Normal 3 2">
      <calculatedColumnFormula>IF(OR(Po[Naziv prostorije]="",Po[Neto površina]=0),"*","")</calculatedColumnFormula>
    </tableColumn>
    <tableColumn id="1" name="Redni broj" totalsRowLabel="Total" dataDxfId="5" dataCellStyle="Normal 3 2">
      <calculatedColumnFormula>ROW(A17)-16</calculatedColumnFormula>
    </tableColumn>
    <tableColumn id="2" name="Naziv prostorije" dataDxfId="4"/>
    <tableColumn id="3" name="Obrada zida" dataDxfId="3"/>
    <tableColumn id="4" name="Obrada poda" dataDxfId="2" dataCellStyle="Normal 3 2"/>
    <tableColumn id="5" name="Neto površina" totalsRowFunction="sum" dataDxfId="1"/>
    <tableColumn id="6" name="b" dataDxfId="0" dataCellStyle="Hyperlink"/>
  </tableColumns>
  <tableStyleInfo name="Mehaniza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table" Target="../tables/table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table" Target="../tables/table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table" Target="../tables/table4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table" Target="../tables/table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table" Target="../tables/table6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table" Target="../tables/table7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table" Target="../tables/table8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table" Target="../tables/table9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table" Target="../tables/table10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1" tint="0.249977111117893"/>
  </sheetPr>
  <dimension ref="A1:N382"/>
  <sheetViews>
    <sheetView showGridLines="0" tabSelected="1" workbookViewId="0">
      <pane ySplit="1" topLeftCell="A2" activePane="bottomLeft" state="frozen"/>
      <selection pane="bottomLeft" activeCell="F15" sqref="F15"/>
    </sheetView>
  </sheetViews>
  <sheetFormatPr defaultRowHeight="15" x14ac:dyDescent="0.2"/>
  <cols>
    <col min="1" max="1" width="2.21875" style="106" customWidth="1"/>
    <col min="2" max="2" width="45.88671875" style="106" customWidth="1"/>
    <col min="3" max="5" width="2.21875" style="106" customWidth="1"/>
    <col min="6" max="6" width="69.77734375" style="106" customWidth="1"/>
    <col min="7" max="193" width="2.21875" style="106" customWidth="1"/>
    <col min="194" max="16384" width="8.88671875" style="106"/>
  </cols>
  <sheetData>
    <row r="1" spans="1:9" s="172" customFormat="1" ht="30" customHeight="1" thickBot="1" x14ac:dyDescent="0.25"/>
    <row r="2" spans="1:9" s="127" customFormat="1" x14ac:dyDescent="0.2">
      <c r="A2" s="150"/>
      <c r="B2" s="147"/>
      <c r="C2" s="148"/>
      <c r="F2" s="128"/>
      <c r="I2" s="171"/>
    </row>
    <row r="3" spans="1:9" x14ac:dyDescent="0.2">
      <c r="A3" s="150"/>
      <c r="B3" s="125" t="s">
        <v>185</v>
      </c>
      <c r="C3" s="148"/>
      <c r="F3" s="107" t="s">
        <v>185</v>
      </c>
      <c r="I3" s="108"/>
    </row>
    <row r="4" spans="1:9" x14ac:dyDescent="0.2">
      <c r="A4" s="150"/>
      <c r="B4" s="147"/>
      <c r="C4" s="148"/>
      <c r="F4" s="107"/>
      <c r="I4" s="108"/>
    </row>
    <row r="5" spans="1:9" ht="15.75" thickBot="1" x14ac:dyDescent="0.25">
      <c r="A5" s="184" t="str">
        <f>IF(Pilot=0,"","P")</f>
        <v>P</v>
      </c>
      <c r="B5" s="149" t="s">
        <v>186</v>
      </c>
      <c r="C5" s="148"/>
      <c r="E5" s="109" t="s">
        <v>186</v>
      </c>
      <c r="F5" s="110"/>
      <c r="I5" s="108"/>
    </row>
    <row r="6" spans="1:9" x14ac:dyDescent="0.2">
      <c r="A6" s="184" t="str">
        <f>IF(PutanjaBaze=0,"","P")</f>
        <v>P</v>
      </c>
      <c r="B6" s="149" t="s">
        <v>189</v>
      </c>
      <c r="C6" s="148"/>
      <c r="E6" s="111"/>
      <c r="F6" s="112"/>
      <c r="G6" s="113"/>
      <c r="I6" s="108"/>
    </row>
    <row r="7" spans="1:9" x14ac:dyDescent="0.2">
      <c r="A7" s="150"/>
      <c r="B7" s="147"/>
      <c r="C7" s="148"/>
      <c r="E7" s="114"/>
      <c r="F7" s="115" t="s">
        <v>187</v>
      </c>
      <c r="G7" s="116"/>
      <c r="I7" s="108"/>
    </row>
    <row r="8" spans="1:9" x14ac:dyDescent="0.2">
      <c r="A8" s="150"/>
      <c r="B8" s="125" t="s">
        <v>245</v>
      </c>
      <c r="C8" s="150"/>
      <c r="D8" s="117"/>
      <c r="E8" s="118" t="str">
        <f>IF(F8=0,"*","")</f>
        <v/>
      </c>
      <c r="F8" s="119" t="s">
        <v>248</v>
      </c>
      <c r="G8" s="120"/>
      <c r="I8" s="108"/>
    </row>
    <row r="9" spans="1:9" x14ac:dyDescent="0.2">
      <c r="A9" s="150"/>
      <c r="B9" s="150"/>
      <c r="C9" s="150"/>
      <c r="E9" s="114"/>
      <c r="F9" s="121" t="s">
        <v>188</v>
      </c>
      <c r="G9" s="116"/>
      <c r="I9" s="108"/>
    </row>
    <row r="10" spans="1:9" ht="15.75" thickBot="1" x14ac:dyDescent="0.25">
      <c r="A10" s="150"/>
      <c r="B10" s="149" t="s">
        <v>250</v>
      </c>
      <c r="C10" s="150"/>
      <c r="E10" s="122"/>
      <c r="F10" s="123"/>
      <c r="G10" s="124"/>
      <c r="I10" s="108"/>
    </row>
    <row r="11" spans="1:9" x14ac:dyDescent="0.2">
      <c r="A11" s="150"/>
      <c r="B11" s="149" t="s">
        <v>251</v>
      </c>
      <c r="C11" s="150"/>
      <c r="F11" s="107"/>
      <c r="I11" s="108"/>
    </row>
    <row r="12" spans="1:9" ht="15.75" thickBot="1" x14ac:dyDescent="0.25">
      <c r="A12" s="150"/>
      <c r="B12" s="149" t="s">
        <v>252</v>
      </c>
      <c r="C12" s="150"/>
      <c r="E12" s="109" t="s">
        <v>189</v>
      </c>
      <c r="F12" s="110"/>
      <c r="I12" s="108"/>
    </row>
    <row r="13" spans="1:9" x14ac:dyDescent="0.2">
      <c r="A13" s="150"/>
      <c r="B13" s="149" t="s">
        <v>253</v>
      </c>
      <c r="C13" s="150"/>
      <c r="E13" s="111"/>
      <c r="F13" s="112"/>
      <c r="G13" s="113"/>
      <c r="I13" s="108"/>
    </row>
    <row r="14" spans="1:9" x14ac:dyDescent="0.2">
      <c r="A14" s="150"/>
      <c r="B14" s="149" t="s">
        <v>254</v>
      </c>
      <c r="C14" s="150"/>
      <c r="E14" s="114"/>
      <c r="F14" s="115" t="s">
        <v>190</v>
      </c>
      <c r="G14" s="116"/>
      <c r="I14" s="108"/>
    </row>
    <row r="15" spans="1:9" x14ac:dyDescent="0.2">
      <c r="A15" s="150"/>
      <c r="B15" s="149" t="s">
        <v>255</v>
      </c>
      <c r="C15" s="150"/>
      <c r="D15" s="117"/>
      <c r="E15" s="118" t="str">
        <f>IF(F15=0,"*","")</f>
        <v/>
      </c>
      <c r="F15" s="126" t="s">
        <v>284</v>
      </c>
      <c r="G15" s="120"/>
      <c r="I15" s="108"/>
    </row>
    <row r="16" spans="1:9" x14ac:dyDescent="0.2">
      <c r="A16" s="150"/>
      <c r="B16" s="125" t="s">
        <v>256</v>
      </c>
      <c r="C16" s="150"/>
      <c r="E16" s="114"/>
      <c r="F16" s="121" t="s">
        <v>191</v>
      </c>
      <c r="G16" s="116"/>
      <c r="I16" s="108"/>
    </row>
    <row r="17" spans="1:14" ht="15.75" thickBot="1" x14ac:dyDescent="0.25">
      <c r="A17" s="150"/>
      <c r="B17" s="151" t="s">
        <v>257</v>
      </c>
      <c r="C17" s="150"/>
      <c r="E17" s="122"/>
      <c r="F17" s="123"/>
      <c r="G17" s="124"/>
      <c r="I17" s="108"/>
    </row>
    <row r="18" spans="1:14" x14ac:dyDescent="0.2">
      <c r="A18" s="150"/>
      <c r="B18" s="151" t="s">
        <v>258</v>
      </c>
      <c r="C18" s="150"/>
      <c r="F18" s="110"/>
      <c r="I18" s="108"/>
    </row>
    <row r="19" spans="1:14" x14ac:dyDescent="0.2">
      <c r="A19" s="150"/>
      <c r="B19" s="151" t="s">
        <v>283</v>
      </c>
      <c r="C19" s="150"/>
      <c r="E19" s="127"/>
      <c r="F19" s="107" t="s">
        <v>192</v>
      </c>
      <c r="G19" s="127"/>
      <c r="I19" s="108"/>
    </row>
    <row r="20" spans="1:14" x14ac:dyDescent="0.2">
      <c r="A20" s="150"/>
      <c r="B20" s="125" t="s">
        <v>259</v>
      </c>
      <c r="C20" s="150"/>
      <c r="E20" s="127"/>
      <c r="F20" s="128"/>
      <c r="G20" s="127"/>
      <c r="I20" s="108"/>
    </row>
    <row r="21" spans="1:14" ht="15.75" thickBot="1" x14ac:dyDescent="0.25">
      <c r="A21" s="150"/>
      <c r="B21" s="151" t="s">
        <v>260</v>
      </c>
      <c r="C21" s="150"/>
      <c r="E21" s="109" t="s">
        <v>193</v>
      </c>
      <c r="F21" s="110"/>
      <c r="I21" s="108"/>
    </row>
    <row r="22" spans="1:14" x14ac:dyDescent="0.2">
      <c r="A22" s="150"/>
      <c r="B22" s="151" t="s">
        <v>261</v>
      </c>
      <c r="C22" s="150"/>
      <c r="E22" s="111"/>
      <c r="F22" s="112"/>
      <c r="G22" s="113"/>
      <c r="I22" s="108"/>
      <c r="N22" s="127"/>
    </row>
    <row r="23" spans="1:14" x14ac:dyDescent="0.2">
      <c r="A23" s="150"/>
      <c r="B23" s="125" t="s">
        <v>262</v>
      </c>
      <c r="C23" s="150"/>
      <c r="E23" s="114"/>
      <c r="F23" s="115" t="s">
        <v>7</v>
      </c>
      <c r="G23" s="116"/>
      <c r="I23" s="108"/>
    </row>
    <row r="24" spans="1:14" x14ac:dyDescent="0.2">
      <c r="A24" s="150"/>
      <c r="B24" s="150"/>
      <c r="C24" s="104"/>
      <c r="D24" s="117"/>
      <c r="E24" s="118" t="str">
        <f>IF(F24=0,"*","")</f>
        <v>*</v>
      </c>
      <c r="F24" s="129"/>
      <c r="G24" s="120"/>
      <c r="I24" s="108"/>
    </row>
    <row r="25" spans="1:14" x14ac:dyDescent="0.2">
      <c r="A25" s="150"/>
      <c r="B25" s="125" t="s">
        <v>192</v>
      </c>
      <c r="C25" s="104"/>
      <c r="E25" s="114"/>
      <c r="F25" s="130" t="s">
        <v>194</v>
      </c>
      <c r="G25" s="116"/>
      <c r="I25" s="108"/>
    </row>
    <row r="26" spans="1:14" x14ac:dyDescent="0.2">
      <c r="A26" s="150"/>
      <c r="B26" s="150"/>
      <c r="C26" s="104"/>
      <c r="E26" s="114"/>
      <c r="F26" s="128"/>
      <c r="G26" s="116"/>
      <c r="I26" s="108"/>
    </row>
    <row r="27" spans="1:14" x14ac:dyDescent="0.2">
      <c r="A27" s="184" t="str">
        <f>IF(OR(Datum=0,EvidencioniBroj=0,Mesto=0),"","P")</f>
        <v/>
      </c>
      <c r="B27" s="149" t="s">
        <v>193</v>
      </c>
      <c r="C27" s="104"/>
      <c r="E27" s="114"/>
      <c r="F27" s="115" t="s">
        <v>195</v>
      </c>
      <c r="G27" s="116"/>
      <c r="I27" s="108"/>
    </row>
    <row r="28" spans="1:14" x14ac:dyDescent="0.2">
      <c r="A28" s="185" t="str">
        <f>IF(OR(Investitor=0,InvestitorIzKonteksta=0,OdgovornoLice=0,F51=0),"","P")</f>
        <v/>
      </c>
      <c r="B28" s="149" t="s">
        <v>0</v>
      </c>
      <c r="C28" s="150"/>
      <c r="D28" s="117"/>
      <c r="E28" s="118" t="str">
        <f>IF(F28=0,"*","")</f>
        <v>*</v>
      </c>
      <c r="F28" s="126"/>
      <c r="G28" s="120"/>
      <c r="I28" s="108"/>
    </row>
    <row r="29" spans="1:14" x14ac:dyDescent="0.2">
      <c r="A29" s="185" t="str">
        <f>IF(OR(Objekat=0,ObjekatIzKonteksta=0),"","P")</f>
        <v/>
      </c>
      <c r="B29" s="149" t="s">
        <v>1</v>
      </c>
      <c r="C29" s="150"/>
      <c r="D29" s="117"/>
      <c r="E29" s="127"/>
      <c r="F29" s="130" t="s">
        <v>196</v>
      </c>
      <c r="G29" s="116"/>
      <c r="I29" s="108"/>
    </row>
    <row r="30" spans="1:14" x14ac:dyDescent="0.2">
      <c r="A30" s="185" t="str">
        <f>IF(OR(ProjektnaOrganizacija=0,OdgovornoLiceProjektneOrganizacije=0),"","P")</f>
        <v/>
      </c>
      <c r="B30" s="149" t="s">
        <v>247</v>
      </c>
      <c r="C30" s="150"/>
      <c r="D30" s="117"/>
      <c r="E30" s="127"/>
      <c r="F30" s="128"/>
      <c r="G30" s="116"/>
      <c r="I30" s="108"/>
    </row>
    <row r="31" spans="1:14" x14ac:dyDescent="0.2">
      <c r="A31" s="185" t="str">
        <f>IF(OdgovorniProjektant=0,"","P")</f>
        <v/>
      </c>
      <c r="B31" s="149" t="s">
        <v>12</v>
      </c>
      <c r="C31" s="150"/>
      <c r="D31" s="117"/>
      <c r="E31" s="127"/>
      <c r="F31" s="115" t="s">
        <v>8</v>
      </c>
      <c r="G31" s="116"/>
      <c r="I31" s="108"/>
    </row>
    <row r="32" spans="1:14" x14ac:dyDescent="0.2">
      <c r="A32" s="185" t="str">
        <f>IF(OR(TipObjekta=0,KategorijaObjekta=0,UcescePovrsinaKlasifikacija=0,UrbanistickiPlan=0,KatastarskeParcele=0),"","P")</f>
        <v/>
      </c>
      <c r="B32" s="149" t="s">
        <v>208</v>
      </c>
      <c r="C32" s="150"/>
      <c r="D32" s="117"/>
      <c r="E32" s="118" t="str">
        <f>IF(F32=0,"*","")</f>
        <v>*</v>
      </c>
      <c r="F32" s="126"/>
      <c r="G32" s="120"/>
      <c r="I32" s="108"/>
    </row>
    <row r="33" spans="1:9" x14ac:dyDescent="0.2">
      <c r="A33" s="185" t="str">
        <f>IF(OR(PrikljucakNaVodovod=0,PrikljucakNaKanalizaciju=0,PrikljucakNaStruju=0),"","P")</f>
        <v/>
      </c>
      <c r="B33" s="149" t="s">
        <v>280</v>
      </c>
      <c r="C33" s="150"/>
      <c r="E33" s="114"/>
      <c r="F33" s="130" t="s">
        <v>197</v>
      </c>
      <c r="G33" s="116"/>
      <c r="I33" s="108"/>
    </row>
    <row r="34" spans="1:9" ht="15.75" thickBot="1" x14ac:dyDescent="0.25">
      <c r="A34" s="185" t="str">
        <f>IF(OR(PovrsinaParcele=0,Spratnost=0,BrojFunkcionalnihJedinica=0,BrojParkingMesta=0),"","P")</f>
        <v/>
      </c>
      <c r="B34" s="149" t="s">
        <v>218</v>
      </c>
      <c r="C34" s="150"/>
      <c r="E34" s="131"/>
      <c r="F34" s="132"/>
      <c r="G34" s="133"/>
      <c r="I34" s="108"/>
    </row>
    <row r="35" spans="1:9" x14ac:dyDescent="0.2">
      <c r="A35" s="185" t="str">
        <f>IF(OR(ObradaFasade=0,OrjentacijaSlemena=0,NagibKrova=0,ObradaKrova=0),"","P")</f>
        <v/>
      </c>
      <c r="B35" s="149" t="s">
        <v>232</v>
      </c>
      <c r="C35" s="150"/>
      <c r="F35" s="110"/>
      <c r="I35" s="108"/>
    </row>
    <row r="36" spans="1:9" ht="15.75" thickBot="1" x14ac:dyDescent="0.25">
      <c r="A36" s="185" t="str">
        <f>IF(CenaPoM2=0,"","P")</f>
        <v>P</v>
      </c>
      <c r="B36" s="149" t="s">
        <v>240</v>
      </c>
      <c r="C36" s="150"/>
      <c r="E36" s="109" t="s">
        <v>0</v>
      </c>
      <c r="F36" s="110"/>
      <c r="I36" s="108"/>
    </row>
    <row r="37" spans="1:9" x14ac:dyDescent="0.2">
      <c r="A37" s="185" t="str">
        <f>IF(AND(EtazaPo=0,EtazaSu=0,EtazaPr=0,EtazaS1=0,EtazaS2=0,EtazaS3=0,EtazaS4=0,EtazaS5=0,EtazaPk=0),"",IF(OR(E204="*",E208="*",E212="*",E216="*",E220="*",E224="*",E228="*",E232="*",E236="*",E243="*",E247="*",E251="*",E255="*",E259="*",E263="*",E267="*",E271="*",E275="*",E279="*",E283="*"),"","P"))</f>
        <v/>
      </c>
      <c r="B37" s="152" t="s">
        <v>246</v>
      </c>
      <c r="C37" s="150"/>
      <c r="E37" s="111"/>
      <c r="F37" s="112"/>
      <c r="G37" s="113"/>
      <c r="I37" s="108"/>
    </row>
    <row r="38" spans="1:9" x14ac:dyDescent="0.2">
      <c r="A38" s="150"/>
      <c r="B38" s="153" t="s">
        <v>161</v>
      </c>
      <c r="C38" s="154">
        <v>0</v>
      </c>
      <c r="E38" s="114"/>
      <c r="F38" s="115" t="s">
        <v>0</v>
      </c>
      <c r="G38" s="116"/>
      <c r="I38" s="108"/>
    </row>
    <row r="39" spans="1:9" x14ac:dyDescent="0.2">
      <c r="A39" s="150"/>
      <c r="B39" s="153" t="s">
        <v>162</v>
      </c>
      <c r="C39" s="154">
        <v>0</v>
      </c>
      <c r="D39" s="116"/>
      <c r="E39" s="118" t="str">
        <f>IF(F39=0,"*","")</f>
        <v>*</v>
      </c>
      <c r="F39" s="188"/>
      <c r="G39" s="120"/>
      <c r="I39" s="108"/>
    </row>
    <row r="40" spans="1:9" x14ac:dyDescent="0.2">
      <c r="A40" s="150"/>
      <c r="B40" s="153" t="s">
        <v>163</v>
      </c>
      <c r="C40" s="154">
        <v>0</v>
      </c>
      <c r="E40" s="114"/>
      <c r="F40" s="130" t="s">
        <v>198</v>
      </c>
      <c r="G40" s="116"/>
      <c r="I40" s="108"/>
    </row>
    <row r="41" spans="1:9" x14ac:dyDescent="0.2">
      <c r="A41" s="150"/>
      <c r="B41" s="153" t="s">
        <v>164</v>
      </c>
      <c r="C41" s="154">
        <v>0</v>
      </c>
      <c r="D41" s="117"/>
      <c r="E41" s="110"/>
      <c r="F41" s="110"/>
      <c r="G41" s="135"/>
      <c r="I41" s="108"/>
    </row>
    <row r="42" spans="1:9" x14ac:dyDescent="0.2">
      <c r="A42" s="150"/>
      <c r="B42" s="153" t="s">
        <v>165</v>
      </c>
      <c r="C42" s="154">
        <v>0</v>
      </c>
      <c r="E42" s="114"/>
      <c r="F42" s="115" t="s">
        <v>281</v>
      </c>
      <c r="G42" s="116"/>
      <c r="I42" s="108"/>
    </row>
    <row r="43" spans="1:9" x14ac:dyDescent="0.2">
      <c r="A43" s="150"/>
      <c r="B43" s="153" t="s">
        <v>166</v>
      </c>
      <c r="C43" s="154">
        <v>0</v>
      </c>
      <c r="D43" s="116"/>
      <c r="E43" s="118" t="str">
        <f>IF(F43=0,"*","")</f>
        <v>*</v>
      </c>
      <c r="F43" s="134"/>
      <c r="G43" s="120"/>
      <c r="I43" s="108"/>
    </row>
    <row r="44" spans="1:9" x14ac:dyDescent="0.2">
      <c r="A44" s="150"/>
      <c r="B44" s="153" t="s">
        <v>167</v>
      </c>
      <c r="C44" s="154">
        <v>0</v>
      </c>
      <c r="E44" s="114"/>
      <c r="F44" s="130" t="s">
        <v>198</v>
      </c>
      <c r="G44" s="116"/>
      <c r="I44" s="108"/>
    </row>
    <row r="45" spans="1:9" x14ac:dyDescent="0.2">
      <c r="A45" s="150"/>
      <c r="B45" s="153" t="s">
        <v>168</v>
      </c>
      <c r="C45" s="154">
        <v>0</v>
      </c>
      <c r="D45" s="117"/>
      <c r="E45" s="110"/>
      <c r="F45" s="110"/>
      <c r="G45" s="135"/>
      <c r="I45" s="108"/>
    </row>
    <row r="46" spans="1:9" x14ac:dyDescent="0.2">
      <c r="A46" s="150"/>
      <c r="B46" s="153" t="s">
        <v>169</v>
      </c>
      <c r="C46" s="154">
        <v>0</v>
      </c>
      <c r="D46" s="117"/>
      <c r="F46" s="115" t="s">
        <v>11</v>
      </c>
      <c r="G46" s="117"/>
      <c r="I46" s="108"/>
    </row>
    <row r="47" spans="1:9" x14ac:dyDescent="0.2">
      <c r="A47" s="150"/>
      <c r="B47" s="150"/>
      <c r="C47" s="150"/>
      <c r="D47" s="117"/>
      <c r="E47" s="118" t="str">
        <f>IF(F47=0,"*","")</f>
        <v>*</v>
      </c>
      <c r="F47" s="134"/>
      <c r="G47" s="117"/>
      <c r="I47" s="108"/>
    </row>
    <row r="48" spans="1:9" x14ac:dyDescent="0.2">
      <c r="A48" s="150"/>
      <c r="B48" s="150"/>
      <c r="C48" s="150"/>
      <c r="D48" s="117"/>
      <c r="F48" s="130" t="s">
        <v>199</v>
      </c>
      <c r="G48" s="117"/>
      <c r="I48" s="108"/>
    </row>
    <row r="49" spans="1:9" x14ac:dyDescent="0.2">
      <c r="A49" s="150"/>
      <c r="B49" s="150"/>
      <c r="C49" s="150"/>
      <c r="D49" s="117"/>
      <c r="F49" s="130"/>
      <c r="G49" s="117"/>
      <c r="I49" s="108"/>
    </row>
    <row r="50" spans="1:9" x14ac:dyDescent="0.2">
      <c r="A50" s="150"/>
      <c r="B50" s="150"/>
      <c r="C50" s="150"/>
      <c r="E50" s="114"/>
      <c r="F50" s="115" t="s">
        <v>263</v>
      </c>
      <c r="G50" s="156"/>
      <c r="I50" s="108"/>
    </row>
    <row r="51" spans="1:9" x14ac:dyDescent="0.2">
      <c r="A51" s="150"/>
      <c r="B51" s="150"/>
      <c r="C51" s="150"/>
      <c r="D51" s="116"/>
      <c r="E51" s="118" t="str">
        <f>IF(F51=0,"*","")</f>
        <v/>
      </c>
      <c r="F51" s="173" t="str">
        <f>IF(InvestitorovaDokumentacija=0,"Kopija plana placa","Elaborat geodetskih radova")</f>
        <v>Kopija plana placa</v>
      </c>
      <c r="G51" s="157">
        <v>0</v>
      </c>
      <c r="I51" s="108"/>
    </row>
    <row r="52" spans="1:9" x14ac:dyDescent="0.2">
      <c r="A52" s="150"/>
      <c r="B52" s="150"/>
      <c r="C52" s="150"/>
      <c r="E52" s="114"/>
      <c r="F52" s="130" t="s">
        <v>264</v>
      </c>
      <c r="G52" s="116"/>
      <c r="I52" s="108"/>
    </row>
    <row r="53" spans="1:9" ht="15.75" thickBot="1" x14ac:dyDescent="0.25">
      <c r="A53" s="150"/>
      <c r="B53" s="104"/>
      <c r="C53" s="105"/>
      <c r="D53" s="117"/>
      <c r="E53" s="136"/>
      <c r="F53" s="123"/>
      <c r="G53" s="137"/>
      <c r="I53" s="108"/>
    </row>
    <row r="54" spans="1:9" x14ac:dyDescent="0.2">
      <c r="A54" s="150"/>
      <c r="B54" s="104"/>
      <c r="C54" s="105"/>
      <c r="F54" s="110"/>
      <c r="I54" s="108"/>
    </row>
    <row r="55" spans="1:9" ht="15.75" thickBot="1" x14ac:dyDescent="0.25">
      <c r="A55" s="150"/>
      <c r="B55" s="104"/>
      <c r="C55" s="105"/>
      <c r="E55" s="109" t="s">
        <v>1</v>
      </c>
      <c r="F55" s="110"/>
      <c r="I55" s="108"/>
    </row>
    <row r="56" spans="1:9" x14ac:dyDescent="0.2">
      <c r="A56" s="150"/>
      <c r="B56" s="104"/>
      <c r="C56" s="105"/>
      <c r="E56" s="111"/>
      <c r="F56" s="112"/>
      <c r="G56" s="113"/>
      <c r="I56" s="108"/>
    </row>
    <row r="57" spans="1:9" x14ac:dyDescent="0.2">
      <c r="A57" s="150"/>
      <c r="B57" s="104"/>
      <c r="C57" s="105"/>
      <c r="D57" s="116"/>
      <c r="E57" s="127"/>
      <c r="F57" s="115" t="s">
        <v>1</v>
      </c>
      <c r="G57" s="116"/>
      <c r="I57" s="108"/>
    </row>
    <row r="58" spans="1:9" x14ac:dyDescent="0.2">
      <c r="A58" s="150"/>
      <c r="B58" s="104"/>
      <c r="C58" s="105"/>
      <c r="D58" s="116"/>
      <c r="E58" s="118" t="str">
        <f>IF(F58=0,"*","")</f>
        <v>*</v>
      </c>
      <c r="F58" s="134"/>
      <c r="G58" s="120"/>
      <c r="I58" s="108"/>
    </row>
    <row r="59" spans="1:9" ht="22.5" x14ac:dyDescent="0.2">
      <c r="A59" s="150"/>
      <c r="B59" s="104"/>
      <c r="C59" s="105"/>
      <c r="D59" s="116"/>
      <c r="E59" s="127"/>
      <c r="F59" s="130" t="s">
        <v>200</v>
      </c>
      <c r="G59" s="116"/>
      <c r="I59" s="108"/>
    </row>
    <row r="60" spans="1:9" x14ac:dyDescent="0.2">
      <c r="A60" s="150"/>
      <c r="B60" s="104"/>
      <c r="C60" s="105"/>
      <c r="D60" s="116"/>
      <c r="E60" s="127"/>
      <c r="F60" s="128"/>
      <c r="G60" s="116"/>
      <c r="I60" s="108"/>
    </row>
    <row r="61" spans="1:9" x14ac:dyDescent="0.2">
      <c r="A61" s="150"/>
      <c r="B61" s="104"/>
      <c r="C61" s="105"/>
      <c r="D61" s="116"/>
      <c r="E61" s="127"/>
      <c r="F61" s="115" t="s">
        <v>201</v>
      </c>
      <c r="G61" s="116"/>
      <c r="I61" s="108"/>
    </row>
    <row r="62" spans="1:9" x14ac:dyDescent="0.2">
      <c r="A62" s="150"/>
      <c r="B62" s="104"/>
      <c r="C62" s="105"/>
      <c r="D62" s="116"/>
      <c r="E62" s="118" t="str">
        <f>IF(F62=0,"*","")</f>
        <v>*</v>
      </c>
      <c r="F62" s="134"/>
      <c r="G62" s="120"/>
      <c r="I62" s="108"/>
    </row>
    <row r="63" spans="1:9" ht="22.5" x14ac:dyDescent="0.2">
      <c r="A63" s="150"/>
      <c r="B63" s="104"/>
      <c r="C63" s="105"/>
      <c r="D63" s="116"/>
      <c r="E63" s="127"/>
      <c r="F63" s="130" t="s">
        <v>202</v>
      </c>
      <c r="G63" s="116"/>
      <c r="I63" s="108"/>
    </row>
    <row r="64" spans="1:9" ht="15.75" thickBot="1" x14ac:dyDescent="0.25">
      <c r="A64" s="104"/>
      <c r="B64" s="104"/>
      <c r="C64" s="105"/>
      <c r="D64" s="127"/>
      <c r="E64" s="131"/>
      <c r="F64" s="132"/>
      <c r="G64" s="133"/>
      <c r="I64" s="108"/>
    </row>
    <row r="65" spans="1:9" x14ac:dyDescent="0.2">
      <c r="A65" s="104"/>
      <c r="B65" s="104"/>
      <c r="C65" s="105"/>
      <c r="F65" s="110"/>
      <c r="I65" s="108"/>
    </row>
    <row r="66" spans="1:9" ht="15.75" thickBot="1" x14ac:dyDescent="0.25">
      <c r="A66" s="104"/>
      <c r="B66" s="104"/>
      <c r="C66" s="105"/>
      <c r="E66" s="109" t="s">
        <v>203</v>
      </c>
      <c r="F66" s="110"/>
      <c r="I66" s="108"/>
    </row>
    <row r="67" spans="1:9" x14ac:dyDescent="0.2">
      <c r="A67" s="104"/>
      <c r="B67" s="104"/>
      <c r="C67" s="105"/>
      <c r="E67" s="111"/>
      <c r="F67" s="112"/>
      <c r="G67" s="113"/>
      <c r="I67" s="108"/>
    </row>
    <row r="68" spans="1:9" x14ac:dyDescent="0.2">
      <c r="A68" s="104"/>
      <c r="B68" s="104"/>
      <c r="C68" s="105"/>
      <c r="D68" s="116"/>
      <c r="E68" s="127"/>
      <c r="F68" s="115" t="s">
        <v>247</v>
      </c>
      <c r="G68" s="116"/>
      <c r="I68" s="108"/>
    </row>
    <row r="69" spans="1:9" x14ac:dyDescent="0.2">
      <c r="A69" s="104"/>
      <c r="B69" s="104"/>
      <c r="C69" s="105"/>
      <c r="D69" s="116"/>
      <c r="E69" s="118" t="str">
        <f>IF(F69=0,"*","")</f>
        <v>*</v>
      </c>
      <c r="F69" s="134"/>
      <c r="G69" s="120"/>
      <c r="I69" s="108"/>
    </row>
    <row r="70" spans="1:9" x14ac:dyDescent="0.2">
      <c r="A70" s="104"/>
      <c r="B70" s="104"/>
      <c r="C70" s="105"/>
      <c r="D70" s="116"/>
      <c r="E70" s="127"/>
      <c r="F70" s="130" t="s">
        <v>204</v>
      </c>
      <c r="G70" s="116"/>
      <c r="I70" s="108"/>
    </row>
    <row r="71" spans="1:9" x14ac:dyDescent="0.2">
      <c r="A71" s="104"/>
      <c r="B71" s="104"/>
      <c r="C71" s="105"/>
      <c r="D71" s="116"/>
      <c r="E71" s="127"/>
      <c r="F71" s="128"/>
      <c r="G71" s="116"/>
      <c r="I71" s="108"/>
    </row>
    <row r="72" spans="1:9" x14ac:dyDescent="0.2">
      <c r="A72" s="104"/>
      <c r="B72" s="104"/>
      <c r="C72" s="105"/>
      <c r="D72" s="116"/>
      <c r="E72" s="127"/>
      <c r="F72" s="115" t="s">
        <v>282</v>
      </c>
      <c r="G72" s="116"/>
      <c r="I72" s="108"/>
    </row>
    <row r="73" spans="1:9" x14ac:dyDescent="0.2">
      <c r="A73" s="104"/>
      <c r="B73" s="104"/>
      <c r="C73" s="105"/>
      <c r="D73" s="116"/>
      <c r="E73" s="118" t="str">
        <f>IF(F73=0,"*","")</f>
        <v>*</v>
      </c>
      <c r="F73" s="134"/>
      <c r="G73" s="120"/>
      <c r="I73" s="108"/>
    </row>
    <row r="74" spans="1:9" x14ac:dyDescent="0.2">
      <c r="A74" s="104"/>
      <c r="B74" s="104"/>
      <c r="C74" s="105"/>
      <c r="D74" s="116"/>
      <c r="E74" s="127"/>
      <c r="F74" s="130" t="s">
        <v>205</v>
      </c>
      <c r="G74" s="116"/>
      <c r="I74" s="108"/>
    </row>
    <row r="75" spans="1:9" ht="15.75" thickBot="1" x14ac:dyDescent="0.25">
      <c r="A75" s="104"/>
      <c r="B75" s="104"/>
      <c r="C75" s="105"/>
      <c r="D75" s="116"/>
      <c r="E75" s="139"/>
      <c r="F75" s="132"/>
      <c r="G75" s="133"/>
      <c r="I75" s="108"/>
    </row>
    <row r="76" spans="1:9" x14ac:dyDescent="0.2">
      <c r="A76" s="104"/>
      <c r="B76" s="104"/>
      <c r="C76" s="105"/>
      <c r="E76" s="127"/>
      <c r="F76" s="128"/>
      <c r="G76" s="127"/>
      <c r="I76" s="108"/>
    </row>
    <row r="77" spans="1:9" ht="15.75" thickBot="1" x14ac:dyDescent="0.25">
      <c r="A77" s="104"/>
      <c r="B77" s="104"/>
      <c r="C77" s="105"/>
      <c r="E77" s="109" t="s">
        <v>206</v>
      </c>
      <c r="F77" s="110"/>
      <c r="I77" s="108"/>
    </row>
    <row r="78" spans="1:9" x14ac:dyDescent="0.2">
      <c r="A78" s="104"/>
      <c r="B78" s="104"/>
      <c r="C78" s="105"/>
      <c r="D78" s="116"/>
      <c r="E78" s="138"/>
      <c r="F78" s="112"/>
      <c r="G78" s="113"/>
      <c r="I78" s="108"/>
    </row>
    <row r="79" spans="1:9" x14ac:dyDescent="0.2">
      <c r="A79" s="104"/>
      <c r="B79" s="104"/>
      <c r="C79" s="105"/>
      <c r="D79" s="116"/>
      <c r="E79" s="127"/>
      <c r="F79" s="115" t="s">
        <v>249</v>
      </c>
      <c r="G79" s="116"/>
      <c r="I79" s="108"/>
    </row>
    <row r="80" spans="1:9" x14ac:dyDescent="0.2">
      <c r="A80" s="104"/>
      <c r="B80" s="104"/>
      <c r="C80" s="105"/>
      <c r="D80" s="116"/>
      <c r="E80" s="118" t="str">
        <f>IF(F80=0,"*","")</f>
        <v>*</v>
      </c>
      <c r="F80" s="134"/>
      <c r="G80" s="120"/>
      <c r="I80" s="108"/>
    </row>
    <row r="81" spans="1:9" x14ac:dyDescent="0.2">
      <c r="A81" s="104"/>
      <c r="B81" s="104"/>
      <c r="C81" s="105"/>
      <c r="D81" s="116"/>
      <c r="E81" s="127"/>
      <c r="F81" s="130" t="s">
        <v>207</v>
      </c>
      <c r="G81" s="116"/>
      <c r="I81" s="108"/>
    </row>
    <row r="82" spans="1:9" ht="15.75" thickBot="1" x14ac:dyDescent="0.25">
      <c r="A82" s="104"/>
      <c r="B82" s="104"/>
      <c r="C82" s="105"/>
      <c r="D82" s="116"/>
      <c r="E82" s="139"/>
      <c r="F82" s="132"/>
      <c r="G82" s="133"/>
      <c r="I82" s="108"/>
    </row>
    <row r="83" spans="1:9" x14ac:dyDescent="0.2">
      <c r="A83" s="104"/>
      <c r="B83" s="104"/>
      <c r="C83" s="105"/>
      <c r="F83" s="110"/>
      <c r="I83" s="108"/>
    </row>
    <row r="84" spans="1:9" ht="15.75" thickBot="1" x14ac:dyDescent="0.25">
      <c r="A84" s="104"/>
      <c r="B84" s="104"/>
      <c r="C84" s="105"/>
      <c r="E84" s="109" t="s">
        <v>208</v>
      </c>
      <c r="F84" s="110"/>
      <c r="I84" s="108"/>
    </row>
    <row r="85" spans="1:9" x14ac:dyDescent="0.2">
      <c r="A85" s="104"/>
      <c r="B85" s="104"/>
      <c r="C85" s="105"/>
      <c r="D85" s="116"/>
      <c r="E85" s="138"/>
      <c r="F85" s="112"/>
      <c r="G85" s="113"/>
      <c r="I85" s="108"/>
    </row>
    <row r="86" spans="1:9" x14ac:dyDescent="0.2">
      <c r="A86" s="104"/>
      <c r="B86" s="104"/>
      <c r="C86" s="105"/>
      <c r="D86" s="116"/>
      <c r="E86" s="127"/>
      <c r="F86" s="115" t="s">
        <v>57</v>
      </c>
      <c r="G86" s="116"/>
      <c r="I86" s="108"/>
    </row>
    <row r="87" spans="1:9" x14ac:dyDescent="0.2">
      <c r="A87" s="104"/>
      <c r="B87" s="104"/>
      <c r="C87" s="105"/>
      <c r="D87" s="116"/>
      <c r="E87" s="118" t="str">
        <f>IF(F87=0,"*","")</f>
        <v>*</v>
      </c>
      <c r="F87" s="134"/>
      <c r="G87" s="120"/>
      <c r="I87" s="108"/>
    </row>
    <row r="88" spans="1:9" x14ac:dyDescent="0.2">
      <c r="A88" s="104"/>
      <c r="B88" s="104"/>
      <c r="C88" s="105"/>
      <c r="D88" s="116"/>
      <c r="E88" s="127"/>
      <c r="F88" s="130" t="s">
        <v>209</v>
      </c>
      <c r="G88" s="116"/>
      <c r="I88" s="108"/>
    </row>
    <row r="89" spans="1:9" x14ac:dyDescent="0.2">
      <c r="A89" s="104"/>
      <c r="B89" s="104"/>
      <c r="C89" s="105"/>
      <c r="D89" s="116"/>
      <c r="E89" s="127"/>
      <c r="F89" s="128"/>
      <c r="G89" s="116"/>
      <c r="I89" s="108"/>
    </row>
    <row r="90" spans="1:9" x14ac:dyDescent="0.2">
      <c r="A90" s="104"/>
      <c r="B90" s="104"/>
      <c r="C90" s="105"/>
      <c r="D90" s="116"/>
      <c r="E90" s="127"/>
      <c r="F90" s="115" t="s">
        <v>58</v>
      </c>
      <c r="G90" s="116"/>
      <c r="I90" s="108"/>
    </row>
    <row r="91" spans="1:9" x14ac:dyDescent="0.2">
      <c r="A91" s="104"/>
      <c r="B91" s="104"/>
      <c r="C91" s="105"/>
      <c r="D91" s="116"/>
      <c r="E91" s="118" t="str">
        <f>IF(F91=0,"*","")</f>
        <v>*</v>
      </c>
      <c r="F91" s="134"/>
      <c r="G91" s="120"/>
      <c r="I91" s="108"/>
    </row>
    <row r="92" spans="1:9" x14ac:dyDescent="0.2">
      <c r="A92" s="104"/>
      <c r="B92" s="104"/>
      <c r="C92" s="105"/>
      <c r="D92" s="116"/>
      <c r="E92" s="127"/>
      <c r="F92" s="130" t="s">
        <v>210</v>
      </c>
      <c r="G92" s="116"/>
      <c r="I92" s="108"/>
    </row>
    <row r="93" spans="1:9" x14ac:dyDescent="0.2">
      <c r="A93" s="104"/>
      <c r="B93" s="104"/>
      <c r="C93" s="105"/>
      <c r="D93" s="116"/>
      <c r="E93" s="127"/>
      <c r="F93" s="128"/>
      <c r="G93" s="116"/>
      <c r="I93" s="108"/>
    </row>
    <row r="94" spans="1:9" x14ac:dyDescent="0.2">
      <c r="A94" s="104"/>
      <c r="B94" s="104"/>
      <c r="C94" s="105"/>
      <c r="D94" s="116"/>
      <c r="E94" s="127"/>
      <c r="F94" s="115" t="s">
        <v>59</v>
      </c>
      <c r="G94" s="116"/>
      <c r="I94" s="108"/>
    </row>
    <row r="95" spans="1:9" x14ac:dyDescent="0.2">
      <c r="A95" s="104"/>
      <c r="B95" s="104"/>
      <c r="C95" s="105"/>
      <c r="D95" s="116"/>
      <c r="E95" s="118" t="str">
        <f>IF(F95=0,"*","")</f>
        <v>*</v>
      </c>
      <c r="F95" s="134"/>
      <c r="G95" s="120"/>
      <c r="I95" s="108"/>
    </row>
    <row r="96" spans="1:9" x14ac:dyDescent="0.2">
      <c r="A96" s="104"/>
      <c r="B96" s="104"/>
      <c r="C96" s="105"/>
      <c r="D96" s="116"/>
      <c r="E96" s="127"/>
      <c r="F96" s="130" t="s">
        <v>211</v>
      </c>
      <c r="G96" s="116"/>
      <c r="I96" s="108"/>
    </row>
    <row r="97" spans="1:9" x14ac:dyDescent="0.2">
      <c r="A97" s="104"/>
      <c r="B97" s="104"/>
      <c r="C97" s="105"/>
      <c r="D97" s="116"/>
      <c r="E97" s="127"/>
      <c r="F97" s="128"/>
      <c r="G97" s="116"/>
      <c r="I97" s="108"/>
    </row>
    <row r="98" spans="1:9" x14ac:dyDescent="0.2">
      <c r="A98" s="104"/>
      <c r="B98" s="104"/>
      <c r="C98" s="105"/>
      <c r="D98" s="116"/>
      <c r="E98" s="127"/>
      <c r="F98" s="115" t="s">
        <v>60</v>
      </c>
      <c r="G98" s="116"/>
      <c r="I98" s="108"/>
    </row>
    <row r="99" spans="1:9" x14ac:dyDescent="0.2">
      <c r="A99" s="104"/>
      <c r="B99" s="104"/>
      <c r="C99" s="105"/>
      <c r="D99" s="116"/>
      <c r="E99" s="118" t="str">
        <f>IF(F99=0,"*","")</f>
        <v>*</v>
      </c>
      <c r="F99" s="134"/>
      <c r="G99" s="120"/>
      <c r="I99" s="108"/>
    </row>
    <row r="100" spans="1:9" x14ac:dyDescent="0.2">
      <c r="A100" s="104"/>
      <c r="B100" s="104"/>
      <c r="C100" s="105"/>
      <c r="D100" s="116"/>
      <c r="E100" s="127"/>
      <c r="F100" s="130" t="s">
        <v>212</v>
      </c>
      <c r="G100" s="116"/>
      <c r="I100" s="108"/>
    </row>
    <row r="101" spans="1:9" x14ac:dyDescent="0.2">
      <c r="A101" s="104"/>
      <c r="B101" s="104"/>
      <c r="C101" s="105"/>
      <c r="D101" s="116"/>
      <c r="E101" s="127"/>
      <c r="F101" s="128"/>
      <c r="G101" s="116"/>
      <c r="I101" s="108"/>
    </row>
    <row r="102" spans="1:9" x14ac:dyDescent="0.2">
      <c r="A102" s="104"/>
      <c r="B102" s="104"/>
      <c r="C102" s="105"/>
      <c r="D102" s="116"/>
      <c r="E102" s="127"/>
      <c r="F102" s="115" t="s">
        <v>61</v>
      </c>
      <c r="G102" s="116"/>
      <c r="I102" s="108"/>
    </row>
    <row r="103" spans="1:9" x14ac:dyDescent="0.2">
      <c r="A103" s="104"/>
      <c r="B103" s="104"/>
      <c r="C103" s="105"/>
      <c r="D103" s="116"/>
      <c r="E103" s="118" t="str">
        <f>IF(F103=0,"*","")</f>
        <v>*</v>
      </c>
      <c r="F103" s="134"/>
      <c r="G103" s="120"/>
      <c r="I103" s="108"/>
    </row>
    <row r="104" spans="1:9" x14ac:dyDescent="0.2">
      <c r="A104" s="104"/>
      <c r="B104" s="104"/>
      <c r="C104" s="105"/>
      <c r="E104" s="114"/>
      <c r="F104" s="130" t="s">
        <v>213</v>
      </c>
      <c r="G104" s="116"/>
      <c r="I104" s="108"/>
    </row>
    <row r="105" spans="1:9" ht="15.75" thickBot="1" x14ac:dyDescent="0.25">
      <c r="A105" s="104"/>
      <c r="B105" s="104"/>
      <c r="C105" s="105"/>
      <c r="E105" s="131"/>
      <c r="F105" s="132"/>
      <c r="G105" s="133"/>
      <c r="I105" s="108"/>
    </row>
    <row r="106" spans="1:9" x14ac:dyDescent="0.2">
      <c r="A106" s="104"/>
      <c r="B106" s="104"/>
      <c r="C106" s="105"/>
      <c r="F106" s="110"/>
      <c r="I106" s="108"/>
    </row>
    <row r="107" spans="1:9" ht="15.75" thickBot="1" x14ac:dyDescent="0.25">
      <c r="A107" s="104"/>
      <c r="B107" s="104"/>
      <c r="C107" s="105"/>
      <c r="E107" s="109" t="s">
        <v>214</v>
      </c>
      <c r="F107" s="110"/>
      <c r="I107" s="108"/>
    </row>
    <row r="108" spans="1:9" x14ac:dyDescent="0.2">
      <c r="A108" s="104"/>
      <c r="B108" s="104"/>
      <c r="C108" s="105"/>
      <c r="E108" s="111"/>
      <c r="F108" s="112"/>
      <c r="G108" s="113"/>
      <c r="I108" s="108"/>
    </row>
    <row r="109" spans="1:9" x14ac:dyDescent="0.2">
      <c r="A109" s="104"/>
      <c r="B109" s="104"/>
      <c r="C109" s="105"/>
      <c r="D109" s="116"/>
      <c r="E109" s="127"/>
      <c r="F109" s="115" t="s">
        <v>62</v>
      </c>
      <c r="G109" s="116"/>
      <c r="I109" s="108"/>
    </row>
    <row r="110" spans="1:9" x14ac:dyDescent="0.2">
      <c r="A110" s="104"/>
      <c r="B110" s="104"/>
      <c r="C110" s="105"/>
      <c r="D110" s="116"/>
      <c r="E110" s="118" t="str">
        <f>IF(F110=0,"*","")</f>
        <v>*</v>
      </c>
      <c r="F110" s="134"/>
      <c r="G110" s="120"/>
      <c r="I110" s="108"/>
    </row>
    <row r="111" spans="1:9" x14ac:dyDescent="0.2">
      <c r="A111" s="104"/>
      <c r="B111" s="104"/>
      <c r="C111" s="105"/>
      <c r="D111" s="116"/>
      <c r="E111" s="127"/>
      <c r="F111" s="130" t="s">
        <v>215</v>
      </c>
      <c r="G111" s="116"/>
      <c r="I111" s="108"/>
    </row>
    <row r="112" spans="1:9" x14ac:dyDescent="0.2">
      <c r="A112" s="104"/>
      <c r="B112" s="104"/>
      <c r="C112" s="105"/>
      <c r="D112" s="116"/>
      <c r="E112" s="127"/>
      <c r="F112" s="128"/>
      <c r="G112" s="116"/>
      <c r="I112" s="108"/>
    </row>
    <row r="113" spans="1:11" x14ac:dyDescent="0.2">
      <c r="A113" s="104"/>
      <c r="B113" s="104"/>
      <c r="C113" s="105"/>
      <c r="D113" s="116"/>
      <c r="E113" s="127"/>
      <c r="F113" s="115" t="s">
        <v>63</v>
      </c>
      <c r="G113" s="116"/>
      <c r="I113" s="108"/>
    </row>
    <row r="114" spans="1:11" x14ac:dyDescent="0.2">
      <c r="A114" s="104"/>
      <c r="B114" s="104"/>
      <c r="C114" s="105"/>
      <c r="D114" s="116"/>
      <c r="E114" s="118" t="str">
        <f>IF(F114=0,"*","")</f>
        <v>*</v>
      </c>
      <c r="F114" s="134"/>
      <c r="G114" s="120"/>
      <c r="I114" s="108"/>
    </row>
    <row r="115" spans="1:11" x14ac:dyDescent="0.2">
      <c r="A115" s="104"/>
      <c r="B115" s="104"/>
      <c r="C115" s="105"/>
      <c r="D115" s="116"/>
      <c r="E115" s="127"/>
      <c r="F115" s="130" t="s">
        <v>216</v>
      </c>
      <c r="G115" s="116"/>
      <c r="I115" s="108"/>
      <c r="K115" s="155"/>
    </row>
    <row r="116" spans="1:11" x14ac:dyDescent="0.2">
      <c r="A116" s="104"/>
      <c r="B116" s="104"/>
      <c r="C116" s="105"/>
      <c r="D116" s="116"/>
      <c r="E116" s="127"/>
      <c r="F116" s="128"/>
      <c r="G116" s="116"/>
      <c r="I116" s="108"/>
      <c r="K116" s="155"/>
    </row>
    <row r="117" spans="1:11" x14ac:dyDescent="0.2">
      <c r="A117" s="104"/>
      <c r="B117" s="104"/>
      <c r="C117" s="105"/>
      <c r="D117" s="116"/>
      <c r="E117" s="127"/>
      <c r="F117" s="115" t="s">
        <v>64</v>
      </c>
      <c r="G117" s="116"/>
      <c r="I117" s="108"/>
    </row>
    <row r="118" spans="1:11" x14ac:dyDescent="0.2">
      <c r="A118" s="104"/>
      <c r="B118" s="104"/>
      <c r="C118" s="105"/>
      <c r="D118" s="116"/>
      <c r="E118" s="118" t="str">
        <f>IF(F118=0,"*","")</f>
        <v>*</v>
      </c>
      <c r="F118" s="134"/>
      <c r="G118" s="120"/>
      <c r="I118" s="108"/>
    </row>
    <row r="119" spans="1:11" x14ac:dyDescent="0.2">
      <c r="A119" s="104"/>
      <c r="B119" s="104"/>
      <c r="C119" s="105"/>
      <c r="E119" s="114"/>
      <c r="F119" s="130" t="s">
        <v>217</v>
      </c>
      <c r="G119" s="116"/>
      <c r="I119" s="108"/>
    </row>
    <row r="120" spans="1:11" ht="15.75" thickBot="1" x14ac:dyDescent="0.25">
      <c r="A120" s="104"/>
      <c r="B120" s="104"/>
      <c r="C120" s="105"/>
      <c r="E120" s="131"/>
      <c r="F120" s="132"/>
      <c r="G120" s="133"/>
      <c r="I120" s="108"/>
    </row>
    <row r="121" spans="1:11" x14ac:dyDescent="0.2">
      <c r="A121" s="104"/>
      <c r="B121" s="104"/>
      <c r="C121" s="105"/>
      <c r="F121" s="110"/>
      <c r="I121" s="108"/>
    </row>
    <row r="122" spans="1:11" ht="15.75" thickBot="1" x14ac:dyDescent="0.25">
      <c r="A122" s="104"/>
      <c r="B122" s="104"/>
      <c r="C122" s="105"/>
      <c r="E122" s="109" t="s">
        <v>218</v>
      </c>
      <c r="F122" s="110"/>
      <c r="I122" s="108"/>
    </row>
    <row r="123" spans="1:11" x14ac:dyDescent="0.2">
      <c r="A123" s="104"/>
      <c r="B123" s="104"/>
      <c r="C123" s="105"/>
      <c r="E123" s="111"/>
      <c r="F123" s="112"/>
      <c r="G123" s="113"/>
      <c r="I123" s="108"/>
    </row>
    <row r="124" spans="1:11" x14ac:dyDescent="0.2">
      <c r="A124" s="104"/>
      <c r="B124" s="104"/>
      <c r="C124" s="105"/>
      <c r="D124" s="116"/>
      <c r="E124" s="127"/>
      <c r="F124" s="115" t="s">
        <v>219</v>
      </c>
      <c r="G124" s="116"/>
      <c r="I124" s="108"/>
    </row>
    <row r="125" spans="1:11" x14ac:dyDescent="0.2">
      <c r="A125" s="104"/>
      <c r="B125" s="104"/>
      <c r="C125" s="105"/>
      <c r="D125" s="116"/>
      <c r="E125" s="118" t="str">
        <f>IF(F125=0,"*","")</f>
        <v>*</v>
      </c>
      <c r="F125" s="140"/>
      <c r="G125" s="120"/>
      <c r="I125" s="108"/>
    </row>
    <row r="126" spans="1:11" x14ac:dyDescent="0.2">
      <c r="A126" s="104"/>
      <c r="B126" s="104"/>
      <c r="C126" s="105"/>
      <c r="D126" s="116"/>
      <c r="E126" s="127"/>
      <c r="F126" s="130" t="s">
        <v>220</v>
      </c>
      <c r="G126" s="116"/>
      <c r="I126" s="108"/>
    </row>
    <row r="127" spans="1:11" x14ac:dyDescent="0.2">
      <c r="A127" s="104"/>
      <c r="B127" s="104"/>
      <c r="C127" s="105"/>
      <c r="D127" s="116"/>
      <c r="E127" s="127"/>
      <c r="F127" s="128"/>
      <c r="G127" s="116"/>
      <c r="I127" s="108"/>
    </row>
    <row r="128" spans="1:11" x14ac:dyDescent="0.2">
      <c r="A128" s="104"/>
      <c r="B128" s="104"/>
      <c r="C128" s="105"/>
      <c r="D128" s="116"/>
      <c r="E128" s="127"/>
      <c r="F128" s="115" t="s">
        <v>221</v>
      </c>
      <c r="G128" s="116"/>
      <c r="I128" s="108"/>
    </row>
    <row r="129" spans="1:9" x14ac:dyDescent="0.2">
      <c r="A129" s="104"/>
      <c r="B129" s="104"/>
      <c r="C129" s="105"/>
      <c r="D129" s="116"/>
      <c r="E129" s="118" t="str">
        <f>IF(F129=0,"*","")</f>
        <v>*</v>
      </c>
      <c r="F129" s="143">
        <f>UkupnaBrutoPovrsinaPr+UkupnaBrutoPovrsinaS1+UkupnaBrutoPovrsinaS2+UkupnaBrutoPovrsinaS3+UkupnaBrutoPovrsinaS4+UkupnaBrutoPovrsinaS5+UkupnaBrutoPovrsinaPk</f>
        <v>0</v>
      </c>
      <c r="G129" s="120"/>
      <c r="I129" s="108"/>
    </row>
    <row r="130" spans="1:9" x14ac:dyDescent="0.2">
      <c r="A130" s="104"/>
      <c r="B130" s="104"/>
      <c r="C130" s="105"/>
      <c r="D130" s="116"/>
      <c r="E130" s="127"/>
      <c r="F130" s="130" t="s">
        <v>222</v>
      </c>
      <c r="G130" s="116"/>
      <c r="I130" s="108"/>
    </row>
    <row r="131" spans="1:9" x14ac:dyDescent="0.2">
      <c r="A131" s="104"/>
      <c r="B131" s="104"/>
      <c r="C131" s="105"/>
      <c r="D131" s="116"/>
      <c r="E131" s="127"/>
      <c r="F131" s="128"/>
      <c r="G131" s="116"/>
      <c r="I131" s="108"/>
    </row>
    <row r="132" spans="1:9" x14ac:dyDescent="0.2">
      <c r="A132" s="104"/>
      <c r="B132" s="104"/>
      <c r="C132" s="105"/>
      <c r="D132" s="116"/>
      <c r="E132" s="127"/>
      <c r="F132" s="115" t="s">
        <v>223</v>
      </c>
      <c r="G132" s="116"/>
      <c r="I132" s="108"/>
    </row>
    <row r="133" spans="1:9" x14ac:dyDescent="0.2">
      <c r="A133" s="104"/>
      <c r="B133" s="104"/>
      <c r="C133" s="105"/>
      <c r="D133" s="116"/>
      <c r="E133" s="118" t="str">
        <f>IF(F133=0,"*","")</f>
        <v>*</v>
      </c>
      <c r="F133" s="143">
        <f>SUM(Rekapitulacija!G13:G21)</f>
        <v>0</v>
      </c>
      <c r="G133" s="120"/>
      <c r="I133" s="108"/>
    </row>
    <row r="134" spans="1:9" x14ac:dyDescent="0.2">
      <c r="A134" s="104"/>
      <c r="B134" s="104"/>
      <c r="C134" s="105"/>
      <c r="D134" s="116"/>
      <c r="E134" s="127"/>
      <c r="F134" s="130" t="s">
        <v>222</v>
      </c>
      <c r="G134" s="116"/>
      <c r="I134" s="108"/>
    </row>
    <row r="135" spans="1:9" x14ac:dyDescent="0.2">
      <c r="A135" s="104"/>
      <c r="B135" s="104"/>
      <c r="C135" s="105"/>
      <c r="D135" s="116"/>
      <c r="E135" s="127"/>
      <c r="F135" s="128"/>
      <c r="G135" s="116"/>
      <c r="H135" s="127"/>
      <c r="I135" s="108"/>
    </row>
    <row r="136" spans="1:9" x14ac:dyDescent="0.2">
      <c r="A136" s="104"/>
      <c r="B136" s="104"/>
      <c r="C136" s="105"/>
      <c r="D136" s="116"/>
      <c r="E136" s="127"/>
      <c r="F136" s="115" t="s">
        <v>224</v>
      </c>
      <c r="G136" s="116"/>
      <c r="I136" s="108"/>
    </row>
    <row r="137" spans="1:9" x14ac:dyDescent="0.2">
      <c r="A137" s="104"/>
      <c r="B137" s="104"/>
      <c r="C137" s="105"/>
      <c r="D137" s="116"/>
      <c r="E137" s="118" t="str">
        <f>IF(F137=0,"*","")</f>
        <v>*</v>
      </c>
      <c r="F137" s="143">
        <f>SUM(Rekapitulacija!E13:E21)</f>
        <v>0</v>
      </c>
      <c r="G137" s="120"/>
      <c r="I137" s="108"/>
    </row>
    <row r="138" spans="1:9" x14ac:dyDescent="0.2">
      <c r="A138" s="104"/>
      <c r="B138" s="104"/>
      <c r="C138" s="105"/>
      <c r="D138" s="116"/>
      <c r="E138" s="127"/>
      <c r="F138" s="130" t="s">
        <v>225</v>
      </c>
      <c r="G138" s="116"/>
      <c r="I138" s="108"/>
    </row>
    <row r="139" spans="1:9" x14ac:dyDescent="0.2">
      <c r="A139" s="104"/>
      <c r="B139" s="104"/>
      <c r="C139" s="105"/>
      <c r="D139" s="127"/>
      <c r="E139" s="114"/>
      <c r="F139" s="128"/>
      <c r="G139" s="116"/>
      <c r="H139" s="127"/>
      <c r="I139" s="108"/>
    </row>
    <row r="140" spans="1:9" x14ac:dyDescent="0.2">
      <c r="A140" s="104"/>
      <c r="B140" s="104"/>
      <c r="C140" s="105"/>
      <c r="E140" s="114"/>
      <c r="F140" s="115" t="s">
        <v>226</v>
      </c>
      <c r="G140" s="116"/>
      <c r="I140" s="108"/>
    </row>
    <row r="141" spans="1:9" x14ac:dyDescent="0.2">
      <c r="A141" s="104"/>
      <c r="B141" s="104"/>
      <c r="C141" s="105"/>
      <c r="D141" s="116"/>
      <c r="E141" s="118" t="str">
        <f>IF(F141=0,"*","")</f>
        <v>*</v>
      </c>
      <c r="F141" s="143">
        <f>UkupnaBrutoPovrsinaPr</f>
        <v>0</v>
      </c>
      <c r="G141" s="120"/>
      <c r="I141" s="108"/>
    </row>
    <row r="142" spans="1:9" x14ac:dyDescent="0.2">
      <c r="A142" s="104"/>
      <c r="B142" s="104"/>
      <c r="C142" s="105"/>
      <c r="D142" s="116"/>
      <c r="E142" s="127"/>
      <c r="F142" s="130" t="s">
        <v>222</v>
      </c>
      <c r="G142" s="116"/>
      <c r="I142" s="108"/>
    </row>
    <row r="143" spans="1:9" x14ac:dyDescent="0.2">
      <c r="A143" s="104"/>
      <c r="B143" s="104"/>
      <c r="C143" s="105"/>
      <c r="D143" s="116"/>
      <c r="E143" s="127"/>
      <c r="F143" s="128"/>
      <c r="G143" s="116"/>
      <c r="H143" s="127"/>
      <c r="I143" s="108"/>
    </row>
    <row r="144" spans="1:9" x14ac:dyDescent="0.2">
      <c r="A144" s="104"/>
      <c r="B144" s="104"/>
      <c r="C144" s="105"/>
      <c r="D144" s="116"/>
      <c r="E144" s="127"/>
      <c r="F144" s="115" t="s">
        <v>227</v>
      </c>
      <c r="G144" s="116"/>
      <c r="I144" s="108"/>
    </row>
    <row r="145" spans="1:9" x14ac:dyDescent="0.2">
      <c r="A145" s="104"/>
      <c r="B145" s="104"/>
      <c r="C145" s="105"/>
      <c r="D145" s="116"/>
      <c r="E145" s="118" t="str">
        <f>IF(F145=0,"*","")</f>
        <v>*</v>
      </c>
      <c r="F145" s="143">
        <f>UkupnaBrutoPovrsinaPr</f>
        <v>0</v>
      </c>
      <c r="G145" s="120"/>
      <c r="I145" s="108"/>
    </row>
    <row r="146" spans="1:9" x14ac:dyDescent="0.2">
      <c r="A146" s="104"/>
      <c r="B146" s="104"/>
      <c r="C146" s="105"/>
      <c r="D146" s="116"/>
      <c r="E146" s="127"/>
      <c r="F146" s="130" t="s">
        <v>222</v>
      </c>
      <c r="G146" s="116"/>
      <c r="I146" s="108"/>
    </row>
    <row r="147" spans="1:9" x14ac:dyDescent="0.2">
      <c r="A147" s="104"/>
      <c r="B147" s="104"/>
      <c r="C147" s="105"/>
      <c r="D147" s="116"/>
      <c r="E147" s="127"/>
      <c r="F147" s="128"/>
      <c r="G147" s="116"/>
      <c r="H147" s="127"/>
      <c r="I147" s="108"/>
    </row>
    <row r="148" spans="1:9" x14ac:dyDescent="0.2">
      <c r="A148" s="104"/>
      <c r="B148" s="104"/>
      <c r="C148" s="105"/>
      <c r="D148" s="116"/>
      <c r="E148" s="127"/>
      <c r="F148" s="115" t="s">
        <v>71</v>
      </c>
      <c r="G148" s="116"/>
      <c r="I148" s="108"/>
    </row>
    <row r="149" spans="1:9" x14ac:dyDescent="0.2">
      <c r="A149" s="104"/>
      <c r="B149" s="104"/>
      <c r="C149" s="105"/>
      <c r="D149" s="116"/>
      <c r="E149" s="118" t="str">
        <f>IF(F149=0,"*","")</f>
        <v>*</v>
      </c>
      <c r="F149" s="134"/>
      <c r="G149" s="120"/>
      <c r="I149" s="108"/>
    </row>
    <row r="150" spans="1:9" x14ac:dyDescent="0.2">
      <c r="A150" s="104"/>
      <c r="B150" s="104"/>
      <c r="C150" s="105"/>
      <c r="D150" s="116"/>
      <c r="E150" s="127"/>
      <c r="F150" s="130" t="s">
        <v>228</v>
      </c>
      <c r="G150" s="116"/>
      <c r="I150" s="108"/>
    </row>
    <row r="151" spans="1:9" x14ac:dyDescent="0.2">
      <c r="A151" s="104"/>
      <c r="B151" s="104"/>
      <c r="C151" s="105"/>
      <c r="D151" s="116"/>
      <c r="E151" s="127"/>
      <c r="F151" s="128"/>
      <c r="G151" s="116"/>
      <c r="I151" s="108"/>
    </row>
    <row r="152" spans="1:9" x14ac:dyDescent="0.2">
      <c r="A152" s="104"/>
      <c r="B152" s="104"/>
      <c r="C152" s="105"/>
      <c r="D152" s="116"/>
      <c r="E152" s="127"/>
      <c r="F152" s="141" t="s">
        <v>74</v>
      </c>
      <c r="G152" s="116"/>
      <c r="I152" s="108"/>
    </row>
    <row r="153" spans="1:9" x14ac:dyDescent="0.2">
      <c r="A153" s="104"/>
      <c r="B153" s="104"/>
      <c r="C153" s="105"/>
      <c r="D153" s="116"/>
      <c r="E153" s="118" t="str">
        <f>IF(F153=0,"*","")</f>
        <v>*</v>
      </c>
      <c r="F153" s="142"/>
      <c r="G153" s="120"/>
      <c r="I153" s="108"/>
    </row>
    <row r="154" spans="1:9" x14ac:dyDescent="0.2">
      <c r="A154" s="104"/>
      <c r="B154" s="104"/>
      <c r="C154" s="105"/>
      <c r="D154" s="116"/>
      <c r="E154" s="127"/>
      <c r="F154" s="130" t="s">
        <v>231</v>
      </c>
      <c r="G154" s="116"/>
      <c r="I154" s="108"/>
    </row>
    <row r="155" spans="1:9" x14ac:dyDescent="0.2">
      <c r="A155" s="104"/>
      <c r="B155" s="104"/>
      <c r="C155" s="105"/>
      <c r="D155" s="116"/>
      <c r="E155" s="127"/>
      <c r="F155" s="128"/>
      <c r="G155" s="116"/>
      <c r="H155" s="127"/>
      <c r="I155" s="108"/>
    </row>
    <row r="156" spans="1:9" x14ac:dyDescent="0.2">
      <c r="A156" s="104"/>
      <c r="B156" s="104"/>
      <c r="C156" s="105"/>
      <c r="D156" s="116"/>
      <c r="E156" s="127"/>
      <c r="F156" s="115" t="s">
        <v>75</v>
      </c>
      <c r="G156" s="116"/>
      <c r="I156" s="108"/>
    </row>
    <row r="157" spans="1:9" x14ac:dyDescent="0.2">
      <c r="A157" s="104"/>
      <c r="B157" s="104"/>
      <c r="C157" s="105"/>
      <c r="D157" s="116"/>
      <c r="E157" s="118" t="str">
        <f>IF(F157=0,"*","")</f>
        <v>*</v>
      </c>
      <c r="F157" s="142"/>
      <c r="G157" s="120"/>
      <c r="I157" s="108"/>
    </row>
    <row r="158" spans="1:9" x14ac:dyDescent="0.2">
      <c r="A158" s="104"/>
      <c r="B158" s="104"/>
      <c r="C158" s="105"/>
      <c r="D158" s="116"/>
      <c r="E158" s="127"/>
      <c r="F158" s="130" t="s">
        <v>231</v>
      </c>
      <c r="G158" s="116"/>
      <c r="I158" s="108"/>
    </row>
    <row r="159" spans="1:9" ht="15.75" thickBot="1" x14ac:dyDescent="0.25">
      <c r="A159" s="104"/>
      <c r="B159" s="104"/>
      <c r="C159" s="105"/>
      <c r="E159" s="131"/>
      <c r="F159" s="132"/>
      <c r="G159" s="133"/>
      <c r="I159" s="108"/>
    </row>
    <row r="160" spans="1:9" x14ac:dyDescent="0.2">
      <c r="A160" s="104"/>
      <c r="B160" s="104"/>
      <c r="C160" s="105"/>
      <c r="F160" s="110"/>
      <c r="I160" s="108"/>
    </row>
    <row r="161" spans="1:9" ht="15.75" thickBot="1" x14ac:dyDescent="0.25">
      <c r="A161" s="104"/>
      <c r="B161" s="104"/>
      <c r="C161" s="105"/>
      <c r="E161" s="109" t="s">
        <v>232</v>
      </c>
      <c r="F161" s="110"/>
      <c r="I161" s="108"/>
    </row>
    <row r="162" spans="1:9" x14ac:dyDescent="0.2">
      <c r="A162" s="104"/>
      <c r="B162" s="104"/>
      <c r="C162" s="105"/>
      <c r="E162" s="111"/>
      <c r="F162" s="112"/>
      <c r="G162" s="113"/>
      <c r="I162" s="108"/>
    </row>
    <row r="163" spans="1:9" x14ac:dyDescent="0.2">
      <c r="A163" s="104"/>
      <c r="B163" s="104"/>
      <c r="C163" s="105"/>
      <c r="D163" s="116"/>
      <c r="E163" s="127"/>
      <c r="F163" s="115" t="s">
        <v>233</v>
      </c>
      <c r="G163" s="116"/>
      <c r="I163" s="108"/>
    </row>
    <row r="164" spans="1:9" x14ac:dyDescent="0.2">
      <c r="A164" s="104"/>
      <c r="B164" s="104"/>
      <c r="C164" s="105"/>
      <c r="D164" s="116"/>
      <c r="E164" s="118" t="str">
        <f>IF(F164=0,"*","")</f>
        <v>*</v>
      </c>
      <c r="F164" s="134"/>
      <c r="G164" s="120"/>
      <c r="I164" s="108"/>
    </row>
    <row r="165" spans="1:9" x14ac:dyDescent="0.2">
      <c r="A165" s="104"/>
      <c r="B165" s="104"/>
      <c r="C165" s="105"/>
      <c r="D165" s="116"/>
      <c r="E165" s="127"/>
      <c r="F165" s="130" t="s">
        <v>234</v>
      </c>
      <c r="G165" s="116"/>
      <c r="I165" s="108"/>
    </row>
    <row r="166" spans="1:9" x14ac:dyDescent="0.2">
      <c r="A166" s="104"/>
      <c r="B166" s="104"/>
      <c r="C166" s="105"/>
      <c r="D166" s="116"/>
      <c r="E166" s="127"/>
      <c r="F166" s="128"/>
      <c r="G166" s="116"/>
      <c r="I166" s="108"/>
    </row>
    <row r="167" spans="1:9" x14ac:dyDescent="0.2">
      <c r="A167" s="104"/>
      <c r="B167" s="104"/>
      <c r="C167" s="105"/>
      <c r="D167" s="116"/>
      <c r="E167" s="127"/>
      <c r="F167" s="115" t="s">
        <v>77</v>
      </c>
      <c r="G167" s="116"/>
      <c r="I167" s="108"/>
    </row>
    <row r="168" spans="1:9" x14ac:dyDescent="0.2">
      <c r="A168" s="104"/>
      <c r="B168" s="104"/>
      <c r="C168" s="105"/>
      <c r="D168" s="116"/>
      <c r="E168" s="118" t="str">
        <f>IF(F168=0,"*","")</f>
        <v>*</v>
      </c>
      <c r="F168" s="134"/>
      <c r="G168" s="120"/>
      <c r="I168" s="108"/>
    </row>
    <row r="169" spans="1:9" x14ac:dyDescent="0.2">
      <c r="A169" s="104"/>
      <c r="B169" s="104"/>
      <c r="C169" s="105"/>
      <c r="D169" s="116"/>
      <c r="E169" s="127"/>
      <c r="F169" s="130" t="s">
        <v>235</v>
      </c>
      <c r="G169" s="116"/>
      <c r="I169" s="108"/>
    </row>
    <row r="170" spans="1:9" x14ac:dyDescent="0.2">
      <c r="A170" s="104"/>
      <c r="B170" s="104"/>
      <c r="C170" s="105"/>
      <c r="D170" s="116"/>
      <c r="E170" s="127"/>
      <c r="F170" s="128"/>
      <c r="G170" s="116"/>
      <c r="I170" s="108"/>
    </row>
    <row r="171" spans="1:9" x14ac:dyDescent="0.2">
      <c r="A171" s="104"/>
      <c r="B171" s="104"/>
      <c r="C171" s="105"/>
      <c r="D171" s="116"/>
      <c r="E171" s="127"/>
      <c r="F171" s="115" t="s">
        <v>236</v>
      </c>
      <c r="G171" s="116"/>
      <c r="I171" s="108"/>
    </row>
    <row r="172" spans="1:9" x14ac:dyDescent="0.2">
      <c r="A172" s="104"/>
      <c r="B172" s="104"/>
      <c r="C172" s="105"/>
      <c r="D172" s="116"/>
      <c r="E172" s="118" t="str">
        <f>IF(F172=0,"*","")</f>
        <v>*</v>
      </c>
      <c r="F172" s="140"/>
      <c r="G172" s="120"/>
      <c r="I172" s="108"/>
    </row>
    <row r="173" spans="1:9" x14ac:dyDescent="0.2">
      <c r="A173" s="104"/>
      <c r="B173" s="104"/>
      <c r="C173" s="105"/>
      <c r="D173" s="116"/>
      <c r="E173" s="127"/>
      <c r="F173" s="130" t="s">
        <v>237</v>
      </c>
      <c r="G173" s="116"/>
      <c r="I173" s="108"/>
    </row>
    <row r="174" spans="1:9" x14ac:dyDescent="0.2">
      <c r="A174" s="104"/>
      <c r="B174" s="104"/>
      <c r="C174" s="105"/>
      <c r="D174" s="116"/>
      <c r="E174" s="127"/>
      <c r="F174" s="128"/>
      <c r="G174" s="116"/>
      <c r="I174" s="108"/>
    </row>
    <row r="175" spans="1:9" x14ac:dyDescent="0.2">
      <c r="A175" s="104"/>
      <c r="B175" s="104"/>
      <c r="C175" s="105"/>
      <c r="D175" s="116"/>
      <c r="E175" s="127"/>
      <c r="F175" s="115" t="s">
        <v>238</v>
      </c>
      <c r="G175" s="116"/>
      <c r="I175" s="108"/>
    </row>
    <row r="176" spans="1:9" x14ac:dyDescent="0.2">
      <c r="A176" s="104"/>
      <c r="B176" s="104"/>
      <c r="C176" s="105"/>
      <c r="D176" s="116"/>
      <c r="E176" s="118" t="str">
        <f>IF(F176=0,"*","")</f>
        <v>*</v>
      </c>
      <c r="F176" s="134"/>
      <c r="G176" s="120"/>
      <c r="I176" s="108"/>
    </row>
    <row r="177" spans="1:9" x14ac:dyDescent="0.2">
      <c r="A177" s="104"/>
      <c r="B177" s="104"/>
      <c r="C177" s="105"/>
      <c r="E177" s="114"/>
      <c r="F177" s="130" t="s">
        <v>239</v>
      </c>
      <c r="G177" s="116"/>
      <c r="I177" s="108"/>
    </row>
    <row r="178" spans="1:9" ht="15.75" thickBot="1" x14ac:dyDescent="0.25">
      <c r="A178" s="104"/>
      <c r="B178" s="104"/>
      <c r="C178" s="105"/>
      <c r="E178" s="131"/>
      <c r="F178" s="132"/>
      <c r="G178" s="133"/>
      <c r="I178" s="108"/>
    </row>
    <row r="179" spans="1:9" x14ac:dyDescent="0.2">
      <c r="A179" s="104"/>
      <c r="B179" s="104"/>
      <c r="C179" s="105"/>
      <c r="F179" s="110"/>
      <c r="I179" s="108"/>
    </row>
    <row r="180" spans="1:9" ht="15.75" thickBot="1" x14ac:dyDescent="0.25">
      <c r="A180" s="104"/>
      <c r="B180" s="104"/>
      <c r="C180" s="105"/>
      <c r="E180" s="109" t="s">
        <v>240</v>
      </c>
      <c r="F180" s="109"/>
      <c r="I180" s="108"/>
    </row>
    <row r="181" spans="1:9" x14ac:dyDescent="0.2">
      <c r="A181" s="104"/>
      <c r="B181" s="104"/>
      <c r="C181" s="105"/>
      <c r="E181" s="111"/>
      <c r="F181" s="112"/>
      <c r="G181" s="113"/>
      <c r="I181" s="108"/>
    </row>
    <row r="182" spans="1:9" x14ac:dyDescent="0.2">
      <c r="A182" s="104"/>
      <c r="B182" s="104"/>
      <c r="C182" s="105"/>
      <c r="D182" s="116"/>
      <c r="E182" s="127"/>
      <c r="F182" s="115" t="s">
        <v>241</v>
      </c>
      <c r="G182" s="116"/>
      <c r="I182" s="108"/>
    </row>
    <row r="183" spans="1:9" x14ac:dyDescent="0.2">
      <c r="A183" s="104"/>
      <c r="B183" s="104"/>
      <c r="C183" s="105"/>
      <c r="D183" s="116"/>
      <c r="E183" s="118" t="str">
        <f>IF(F183=0,"*","")</f>
        <v>*</v>
      </c>
      <c r="F183" s="143">
        <f>IF(OR(PovrsinaParcele=0,Zauzetost=0),0,Zauzetost/(PovrsinaParcele/100))</f>
        <v>0</v>
      </c>
      <c r="G183" s="120"/>
      <c r="I183" s="108"/>
    </row>
    <row r="184" spans="1:9" x14ac:dyDescent="0.2">
      <c r="A184" s="104"/>
      <c r="B184" s="104"/>
      <c r="C184" s="105"/>
      <c r="D184" s="116"/>
      <c r="E184" s="127"/>
      <c r="F184" s="130" t="s">
        <v>242</v>
      </c>
      <c r="G184" s="116"/>
      <c r="I184" s="108"/>
    </row>
    <row r="185" spans="1:9" x14ac:dyDescent="0.2">
      <c r="A185" s="104"/>
      <c r="B185" s="104"/>
      <c r="C185" s="105"/>
      <c r="D185" s="116"/>
      <c r="E185" s="127"/>
      <c r="F185" s="128"/>
      <c r="G185" s="116"/>
      <c r="I185" s="108"/>
    </row>
    <row r="186" spans="1:9" x14ac:dyDescent="0.2">
      <c r="A186" s="104"/>
      <c r="B186" s="104"/>
      <c r="C186" s="105"/>
      <c r="D186" s="116"/>
      <c r="E186" s="127"/>
      <c r="F186" s="115" t="s">
        <v>81</v>
      </c>
      <c r="G186" s="116"/>
      <c r="I186" s="108"/>
    </row>
    <row r="187" spans="1:9" x14ac:dyDescent="0.2">
      <c r="A187" s="104"/>
      <c r="B187" s="104"/>
      <c r="C187" s="105"/>
      <c r="D187" s="116"/>
      <c r="E187" s="118" t="str">
        <f>IF(F187=0,"*","")</f>
        <v>*</v>
      </c>
      <c r="F187" s="143">
        <f>IF(ProcenatZelenihPovrsina=0,0,ProcenatZelenihPovrsina/100)</f>
        <v>0</v>
      </c>
      <c r="G187" s="120"/>
      <c r="I187" s="108"/>
    </row>
    <row r="188" spans="1:9" x14ac:dyDescent="0.2">
      <c r="A188" s="104"/>
      <c r="B188" s="104"/>
      <c r="C188" s="105"/>
      <c r="D188" s="116"/>
      <c r="E188" s="127"/>
      <c r="F188" s="130" t="s">
        <v>242</v>
      </c>
      <c r="G188" s="116"/>
      <c r="I188" s="108"/>
    </row>
    <row r="189" spans="1:9" x14ac:dyDescent="0.2">
      <c r="A189" s="104"/>
      <c r="B189" s="104"/>
      <c r="C189" s="105"/>
      <c r="D189" s="116"/>
      <c r="E189" s="127"/>
      <c r="F189" s="128"/>
      <c r="G189" s="116"/>
      <c r="I189" s="108"/>
    </row>
    <row r="190" spans="1:9" ht="15" customHeight="1" x14ac:dyDescent="0.2">
      <c r="A190" s="105"/>
      <c r="B190" s="105"/>
      <c r="C190" s="105"/>
      <c r="D190" s="116"/>
      <c r="E190" s="127"/>
      <c r="F190" s="115" t="s">
        <v>82</v>
      </c>
      <c r="G190" s="116"/>
      <c r="I190" s="108"/>
    </row>
    <row r="191" spans="1:9" ht="15" customHeight="1" x14ac:dyDescent="0.2">
      <c r="A191" s="104"/>
      <c r="B191" s="104"/>
      <c r="C191" s="150"/>
      <c r="D191" s="116"/>
      <c r="E191" s="118" t="str">
        <f>IF(F191=0,"*","")</f>
        <v>*</v>
      </c>
      <c r="F191" s="143">
        <f>IF(OR(PovrsinaParcele=0,UkupnaBrutoNadzemno=0),0,(UkupnaBrutoNadzemno/(PovrsinaParcele/100))/100)</f>
        <v>0</v>
      </c>
      <c r="G191" s="120"/>
      <c r="I191" s="108"/>
    </row>
    <row r="192" spans="1:9" x14ac:dyDescent="0.2">
      <c r="A192" s="104"/>
      <c r="B192" s="104"/>
      <c r="C192" s="150"/>
      <c r="D192" s="116"/>
      <c r="E192" s="127"/>
      <c r="F192" s="130" t="s">
        <v>242</v>
      </c>
      <c r="G192" s="116"/>
      <c r="I192" s="108"/>
    </row>
    <row r="193" spans="1:9" x14ac:dyDescent="0.2">
      <c r="A193" s="104"/>
      <c r="B193" s="104"/>
      <c r="C193" s="150"/>
      <c r="D193" s="116"/>
      <c r="E193" s="127"/>
      <c r="F193" s="128"/>
      <c r="G193" s="116"/>
      <c r="I193" s="108"/>
    </row>
    <row r="194" spans="1:9" x14ac:dyDescent="0.2">
      <c r="A194" s="104"/>
      <c r="B194" s="104"/>
      <c r="C194" s="150"/>
      <c r="D194" s="116"/>
      <c r="E194" s="127"/>
      <c r="F194" s="115" t="s">
        <v>243</v>
      </c>
      <c r="G194" s="116"/>
      <c r="I194" s="145"/>
    </row>
    <row r="195" spans="1:9" x14ac:dyDescent="0.2">
      <c r="A195" s="104"/>
      <c r="B195" s="104"/>
      <c r="C195" s="150"/>
      <c r="D195" s="116"/>
      <c r="E195" s="118" t="str">
        <f>IF(F195=0,"*","")</f>
        <v/>
      </c>
      <c r="F195" s="144">
        <v>20000</v>
      </c>
      <c r="G195" s="120"/>
      <c r="I195" s="145"/>
    </row>
    <row r="196" spans="1:9" x14ac:dyDescent="0.2">
      <c r="A196" s="104"/>
      <c r="B196" s="104"/>
      <c r="C196" s="150"/>
      <c r="E196" s="114"/>
      <c r="F196" s="130" t="s">
        <v>244</v>
      </c>
      <c r="G196" s="116"/>
      <c r="I196" s="145"/>
    </row>
    <row r="197" spans="1:9" ht="15.75" thickBot="1" x14ac:dyDescent="0.25">
      <c r="A197" s="104"/>
      <c r="B197" s="104"/>
      <c r="C197" s="150"/>
      <c r="E197" s="131"/>
      <c r="F197" s="132"/>
      <c r="G197" s="133"/>
      <c r="I197" s="145"/>
    </row>
    <row r="198" spans="1:9" x14ac:dyDescent="0.2">
      <c r="A198" s="104"/>
      <c r="B198" s="104"/>
      <c r="C198" s="150"/>
      <c r="F198" s="110"/>
      <c r="I198" s="145"/>
    </row>
    <row r="199" spans="1:9" s="158" customFormat="1" ht="15.75" thickBot="1" x14ac:dyDescent="0.25">
      <c r="A199" s="104"/>
      <c r="B199" s="104"/>
      <c r="C199" s="150"/>
      <c r="D199" s="106"/>
      <c r="E199" s="109" t="s">
        <v>246</v>
      </c>
      <c r="G199" s="106"/>
      <c r="H199" s="106"/>
      <c r="I199" s="159"/>
    </row>
    <row r="200" spans="1:9" s="158" customFormat="1" x14ac:dyDescent="0.2">
      <c r="A200" s="104"/>
      <c r="B200" s="104"/>
      <c r="C200" s="150"/>
      <c r="D200" s="117"/>
      <c r="E200" s="138"/>
      <c r="F200" s="160"/>
      <c r="G200" s="164"/>
      <c r="H200" s="106"/>
      <c r="I200" s="159"/>
    </row>
    <row r="201" spans="1:9" s="158" customFormat="1" x14ac:dyDescent="0.2">
      <c r="A201" s="104"/>
      <c r="B201" s="104"/>
      <c r="C201" s="150"/>
      <c r="D201" s="117"/>
      <c r="E201" s="127"/>
      <c r="F201" s="165" t="s">
        <v>278</v>
      </c>
      <c r="G201" s="186"/>
      <c r="H201" s="106"/>
      <c r="I201" s="159"/>
    </row>
    <row r="202" spans="1:9" s="158" customFormat="1" x14ac:dyDescent="0.2">
      <c r="A202" s="104"/>
      <c r="B202" s="104"/>
      <c r="C202" s="150"/>
      <c r="D202" s="117"/>
      <c r="E202" s="127"/>
      <c r="F202" s="166"/>
      <c r="G202" s="186"/>
      <c r="H202" s="106"/>
      <c r="I202" s="159"/>
    </row>
    <row r="203" spans="1:9" s="158" customFormat="1" x14ac:dyDescent="0.2">
      <c r="A203" s="104"/>
      <c r="B203" s="104"/>
      <c r="C203" s="150"/>
      <c r="D203" s="117"/>
      <c r="F203" s="161" t="s">
        <v>265</v>
      </c>
      <c r="G203" s="186"/>
      <c r="H203" s="106"/>
      <c r="I203" s="159"/>
    </row>
    <row r="204" spans="1:9" s="158" customFormat="1" x14ac:dyDescent="0.2">
      <c r="A204" s="104"/>
      <c r="B204" s="104"/>
      <c r="C204" s="150"/>
      <c r="D204" s="117"/>
      <c r="E204" s="162" t="str">
        <f>IF(EtazaPo=0,"",IF(UkupnaBrutoPovrsinaPo=0,"*",""))</f>
        <v/>
      </c>
      <c r="F204" s="167"/>
      <c r="G204" s="186"/>
      <c r="H204" s="106"/>
      <c r="I204" s="159"/>
    </row>
    <row r="205" spans="1:9" s="158" customFormat="1" x14ac:dyDescent="0.2">
      <c r="A205" s="104"/>
      <c r="B205" s="104"/>
      <c r="C205" s="150"/>
      <c r="D205" s="117"/>
      <c r="E205" s="127"/>
      <c r="F205" s="163" t="s">
        <v>266</v>
      </c>
      <c r="G205" s="186"/>
      <c r="H205" s="106"/>
      <c r="I205" s="159"/>
    </row>
    <row r="206" spans="1:9" s="158" customFormat="1" x14ac:dyDescent="0.2">
      <c r="A206" s="104"/>
      <c r="B206" s="104"/>
      <c r="C206" s="150"/>
      <c r="D206" s="117"/>
      <c r="E206" s="168"/>
      <c r="F206" s="166"/>
      <c r="G206" s="186"/>
      <c r="H206" s="106"/>
      <c r="I206" s="159"/>
    </row>
    <row r="207" spans="1:9" s="158" customFormat="1" x14ac:dyDescent="0.2">
      <c r="A207" s="104"/>
      <c r="B207" s="104"/>
      <c r="C207" s="150"/>
      <c r="D207" s="117"/>
      <c r="F207" s="161" t="s">
        <v>267</v>
      </c>
      <c r="G207" s="186"/>
      <c r="H207" s="106"/>
      <c r="I207" s="159"/>
    </row>
    <row r="208" spans="1:9" s="158" customFormat="1" x14ac:dyDescent="0.2">
      <c r="A208" s="104"/>
      <c r="B208" s="104"/>
      <c r="C208" s="150"/>
      <c r="D208" s="117"/>
      <c r="E208" s="162" t="str">
        <f>IF(EtazaSu=0,"",IF(UkupnaBrutoPovrsinaSu=0,"*",""))</f>
        <v/>
      </c>
      <c r="F208" s="167"/>
      <c r="G208" s="186"/>
      <c r="H208" s="106"/>
      <c r="I208" s="159"/>
    </row>
    <row r="209" spans="1:9" s="158" customFormat="1" x14ac:dyDescent="0.2">
      <c r="A209" s="104"/>
      <c r="B209" s="104"/>
      <c r="C209" s="150"/>
      <c r="D209" s="117"/>
      <c r="E209" s="127"/>
      <c r="F209" s="163" t="s">
        <v>266</v>
      </c>
      <c r="G209" s="186"/>
      <c r="H209" s="106"/>
      <c r="I209" s="159"/>
    </row>
    <row r="210" spans="1:9" s="158" customFormat="1" x14ac:dyDescent="0.2">
      <c r="A210" s="104"/>
      <c r="B210" s="104"/>
      <c r="C210" s="150"/>
      <c r="D210" s="117"/>
      <c r="E210" s="106"/>
      <c r="G210" s="186"/>
      <c r="H210" s="106"/>
      <c r="I210" s="159"/>
    </row>
    <row r="211" spans="1:9" s="158" customFormat="1" x14ac:dyDescent="0.2">
      <c r="A211" s="104"/>
      <c r="B211" s="104"/>
      <c r="C211" s="150"/>
      <c r="D211" s="117"/>
      <c r="E211" s="127"/>
      <c r="F211" s="161" t="s">
        <v>268</v>
      </c>
      <c r="G211" s="186"/>
      <c r="H211" s="106"/>
      <c r="I211" s="159"/>
    </row>
    <row r="212" spans="1:9" s="158" customFormat="1" x14ac:dyDescent="0.2">
      <c r="A212" s="104"/>
      <c r="B212" s="104"/>
      <c r="C212" s="150"/>
      <c r="D212" s="117"/>
      <c r="E212" s="162" t="str">
        <f>IF(EtazaPr=0,"",IF(UkupnaBrutoPovrsinaPr=0,"*",""))</f>
        <v/>
      </c>
      <c r="F212" s="167"/>
      <c r="G212" s="186"/>
      <c r="H212" s="106"/>
      <c r="I212" s="159"/>
    </row>
    <row r="213" spans="1:9" s="158" customFormat="1" x14ac:dyDescent="0.2">
      <c r="A213" s="104"/>
      <c r="B213" s="104"/>
      <c r="C213" s="150"/>
      <c r="D213" s="117"/>
      <c r="E213" s="127"/>
      <c r="F213" s="163" t="s">
        <v>266</v>
      </c>
      <c r="G213" s="186"/>
      <c r="H213" s="106"/>
      <c r="I213" s="159"/>
    </row>
    <row r="214" spans="1:9" s="158" customFormat="1" x14ac:dyDescent="0.2">
      <c r="A214" s="104"/>
      <c r="B214" s="104"/>
      <c r="C214" s="150"/>
      <c r="D214" s="117"/>
      <c r="E214" s="106"/>
      <c r="G214" s="186"/>
      <c r="H214" s="106"/>
      <c r="I214" s="159"/>
    </row>
    <row r="215" spans="1:9" s="158" customFormat="1" x14ac:dyDescent="0.2">
      <c r="A215" s="104"/>
      <c r="B215" s="104"/>
      <c r="C215" s="150"/>
      <c r="D215" s="117"/>
      <c r="E215" s="127"/>
      <c r="F215" s="161" t="s">
        <v>269</v>
      </c>
      <c r="G215" s="186"/>
      <c r="H215" s="106"/>
      <c r="I215" s="159"/>
    </row>
    <row r="216" spans="1:9" s="158" customFormat="1" x14ac:dyDescent="0.2">
      <c r="A216" s="104"/>
      <c r="B216" s="104"/>
      <c r="C216" s="150"/>
      <c r="D216" s="117"/>
      <c r="E216" s="162" t="str">
        <f>IF(EtazaS1=0,"",IF(UkupnaBrutoPovrsinaS1=0,"*",""))</f>
        <v/>
      </c>
      <c r="F216" s="167"/>
      <c r="G216" s="186"/>
      <c r="H216" s="106"/>
      <c r="I216" s="159"/>
    </row>
    <row r="217" spans="1:9" s="158" customFormat="1" x14ac:dyDescent="0.2">
      <c r="A217" s="104"/>
      <c r="B217" s="104"/>
      <c r="C217" s="150"/>
      <c r="D217" s="117"/>
      <c r="E217" s="127"/>
      <c r="F217" s="163" t="s">
        <v>266</v>
      </c>
      <c r="G217" s="186"/>
      <c r="H217" s="106"/>
      <c r="I217" s="159"/>
    </row>
    <row r="218" spans="1:9" s="158" customFormat="1" x14ac:dyDescent="0.2">
      <c r="A218" s="104"/>
      <c r="B218" s="104"/>
      <c r="C218" s="150"/>
      <c r="D218" s="117"/>
      <c r="E218" s="106"/>
      <c r="G218" s="186"/>
      <c r="H218" s="106"/>
      <c r="I218" s="159"/>
    </row>
    <row r="219" spans="1:9" s="158" customFormat="1" x14ac:dyDescent="0.2">
      <c r="A219" s="104"/>
      <c r="B219" s="104"/>
      <c r="C219" s="150"/>
      <c r="D219" s="117"/>
      <c r="E219" s="127"/>
      <c r="F219" s="161" t="s">
        <v>270</v>
      </c>
      <c r="G219" s="186"/>
      <c r="H219" s="106"/>
      <c r="I219" s="159"/>
    </row>
    <row r="220" spans="1:9" s="158" customFormat="1" x14ac:dyDescent="0.2">
      <c r="A220" s="104"/>
      <c r="B220" s="104"/>
      <c r="C220" s="150"/>
      <c r="D220" s="117"/>
      <c r="E220" s="162" t="str">
        <f>IF(EtazaS2=0,"",IF(UkupnaBrutoPovrsinaS2=0,"*",""))</f>
        <v/>
      </c>
      <c r="F220" s="167"/>
      <c r="G220" s="186"/>
      <c r="H220" s="106"/>
      <c r="I220" s="159"/>
    </row>
    <row r="221" spans="1:9" s="158" customFormat="1" x14ac:dyDescent="0.2">
      <c r="A221" s="104"/>
      <c r="B221" s="104"/>
      <c r="C221" s="150"/>
      <c r="D221" s="117"/>
      <c r="E221" s="127"/>
      <c r="F221" s="163" t="s">
        <v>266</v>
      </c>
      <c r="G221" s="186"/>
      <c r="H221" s="106"/>
      <c r="I221" s="159"/>
    </row>
    <row r="222" spans="1:9" s="158" customFormat="1" x14ac:dyDescent="0.2">
      <c r="A222" s="104"/>
      <c r="B222" s="104"/>
      <c r="C222" s="150"/>
      <c r="D222" s="117"/>
      <c r="E222" s="106"/>
      <c r="G222" s="186"/>
      <c r="H222" s="106"/>
      <c r="I222" s="159"/>
    </row>
    <row r="223" spans="1:9" s="158" customFormat="1" x14ac:dyDescent="0.2">
      <c r="A223" s="104"/>
      <c r="B223" s="104"/>
      <c r="C223" s="150"/>
      <c r="D223" s="117"/>
      <c r="E223" s="127"/>
      <c r="F223" s="161" t="s">
        <v>271</v>
      </c>
      <c r="G223" s="186"/>
      <c r="H223" s="106"/>
      <c r="I223" s="159"/>
    </row>
    <row r="224" spans="1:9" s="158" customFormat="1" x14ac:dyDescent="0.2">
      <c r="A224" s="104"/>
      <c r="B224" s="104"/>
      <c r="C224" s="150"/>
      <c r="D224" s="117"/>
      <c r="E224" s="162" t="str">
        <f>IF(EtazaS3=0,"",IF(UkupnaBrutoPovrsinaS3=0,"*",""))</f>
        <v/>
      </c>
      <c r="F224" s="167"/>
      <c r="G224" s="186"/>
      <c r="H224" s="106"/>
      <c r="I224" s="159"/>
    </row>
    <row r="225" spans="1:9" s="158" customFormat="1" x14ac:dyDescent="0.2">
      <c r="A225" s="104"/>
      <c r="B225" s="104"/>
      <c r="C225" s="150"/>
      <c r="D225" s="117"/>
      <c r="E225" s="127"/>
      <c r="F225" s="163" t="s">
        <v>266</v>
      </c>
      <c r="G225" s="186"/>
      <c r="H225" s="106"/>
      <c r="I225" s="159"/>
    </row>
    <row r="226" spans="1:9" s="158" customFormat="1" x14ac:dyDescent="0.2">
      <c r="A226" s="104"/>
      <c r="B226" s="104"/>
      <c r="C226" s="150"/>
      <c r="D226" s="117"/>
      <c r="E226" s="106"/>
      <c r="G226" s="186"/>
      <c r="H226" s="106"/>
      <c r="I226" s="159"/>
    </row>
    <row r="227" spans="1:9" s="158" customFormat="1" x14ac:dyDescent="0.2">
      <c r="A227" s="104"/>
      <c r="B227" s="104"/>
      <c r="C227" s="150"/>
      <c r="D227" s="117"/>
      <c r="E227" s="127"/>
      <c r="F227" s="161" t="s">
        <v>272</v>
      </c>
      <c r="G227" s="186"/>
      <c r="H227" s="106"/>
      <c r="I227" s="159"/>
    </row>
    <row r="228" spans="1:9" s="158" customFormat="1" x14ac:dyDescent="0.2">
      <c r="A228" s="104"/>
      <c r="B228" s="104"/>
      <c r="C228" s="150"/>
      <c r="D228" s="117"/>
      <c r="E228" s="162" t="str">
        <f>IF(EtazaS4=0,"",IF(UkupnaBrutoPovrsinaS4=0,"*",""))</f>
        <v/>
      </c>
      <c r="F228" s="167"/>
      <c r="G228" s="186"/>
      <c r="H228" s="106"/>
      <c r="I228" s="159"/>
    </row>
    <row r="229" spans="1:9" s="158" customFormat="1" x14ac:dyDescent="0.2">
      <c r="A229" s="104"/>
      <c r="B229" s="104"/>
      <c r="C229" s="150"/>
      <c r="D229" s="117"/>
      <c r="E229" s="127"/>
      <c r="F229" s="163" t="s">
        <v>266</v>
      </c>
      <c r="G229" s="186"/>
      <c r="H229" s="106"/>
      <c r="I229" s="159"/>
    </row>
    <row r="230" spans="1:9" s="158" customFormat="1" x14ac:dyDescent="0.2">
      <c r="A230" s="104"/>
      <c r="B230" s="104"/>
      <c r="C230" s="150"/>
      <c r="D230" s="117"/>
      <c r="E230" s="127"/>
      <c r="F230" s="163"/>
      <c r="G230" s="186"/>
      <c r="H230" s="106"/>
      <c r="I230" s="159"/>
    </row>
    <row r="231" spans="1:9" s="158" customFormat="1" x14ac:dyDescent="0.2">
      <c r="A231" s="104"/>
      <c r="B231" s="104"/>
      <c r="C231" s="150"/>
      <c r="D231" s="117"/>
      <c r="E231" s="127"/>
      <c r="F231" s="161" t="s">
        <v>273</v>
      </c>
      <c r="G231" s="186"/>
      <c r="H231" s="106"/>
      <c r="I231" s="159"/>
    </row>
    <row r="232" spans="1:9" s="158" customFormat="1" x14ac:dyDescent="0.2">
      <c r="A232" s="104"/>
      <c r="B232" s="104"/>
      <c r="C232" s="150"/>
      <c r="D232" s="117"/>
      <c r="E232" s="162" t="str">
        <f>IF(EtazaS5=0,"",IF(UkupnaBrutoPovrsinaS1=0,"*",""))</f>
        <v/>
      </c>
      <c r="F232" s="167"/>
      <c r="G232" s="186"/>
      <c r="H232" s="106"/>
      <c r="I232" s="159"/>
    </row>
    <row r="233" spans="1:9" s="158" customFormat="1" x14ac:dyDescent="0.2">
      <c r="A233" s="104"/>
      <c r="B233" s="104"/>
      <c r="C233" s="150"/>
      <c r="D233" s="117"/>
      <c r="E233" s="127"/>
      <c r="F233" s="163" t="s">
        <v>266</v>
      </c>
      <c r="G233" s="186"/>
      <c r="H233" s="106"/>
      <c r="I233" s="159"/>
    </row>
    <row r="234" spans="1:9" s="158" customFormat="1" x14ac:dyDescent="0.2">
      <c r="A234" s="104"/>
      <c r="B234" s="104"/>
      <c r="C234" s="150"/>
      <c r="D234" s="117"/>
      <c r="E234" s="127"/>
      <c r="F234" s="163"/>
      <c r="G234" s="186"/>
      <c r="H234" s="106"/>
      <c r="I234" s="159"/>
    </row>
    <row r="235" spans="1:9" s="158" customFormat="1" x14ac:dyDescent="0.2">
      <c r="A235" s="104"/>
      <c r="B235" s="104"/>
      <c r="C235" s="150"/>
      <c r="D235" s="117"/>
      <c r="E235" s="127"/>
      <c r="F235" s="161" t="s">
        <v>274</v>
      </c>
      <c r="G235" s="186"/>
      <c r="H235" s="106"/>
      <c r="I235" s="159"/>
    </row>
    <row r="236" spans="1:9" s="158" customFormat="1" x14ac:dyDescent="0.2">
      <c r="A236" s="104"/>
      <c r="B236" s="104"/>
      <c r="C236" s="150"/>
      <c r="D236" s="117"/>
      <c r="E236" s="162" t="str">
        <f>IF(EtazaPk=0,"",IF(UkupnaBrutoPovrsinaPk=0,"*",""))</f>
        <v/>
      </c>
      <c r="F236" s="167"/>
      <c r="G236" s="186"/>
      <c r="H236" s="106"/>
      <c r="I236" s="159"/>
    </row>
    <row r="237" spans="1:9" s="158" customFormat="1" x14ac:dyDescent="0.2">
      <c r="A237" s="104"/>
      <c r="B237" s="104"/>
      <c r="C237" s="150"/>
      <c r="D237" s="117"/>
      <c r="E237" s="127"/>
      <c r="F237" s="163" t="s">
        <v>266</v>
      </c>
      <c r="G237" s="186"/>
      <c r="H237" s="106"/>
      <c r="I237" s="159"/>
    </row>
    <row r="238" spans="1:9" s="158" customFormat="1" ht="15.75" thickBot="1" x14ac:dyDescent="0.25">
      <c r="A238" s="104"/>
      <c r="B238" s="104"/>
      <c r="C238" s="150"/>
      <c r="D238" s="117"/>
      <c r="E238" s="127"/>
      <c r="F238" s="163"/>
      <c r="G238" s="186"/>
      <c r="H238" s="106"/>
      <c r="I238" s="159"/>
    </row>
    <row r="239" spans="1:9" s="158" customFormat="1" x14ac:dyDescent="0.2">
      <c r="A239" s="104"/>
      <c r="B239" s="104"/>
      <c r="C239" s="150"/>
      <c r="D239" s="117"/>
      <c r="E239" s="138"/>
      <c r="F239" s="160"/>
      <c r="G239" s="186"/>
      <c r="H239" s="106"/>
      <c r="I239" s="159"/>
    </row>
    <row r="240" spans="1:9" s="158" customFormat="1" x14ac:dyDescent="0.2">
      <c r="A240" s="104"/>
      <c r="B240" s="104"/>
      <c r="C240" s="150"/>
      <c r="D240" s="117"/>
      <c r="E240" s="127"/>
      <c r="F240" s="165" t="s">
        <v>279</v>
      </c>
      <c r="G240" s="186"/>
      <c r="H240" s="106"/>
      <c r="I240" s="159"/>
    </row>
    <row r="241" spans="1:9" s="158" customFormat="1" x14ac:dyDescent="0.2">
      <c r="A241" s="104"/>
      <c r="B241" s="104"/>
      <c r="C241" s="150"/>
      <c r="D241" s="117"/>
      <c r="E241" s="127"/>
      <c r="F241" s="166"/>
      <c r="G241" s="186"/>
      <c r="H241" s="106"/>
      <c r="I241" s="159"/>
    </row>
    <row r="242" spans="1:9" s="158" customFormat="1" x14ac:dyDescent="0.2">
      <c r="A242" s="104"/>
      <c r="B242" s="104"/>
      <c r="C242" s="150"/>
      <c r="D242" s="117"/>
      <c r="F242" s="161" t="s">
        <v>265</v>
      </c>
      <c r="G242" s="186"/>
      <c r="H242" s="106"/>
      <c r="I242" s="159"/>
    </row>
    <row r="243" spans="1:9" s="158" customFormat="1" x14ac:dyDescent="0.2">
      <c r="A243" s="104"/>
      <c r="B243" s="104"/>
      <c r="C243" s="150"/>
      <c r="D243" s="117"/>
      <c r="E243" s="162" t="str">
        <f>IF(EtazaPo=0,"",IF(SpratnaVisninaPo=0,"*",""))</f>
        <v/>
      </c>
      <c r="F243" s="167"/>
      <c r="G243" s="186"/>
      <c r="H243" s="106"/>
      <c r="I243" s="159"/>
    </row>
    <row r="244" spans="1:9" s="158" customFormat="1" x14ac:dyDescent="0.2">
      <c r="A244" s="104"/>
      <c r="B244" s="104"/>
      <c r="C244" s="150"/>
      <c r="D244" s="117"/>
      <c r="E244" s="127"/>
      <c r="F244" s="163" t="s">
        <v>266</v>
      </c>
      <c r="G244" s="186"/>
      <c r="H244" s="106"/>
      <c r="I244" s="159"/>
    </row>
    <row r="245" spans="1:9" s="158" customFormat="1" x14ac:dyDescent="0.2">
      <c r="A245" s="104"/>
      <c r="B245" s="104"/>
      <c r="C245" s="150"/>
      <c r="D245" s="117"/>
      <c r="E245" s="168"/>
      <c r="F245" s="166"/>
      <c r="G245" s="186"/>
      <c r="H245" s="106"/>
      <c r="I245" s="159"/>
    </row>
    <row r="246" spans="1:9" s="158" customFormat="1" x14ac:dyDescent="0.2">
      <c r="A246" s="104"/>
      <c r="B246" s="104"/>
      <c r="C246" s="150"/>
      <c r="D246" s="117"/>
      <c r="F246" s="161" t="s">
        <v>267</v>
      </c>
      <c r="G246" s="186"/>
      <c r="H246" s="106"/>
      <c r="I246" s="159"/>
    </row>
    <row r="247" spans="1:9" s="158" customFormat="1" x14ac:dyDescent="0.2">
      <c r="A247" s="104"/>
      <c r="B247" s="104"/>
      <c r="C247" s="150"/>
      <c r="D247" s="117"/>
      <c r="E247" s="162" t="str">
        <f>IF(EtazaSu=0,"",IF(SpratnaVisninaSu=0,"*",""))</f>
        <v/>
      </c>
      <c r="F247" s="167"/>
      <c r="G247" s="186"/>
      <c r="H247" s="106"/>
      <c r="I247" s="159"/>
    </row>
    <row r="248" spans="1:9" s="158" customFormat="1" x14ac:dyDescent="0.2">
      <c r="A248" s="104"/>
      <c r="B248" s="104"/>
      <c r="C248" s="150"/>
      <c r="D248" s="117"/>
      <c r="E248" s="127"/>
      <c r="F248" s="163" t="s">
        <v>266</v>
      </c>
      <c r="G248" s="186"/>
      <c r="H248" s="106"/>
      <c r="I248" s="159"/>
    </row>
    <row r="249" spans="1:9" s="158" customFormat="1" x14ac:dyDescent="0.2">
      <c r="A249" s="104"/>
      <c r="B249" s="104"/>
      <c r="C249" s="150"/>
      <c r="D249" s="117"/>
      <c r="E249" s="106"/>
      <c r="G249" s="186"/>
      <c r="H249" s="106"/>
      <c r="I249" s="159"/>
    </row>
    <row r="250" spans="1:9" s="158" customFormat="1" x14ac:dyDescent="0.2">
      <c r="A250" s="104"/>
      <c r="B250" s="104"/>
      <c r="C250" s="150"/>
      <c r="D250" s="117"/>
      <c r="E250" s="127"/>
      <c r="F250" s="161" t="s">
        <v>268</v>
      </c>
      <c r="G250" s="186"/>
      <c r="H250" s="106"/>
      <c r="I250" s="159"/>
    </row>
    <row r="251" spans="1:9" s="158" customFormat="1" x14ac:dyDescent="0.2">
      <c r="A251" s="104"/>
      <c r="B251" s="104"/>
      <c r="C251" s="150"/>
      <c r="D251" s="117"/>
      <c r="E251" s="162" t="str">
        <f>IF(EtazaPr=0,"",IF(SpratnaVisninaPr=0,"*",""))</f>
        <v/>
      </c>
      <c r="F251" s="167"/>
      <c r="G251" s="186"/>
      <c r="H251" s="106"/>
      <c r="I251" s="159"/>
    </row>
    <row r="252" spans="1:9" s="158" customFormat="1" x14ac:dyDescent="0.2">
      <c r="A252" s="104"/>
      <c r="B252" s="104"/>
      <c r="C252" s="150"/>
      <c r="D252" s="117"/>
      <c r="E252" s="127"/>
      <c r="F252" s="163" t="s">
        <v>266</v>
      </c>
      <c r="G252" s="186"/>
      <c r="H252" s="106"/>
      <c r="I252" s="159"/>
    </row>
    <row r="253" spans="1:9" s="158" customFormat="1" x14ac:dyDescent="0.2">
      <c r="A253" s="104"/>
      <c r="B253" s="104"/>
      <c r="C253" s="150"/>
      <c r="D253" s="117"/>
      <c r="E253" s="106"/>
      <c r="G253" s="186"/>
      <c r="H253" s="106"/>
      <c r="I253" s="159"/>
    </row>
    <row r="254" spans="1:9" s="158" customFormat="1" x14ac:dyDescent="0.2">
      <c r="A254" s="104"/>
      <c r="B254" s="104"/>
      <c r="C254" s="150"/>
      <c r="D254" s="117"/>
      <c r="E254" s="127"/>
      <c r="F254" s="161" t="s">
        <v>269</v>
      </c>
      <c r="G254" s="186"/>
      <c r="H254" s="106"/>
      <c r="I254" s="159"/>
    </row>
    <row r="255" spans="1:9" s="158" customFormat="1" x14ac:dyDescent="0.2">
      <c r="A255" s="104"/>
      <c r="B255" s="104"/>
      <c r="C255" s="150"/>
      <c r="D255" s="117"/>
      <c r="E255" s="162" t="str">
        <f>IF(EtazaS1=0,"",IF(SpratnaVisninaS1=0,"*",""))</f>
        <v/>
      </c>
      <c r="F255" s="167"/>
      <c r="G255" s="186"/>
      <c r="H255" s="106"/>
      <c r="I255" s="159"/>
    </row>
    <row r="256" spans="1:9" s="158" customFormat="1" x14ac:dyDescent="0.2">
      <c r="A256" s="104"/>
      <c r="B256" s="104"/>
      <c r="C256" s="150"/>
      <c r="D256" s="117"/>
      <c r="E256" s="127"/>
      <c r="F256" s="163" t="s">
        <v>266</v>
      </c>
      <c r="G256" s="186"/>
      <c r="H256" s="106"/>
      <c r="I256" s="159"/>
    </row>
    <row r="257" spans="1:9" s="158" customFormat="1" x14ac:dyDescent="0.2">
      <c r="A257" s="104"/>
      <c r="B257" s="104"/>
      <c r="C257" s="150"/>
      <c r="D257" s="117"/>
      <c r="E257" s="106"/>
      <c r="G257" s="186"/>
      <c r="H257" s="106"/>
      <c r="I257" s="159"/>
    </row>
    <row r="258" spans="1:9" s="158" customFormat="1" x14ac:dyDescent="0.2">
      <c r="A258" s="104"/>
      <c r="B258" s="104"/>
      <c r="C258" s="150"/>
      <c r="D258" s="117"/>
      <c r="E258" s="127"/>
      <c r="F258" s="161" t="s">
        <v>270</v>
      </c>
      <c r="G258" s="186"/>
      <c r="H258" s="106"/>
      <c r="I258" s="159"/>
    </row>
    <row r="259" spans="1:9" s="158" customFormat="1" x14ac:dyDescent="0.2">
      <c r="A259" s="104"/>
      <c r="B259" s="104"/>
      <c r="C259" s="150"/>
      <c r="D259" s="117"/>
      <c r="E259" s="162" t="str">
        <f>IF(EtazaS2=0,"",IF(SpratnaVisninaS2=0,"*",""))</f>
        <v/>
      </c>
      <c r="F259" s="167"/>
      <c r="G259" s="186"/>
      <c r="H259" s="106"/>
      <c r="I259" s="159"/>
    </row>
    <row r="260" spans="1:9" s="158" customFormat="1" x14ac:dyDescent="0.2">
      <c r="A260" s="104"/>
      <c r="B260" s="104"/>
      <c r="C260" s="150"/>
      <c r="D260" s="117"/>
      <c r="E260" s="127"/>
      <c r="F260" s="163" t="s">
        <v>266</v>
      </c>
      <c r="G260" s="186"/>
      <c r="H260" s="106"/>
      <c r="I260" s="159"/>
    </row>
    <row r="261" spans="1:9" s="158" customFormat="1" x14ac:dyDescent="0.2">
      <c r="A261" s="104"/>
      <c r="B261" s="104"/>
      <c r="C261" s="150"/>
      <c r="D261" s="117"/>
      <c r="E261" s="106"/>
      <c r="G261" s="186"/>
      <c r="H261" s="106"/>
      <c r="I261" s="159"/>
    </row>
    <row r="262" spans="1:9" s="158" customFormat="1" x14ac:dyDescent="0.2">
      <c r="A262" s="104"/>
      <c r="B262" s="104"/>
      <c r="C262" s="150"/>
      <c r="D262" s="117"/>
      <c r="E262" s="127"/>
      <c r="F262" s="161" t="s">
        <v>271</v>
      </c>
      <c r="G262" s="186"/>
      <c r="H262" s="106"/>
      <c r="I262" s="159"/>
    </row>
    <row r="263" spans="1:9" s="158" customFormat="1" x14ac:dyDescent="0.2">
      <c r="A263" s="104"/>
      <c r="B263" s="104"/>
      <c r="C263" s="150"/>
      <c r="D263" s="117"/>
      <c r="E263" s="162" t="str">
        <f>IF(EtazaS3=0,"",IF(SpratnaVisninaS3=0,"*",""))</f>
        <v/>
      </c>
      <c r="F263" s="167"/>
      <c r="G263" s="186"/>
      <c r="H263" s="106"/>
      <c r="I263" s="159"/>
    </row>
    <row r="264" spans="1:9" s="158" customFormat="1" x14ac:dyDescent="0.2">
      <c r="A264" s="104"/>
      <c r="B264" s="104"/>
      <c r="C264" s="150"/>
      <c r="D264" s="117"/>
      <c r="E264" s="127"/>
      <c r="F264" s="163" t="s">
        <v>266</v>
      </c>
      <c r="G264" s="186"/>
      <c r="H264" s="106"/>
      <c r="I264" s="159"/>
    </row>
    <row r="265" spans="1:9" s="158" customFormat="1" x14ac:dyDescent="0.2">
      <c r="A265" s="104"/>
      <c r="B265" s="104"/>
      <c r="C265" s="150"/>
      <c r="D265" s="117"/>
      <c r="E265" s="106"/>
      <c r="G265" s="186"/>
      <c r="H265" s="106"/>
      <c r="I265" s="159"/>
    </row>
    <row r="266" spans="1:9" s="158" customFormat="1" x14ac:dyDescent="0.2">
      <c r="A266" s="104"/>
      <c r="B266" s="104"/>
      <c r="C266" s="150"/>
      <c r="D266" s="117"/>
      <c r="E266" s="127"/>
      <c r="F266" s="161" t="s">
        <v>272</v>
      </c>
      <c r="G266" s="186"/>
      <c r="H266" s="106"/>
      <c r="I266" s="159"/>
    </row>
    <row r="267" spans="1:9" s="158" customFormat="1" x14ac:dyDescent="0.2">
      <c r="A267" s="104"/>
      <c r="B267" s="104"/>
      <c r="C267" s="150"/>
      <c r="D267" s="117"/>
      <c r="E267" s="162" t="str">
        <f>IF(EtazaS4=0,"",IF(SpratnaVisninaS4=0,"*",""))</f>
        <v/>
      </c>
      <c r="F267" s="167"/>
      <c r="G267" s="186"/>
      <c r="H267" s="106"/>
      <c r="I267" s="159"/>
    </row>
    <row r="268" spans="1:9" s="158" customFormat="1" x14ac:dyDescent="0.2">
      <c r="A268" s="104"/>
      <c r="B268" s="104"/>
      <c r="C268" s="150"/>
      <c r="D268" s="117"/>
      <c r="E268" s="127"/>
      <c r="F268" s="163" t="s">
        <v>266</v>
      </c>
      <c r="G268" s="186"/>
      <c r="H268" s="106"/>
      <c r="I268" s="159"/>
    </row>
    <row r="269" spans="1:9" s="158" customFormat="1" x14ac:dyDescent="0.2">
      <c r="A269" s="104"/>
      <c r="B269" s="104"/>
      <c r="C269" s="150"/>
      <c r="D269" s="117"/>
      <c r="E269" s="127"/>
      <c r="F269" s="163"/>
      <c r="G269" s="186"/>
      <c r="H269" s="106"/>
      <c r="I269" s="159"/>
    </row>
    <row r="270" spans="1:9" s="158" customFormat="1" x14ac:dyDescent="0.2">
      <c r="A270" s="104"/>
      <c r="B270" s="104"/>
      <c r="C270" s="150"/>
      <c r="D270" s="117"/>
      <c r="E270" s="127"/>
      <c r="F270" s="161" t="s">
        <v>273</v>
      </c>
      <c r="G270" s="186"/>
      <c r="H270" s="106"/>
      <c r="I270" s="159"/>
    </row>
    <row r="271" spans="1:9" s="158" customFormat="1" x14ac:dyDescent="0.2">
      <c r="A271" s="104"/>
      <c r="B271" s="104"/>
      <c r="C271" s="150"/>
      <c r="D271" s="117"/>
      <c r="E271" s="162" t="str">
        <f>IF(EtazaS5=0,"",IF(SpratnaVisninaS5=0,"*",""))</f>
        <v/>
      </c>
      <c r="F271" s="167"/>
      <c r="G271" s="186"/>
      <c r="H271" s="106"/>
      <c r="I271" s="159"/>
    </row>
    <row r="272" spans="1:9" s="158" customFormat="1" x14ac:dyDescent="0.2">
      <c r="A272" s="104"/>
      <c r="B272" s="104"/>
      <c r="C272" s="150"/>
      <c r="D272" s="117"/>
      <c r="E272" s="127"/>
      <c r="F272" s="163" t="s">
        <v>266</v>
      </c>
      <c r="G272" s="186"/>
      <c r="H272" s="106"/>
      <c r="I272" s="159"/>
    </row>
    <row r="273" spans="1:9" s="158" customFormat="1" x14ac:dyDescent="0.2">
      <c r="A273" s="104"/>
      <c r="B273" s="104"/>
      <c r="C273" s="150"/>
      <c r="D273" s="117"/>
      <c r="E273" s="168"/>
      <c r="F273" s="169"/>
      <c r="G273" s="186"/>
      <c r="H273" s="106"/>
      <c r="I273" s="159"/>
    </row>
    <row r="274" spans="1:9" s="158" customFormat="1" x14ac:dyDescent="0.2">
      <c r="A274" s="104"/>
      <c r="B274" s="104"/>
      <c r="C274" s="150"/>
      <c r="D274" s="117"/>
      <c r="E274" s="127"/>
      <c r="F274" s="161" t="s">
        <v>275</v>
      </c>
      <c r="G274" s="186"/>
      <c r="H274" s="106"/>
      <c r="I274" s="159"/>
    </row>
    <row r="275" spans="1:9" s="158" customFormat="1" x14ac:dyDescent="0.2">
      <c r="A275" s="104"/>
      <c r="B275" s="104"/>
      <c r="C275" s="150"/>
      <c r="D275" s="117"/>
      <c r="E275" s="162" t="str">
        <f>IF(EtazaPk=0,"",IF(SpratnaVisninaPk=0,"*",""))</f>
        <v/>
      </c>
      <c r="F275" s="167"/>
      <c r="G275" s="186"/>
      <c r="H275" s="106"/>
      <c r="I275" s="159"/>
    </row>
    <row r="276" spans="1:9" s="158" customFormat="1" x14ac:dyDescent="0.2">
      <c r="A276" s="104"/>
      <c r="B276" s="104"/>
      <c r="C276" s="150"/>
      <c r="D276" s="117"/>
      <c r="E276" s="127"/>
      <c r="F276" s="163" t="s">
        <v>266</v>
      </c>
      <c r="G276" s="186"/>
      <c r="H276" s="106"/>
      <c r="I276" s="159"/>
    </row>
    <row r="277" spans="1:9" s="158" customFormat="1" x14ac:dyDescent="0.2">
      <c r="A277" s="104"/>
      <c r="B277" s="104"/>
      <c r="C277" s="150"/>
      <c r="D277" s="117"/>
      <c r="E277" s="127"/>
      <c r="F277" s="163"/>
      <c r="G277" s="186"/>
      <c r="H277" s="106"/>
      <c r="I277" s="159"/>
    </row>
    <row r="278" spans="1:9" s="158" customFormat="1" x14ac:dyDescent="0.2">
      <c r="A278" s="104"/>
      <c r="B278" s="104"/>
      <c r="C278" s="150"/>
      <c r="D278" s="117"/>
      <c r="E278" s="127"/>
      <c r="F278" s="161" t="s">
        <v>229</v>
      </c>
      <c r="G278" s="186"/>
      <c r="H278" s="106"/>
      <c r="I278" s="159"/>
    </row>
    <row r="279" spans="1:9" s="158" customFormat="1" x14ac:dyDescent="0.2">
      <c r="A279" s="105"/>
      <c r="B279" s="105"/>
      <c r="C279" s="105"/>
      <c r="D279" s="117"/>
      <c r="E279" s="162" t="str">
        <f>IF(VisinaVenca=0,"*","")</f>
        <v>*</v>
      </c>
      <c r="F279" s="167"/>
      <c r="G279" s="186"/>
      <c r="H279" s="106"/>
      <c r="I279" s="159"/>
    </row>
    <row r="280" spans="1:9" s="158" customFormat="1" x14ac:dyDescent="0.2">
      <c r="A280" s="105"/>
      <c r="B280" s="105"/>
      <c r="C280" s="105"/>
      <c r="D280" s="117"/>
      <c r="E280" s="127"/>
      <c r="F280" s="163" t="s">
        <v>276</v>
      </c>
      <c r="G280" s="186"/>
      <c r="H280" s="106"/>
      <c r="I280" s="159"/>
    </row>
    <row r="281" spans="1:9" s="158" customFormat="1" x14ac:dyDescent="0.2">
      <c r="A281" s="104"/>
      <c r="B281" s="104"/>
      <c r="C281" s="105"/>
      <c r="D281" s="117"/>
      <c r="E281" s="106"/>
      <c r="G281" s="186"/>
      <c r="H281" s="106"/>
      <c r="I281" s="159"/>
    </row>
    <row r="282" spans="1:9" s="158" customFormat="1" x14ac:dyDescent="0.2">
      <c r="A282" s="105"/>
      <c r="B282" s="105"/>
      <c r="C282" s="105"/>
      <c r="D282" s="117"/>
      <c r="E282" s="127"/>
      <c r="F282" s="161" t="s">
        <v>230</v>
      </c>
      <c r="G282" s="186"/>
      <c r="H282" s="106"/>
      <c r="I282" s="159"/>
    </row>
    <row r="283" spans="1:9" s="158" customFormat="1" x14ac:dyDescent="0.2">
      <c r="A283" s="104"/>
      <c r="B283" s="104"/>
      <c r="C283" s="105"/>
      <c r="D283" s="117"/>
      <c r="E283" s="162" t="str">
        <f>IF(VisinaSlemena=0,"*","")</f>
        <v>*</v>
      </c>
      <c r="F283" s="167"/>
      <c r="G283" s="186"/>
      <c r="H283" s="106"/>
      <c r="I283" s="159"/>
    </row>
    <row r="284" spans="1:9" s="158" customFormat="1" x14ac:dyDescent="0.2">
      <c r="A284" s="104"/>
      <c r="B284" s="125"/>
      <c r="C284" s="105"/>
      <c r="D284" s="117"/>
      <c r="E284" s="127"/>
      <c r="F284" s="163" t="s">
        <v>277</v>
      </c>
      <c r="G284" s="186"/>
      <c r="H284" s="106"/>
      <c r="I284" s="159"/>
    </row>
    <row r="285" spans="1:9" s="158" customFormat="1" ht="15.75" thickBot="1" x14ac:dyDescent="0.25">
      <c r="A285" s="174"/>
      <c r="B285" s="174"/>
      <c r="C285" s="174"/>
      <c r="D285" s="117"/>
      <c r="E285" s="136"/>
      <c r="F285" s="170"/>
      <c r="G285" s="187"/>
      <c r="H285" s="106"/>
      <c r="I285" s="159"/>
    </row>
    <row r="286" spans="1:9" s="158" customFormat="1" x14ac:dyDescent="0.2">
      <c r="A286" s="104"/>
      <c r="B286" s="104"/>
      <c r="C286" s="104"/>
      <c r="D286" s="106"/>
      <c r="E286" s="106"/>
      <c r="G286" s="106"/>
      <c r="H286" s="106"/>
      <c r="I286" s="159"/>
    </row>
    <row r="287" spans="1:9" x14ac:dyDescent="0.2">
      <c r="A287" s="146"/>
      <c r="B287" s="146"/>
      <c r="C287" s="146"/>
      <c r="D287" s="146"/>
      <c r="E287" s="146"/>
      <c r="F287" s="146"/>
      <c r="G287" s="146"/>
      <c r="H287" s="146"/>
      <c r="I287" s="146"/>
    </row>
    <row r="361" ht="15.75" customHeight="1" x14ac:dyDescent="0.2"/>
    <row r="382" ht="15" customHeight="1" x14ac:dyDescent="0.2"/>
  </sheetData>
  <sheetProtection sheet="1" selectLockedCells="1"/>
  <dataValidations count="27">
    <dataValidation type="decimal" allowBlank="1" showInputMessage="1" showErrorMessage="1" errorTitle="Cena po jedinici mere" error="Vrednost mora biti brojčana, broj sa decimalnim zarezom i čiji je opseg od 1 do 999999999." sqref="F195">
      <formula1>1</formula1>
      <formula2>999999999</formula2>
    </dataValidation>
    <dataValidation type="decimal" allowBlank="1" showInputMessage="1" showErrorMessage="1" errorTitle="Nagib krova" error="Vrednost mora biti brojčana, broj sa decimalnim zarezom i čiji je opseg od 1 do 99." sqref="F172">
      <formula1>1</formula1>
      <formula2>99</formula2>
    </dataValidation>
    <dataValidation type="whole" allowBlank="1" showInputMessage="1" showErrorMessage="1" errorTitle="Broj parking mesta" error="Vrednost mora biti brojčana, prirodan broj i čiji je opseg od 1 do 999999." sqref="F157">
      <formula1>1</formula1>
      <formula2>999999</formula2>
    </dataValidation>
    <dataValidation type="whole" allowBlank="1" showInputMessage="1" showErrorMessage="1" errorTitle="Broj funkcionalnih jedinica" error="Vrednost mora biti brojčana, prirodan broj i čiji je opseg od 1 do 999999." sqref="F153">
      <formula1>1</formula1>
      <formula2>999999</formula2>
    </dataValidation>
    <dataValidation type="decimal" allowBlank="1" showInputMessage="1" showErrorMessage="1" errorTitle="Visina slemena" error="Vrednost mora biti brojčana, broj sa decimalnim zarezom i čiji je opseg od 1 do 999999." sqref="F283">
      <formula1>1</formula1>
      <formula2>999999</formula2>
    </dataValidation>
    <dataValidation type="decimal" allowBlank="1" showInputMessage="1" showErrorMessage="1" errorTitle="Visina venca" error="Vrednost mora biti brojčana, broj sa decimalnim zarezom i čiji je opseg od 1 do 999999." sqref="F279">
      <formula1>1</formula1>
      <formula2>999999</formula2>
    </dataValidation>
    <dataValidation type="decimal" allowBlank="1" showInputMessage="1" showErrorMessage="1" errorTitle="Ukupna površina parcele" error="Vrednost mora biti brojčana, broj sa decimalnim zarezom i čiji je opseg od 1 do 999999." sqref="F125">
      <formula1>1</formula1>
      <formula2>999999</formula2>
    </dataValidation>
    <dataValidation type="date" allowBlank="1" showInputMessage="1" showErrorMessage="1" errorTitle="Datum" error="Datum je neispravno upisan (primer: 23.11.2017)." sqref="F24">
      <formula1>40544</formula1>
      <formula2>2958465</formula2>
    </dataValidation>
    <dataValidation type="whole" allowBlank="1" showInputMessage="1" showErrorMessage="1" errorTitle="Potkrovlje" error="Vrednost mora biti brojčana, prirodan broj i čiji je opseg od 0 do 1." sqref="C46">
      <formula1>0</formula1>
      <formula2>1</formula2>
    </dataValidation>
    <dataValidation type="whole" allowBlank="1" showInputMessage="1" showErrorMessage="1" errorTitle="Peti sprat" error="Vrednost mora biti brojčana, prirodan broj i čiji je opseg od 0 do 1." sqref="C45">
      <formula1>0</formula1>
      <formula2>1</formula2>
    </dataValidation>
    <dataValidation type="decimal" allowBlank="1" showInputMessage="1" showErrorMessage="1" errorTitle="Potkrovlje" error="Vrednost mora biti brojčana, broj sa decimalnim zarezom i čiji je opseg od 1 do 999999." sqref="F236 F275">
      <formula1>1</formula1>
      <formula2>999999</formula2>
    </dataValidation>
    <dataValidation type="decimal" allowBlank="1" showInputMessage="1" showErrorMessage="1" errorTitle="Peti sprat" error="Vrednost mora biti brojčana, broj sa decimalnim zarezom i čiji je opseg od 1 do 999999." sqref="F232 F271">
      <formula1>1</formula1>
      <formula2>999999</formula2>
    </dataValidation>
    <dataValidation type="decimal" allowBlank="1" showInputMessage="1" showErrorMessage="1" errorTitle="Četvrti sprat" error="Vrednost mora biti brojčana, broj sa decimalnim zarezom i čiji je opseg od 1 do 999999." sqref="F228 F267">
      <formula1>1</formula1>
      <formula2>999999</formula2>
    </dataValidation>
    <dataValidation type="decimal" allowBlank="1" showInputMessage="1" showErrorMessage="1" errorTitle="Treći sprat" error="Vrednost mora biti brojčana, broj sa decimalnim zarezom i čiji je opseg od 1 do 999999." sqref="F224 F263">
      <formula1>1</formula1>
      <formula2>999999</formula2>
    </dataValidation>
    <dataValidation type="decimal" allowBlank="1" showInputMessage="1" showErrorMessage="1" errorTitle="Prvi sprat" error="Vrednost mora biti brojčana, broj sa decimalnim zarezom i čiji je opseg od 1 do 999999." sqref="F216 F255">
      <formula1>1</formula1>
      <formula2>999999</formula2>
    </dataValidation>
    <dataValidation type="decimal" allowBlank="1" showInputMessage="1" showErrorMessage="1" errorTitle="Prizemlje" error="Vrednost mora biti brojčana, broj sa decimalnim zarezom i čiji je opseg od 1 do 999999." sqref="F212 F251">
      <formula1>1</formula1>
      <formula2>999999</formula2>
    </dataValidation>
    <dataValidation type="decimal" allowBlank="1" showInputMessage="1" showErrorMessage="1" errorTitle="Drugi sprat" error="Vrednost mora biti brojčana, broj sa decimalnim zarezom i čiji je opseg od 1 do 999999." sqref="F220 F259">
      <formula1>1</formula1>
      <formula2>999999</formula2>
    </dataValidation>
    <dataValidation type="decimal" allowBlank="1" showInputMessage="1" showErrorMessage="1" errorTitle="Suteren" error="Vrednost mora biti brojčana, broj sa decimalnim zarezom i čiji je opseg od 1 do 999999." sqref="F208 F247">
      <formula1>1</formula1>
      <formula2>999999</formula2>
    </dataValidation>
    <dataValidation type="decimal" allowBlank="1" showInputMessage="1" showErrorMessage="1" errorTitle="Podrum" error="Vrednost mora biti brojčana, broj sa decimalnim zarezom i čiji je opseg od 1 do 999999." sqref="F204 F243">
      <formula1>1</formula1>
      <formula2>999999</formula2>
    </dataValidation>
    <dataValidation type="whole" allowBlank="1" showInputMessage="1" showErrorMessage="1" errorTitle="Investitorova dokumentacija" error="Vrednost mora biti brojčana, prirodan broj i čiji je opseg od 0 do 1." sqref="G51">
      <formula1>0</formula1>
      <formula2>1</formula2>
    </dataValidation>
    <dataValidation type="whole" allowBlank="1" showInputMessage="1" showErrorMessage="1" errorTitle="Podrum" error="Vrednost mora biti brojčana, prirodan broj i čiji je opseg od 0 do 1." sqref="C38">
      <formula1>0</formula1>
      <formula2>1</formula2>
    </dataValidation>
    <dataValidation type="whole" allowBlank="1" showInputMessage="1" showErrorMessage="1" errorTitle="Suteren" error="Vrednost mora biti brojčana, prirodan broj i čiji je opseg od 0 do 1." sqref="C39">
      <formula1>0</formula1>
      <formula2>1</formula2>
    </dataValidation>
    <dataValidation type="whole" allowBlank="1" showInputMessage="1" showErrorMessage="1" errorTitle="Prizemlje" error="Vrednost mora biti brojčana, prirodan broj i čiji je opseg od 0 do 1." sqref="C40">
      <formula1>0</formula1>
      <formula2>1</formula2>
    </dataValidation>
    <dataValidation type="whole" allowBlank="1" showInputMessage="1" showErrorMessage="1" errorTitle="Prvi sprat" error="Vrednost mora biti brojčana, prirodan broj i čiji je opseg od 0 do 1." sqref="C41">
      <formula1>0</formula1>
      <formula2>1</formula2>
    </dataValidation>
    <dataValidation type="whole" allowBlank="1" showInputMessage="1" showErrorMessage="1" errorTitle="Drugi sprat" error="Vrednost mora biti brojčana, prirodan broj i čiji je opseg od 0 do 1." sqref="C42">
      <formula1>0</formula1>
      <formula2>1</formula2>
    </dataValidation>
    <dataValidation type="whole" allowBlank="1" showInputMessage="1" showErrorMessage="1" errorTitle="Treći sprat" error="Vrednost mora biti brojčana, prirodan broj i čiji je opseg od 0 do 1." sqref="C43">
      <formula1>0</formula1>
      <formula2>1</formula2>
    </dataValidation>
    <dataValidation type="whole" allowBlank="1" showInputMessage="1" showErrorMessage="1" errorTitle="Četvrti sprat" error="Vrednost mora biti brojčana, prirodan broj i čiji je opseg od 0 do 1." sqref="C44">
      <formula1>0</formula1>
      <formula2>1</formula2>
    </dataValidation>
  </dataValidations>
  <pageMargins left="0.39370078740157483" right="0.39370078740157483" top="2.3622047244094491" bottom="1.1811023622047245" header="0" footer="0"/>
  <pageSetup paperSize="151" orientation="portrait" r:id="rId1"/>
  <headerFooter scaleWithDoc="0">
    <oddHeader>&amp;C&amp;G</oddHeader>
    <oddFooter>&amp;C&amp;G</oddFoot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C1:E194"/>
  <sheetViews>
    <sheetView showGridLine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3" width="2.21875" style="2" customWidth="1"/>
    <col min="4" max="4" width="80.109375" style="2" customWidth="1"/>
    <col min="5" max="191" width="2.21875" style="2" customWidth="1"/>
    <col min="192" max="16384" width="8.88671875" style="2"/>
  </cols>
  <sheetData>
    <row r="1" spans="3:5" s="1" customFormat="1" ht="30" customHeight="1" thickBot="1" x14ac:dyDescent="0.25">
      <c r="C1" s="196"/>
      <c r="D1" s="196"/>
      <c r="E1" s="196"/>
    </row>
    <row r="2" spans="3:5" ht="15.75" thickTop="1" x14ac:dyDescent="0.2"/>
    <row r="6" spans="3:5" x14ac:dyDescent="0.2">
      <c r="C6" s="3"/>
      <c r="D6" s="3"/>
      <c r="E6" s="3"/>
    </row>
    <row r="7" spans="3:5" x14ac:dyDescent="0.2">
      <c r="C7" s="36"/>
      <c r="D7" s="4"/>
      <c r="E7" s="4"/>
    </row>
    <row r="8" spans="3:5" x14ac:dyDescent="0.2">
      <c r="C8" s="36"/>
      <c r="D8" s="6"/>
      <c r="E8" s="5"/>
    </row>
    <row r="9" spans="3:5" x14ac:dyDescent="0.2">
      <c r="C9" s="36"/>
      <c r="D9" s="6"/>
      <c r="E9" s="5"/>
    </row>
    <row r="10" spans="3:5" ht="15.75" x14ac:dyDescent="0.2">
      <c r="C10" s="36"/>
      <c r="D10" s="98" t="str">
        <f>IF(InvestitorovaDokumentacija=0,"1.0. NASLOVNA STRANA IZVEŠTAJA ZATEČENOG STANJA","1.0. NASLOVNA STRANA IZVEŠTAJA ZATEČENEOG STANJA SA ELEBORATOM GEODETSKIH RADOVA")</f>
        <v>1.0. NASLOVNA STRANA IZVEŠTAJA ZATEČENOG STANJA</v>
      </c>
      <c r="E10" s="15"/>
    </row>
    <row r="11" spans="3:5" x14ac:dyDescent="0.2">
      <c r="C11" s="36"/>
      <c r="D11" s="6"/>
      <c r="E11" s="5"/>
    </row>
    <row r="12" spans="3:5" x14ac:dyDescent="0.2">
      <c r="C12" s="36"/>
      <c r="D12" s="6"/>
      <c r="E12" s="5"/>
    </row>
    <row r="13" spans="3:5" x14ac:dyDescent="0.2">
      <c r="C13" s="36"/>
      <c r="D13" s="6"/>
      <c r="E13" s="5"/>
    </row>
    <row r="14" spans="3:5" s="9" customFormat="1" x14ac:dyDescent="0.2">
      <c r="C14" s="36"/>
      <c r="D14" s="8" t="str">
        <f>IF(Investitor=0,"...",Investitor)</f>
        <v>...</v>
      </c>
      <c r="E14" s="5"/>
    </row>
    <row r="15" spans="3:5" x14ac:dyDescent="0.2">
      <c r="C15" s="36"/>
      <c r="D15" s="10" t="s">
        <v>53</v>
      </c>
      <c r="E15" s="5"/>
    </row>
    <row r="16" spans="3:5" x14ac:dyDescent="0.2">
      <c r="C16" s="36"/>
      <c r="D16" s="11" t="str">
        <f>IF(Objekat=0,"...",Objekat)</f>
        <v>...</v>
      </c>
      <c r="E16" s="5"/>
    </row>
    <row r="17" spans="3:5" x14ac:dyDescent="0.2">
      <c r="C17" s="36"/>
      <c r="D17" s="10" t="s">
        <v>1</v>
      </c>
      <c r="E17" s="5"/>
    </row>
    <row r="18" spans="3:5" x14ac:dyDescent="0.2">
      <c r="C18" s="36"/>
      <c r="D18" s="12" t="str">
        <f>IF(InvestitorovaDokumentacija=0,"Izveštaj zatečenog stanja","Izveštaj zatečenog stanja sa eleboratom geodetskih radova")</f>
        <v>Izveštaj zatečenog stanja</v>
      </c>
      <c r="E18" s="5"/>
    </row>
    <row r="19" spans="3:5" x14ac:dyDescent="0.2">
      <c r="C19" s="36"/>
      <c r="D19" s="16" t="s">
        <v>9</v>
      </c>
      <c r="E19" s="5"/>
    </row>
    <row r="20" spans="3:5" x14ac:dyDescent="0.2">
      <c r="C20" s="36"/>
      <c r="D20" s="12" t="str">
        <f>IF(ProjektnaOrganizacija=0,"...",ProjektnaOrganizacija)</f>
        <v>...</v>
      </c>
      <c r="E20" s="5"/>
    </row>
    <row r="21" spans="3:5" x14ac:dyDescent="0.2">
      <c r="C21" s="36"/>
      <c r="D21" s="10" t="s">
        <v>10</v>
      </c>
      <c r="E21" s="5"/>
    </row>
    <row r="22" spans="3:5" x14ac:dyDescent="0.2">
      <c r="C22" s="36"/>
      <c r="D22" s="6"/>
      <c r="E22" s="5"/>
    </row>
    <row r="23" spans="3:5" x14ac:dyDescent="0.2">
      <c r="C23" s="36"/>
      <c r="D23" s="6"/>
      <c r="E23" s="5"/>
    </row>
    <row r="24" spans="3:5" x14ac:dyDescent="0.2">
      <c r="C24" s="36"/>
      <c r="D24" s="6"/>
      <c r="E24" s="5"/>
    </row>
    <row r="25" spans="3:5" x14ac:dyDescent="0.2">
      <c r="C25" s="36"/>
      <c r="D25" s="6"/>
      <c r="E25" s="5"/>
    </row>
    <row r="26" spans="3:5" x14ac:dyDescent="0.2">
      <c r="C26" s="36"/>
      <c r="D26" s="12" t="str">
        <f>IF(OdgovornoLiceProjektneOrganizacije=0,"...",OdgovornoLiceProjektneOrganizacije)</f>
        <v>...</v>
      </c>
      <c r="E26" s="5"/>
    </row>
    <row r="27" spans="3:5" x14ac:dyDescent="0.2">
      <c r="C27" s="36"/>
      <c r="D27" s="13" t="s">
        <v>11</v>
      </c>
      <c r="E27" s="5"/>
    </row>
    <row r="28" spans="3:5" ht="30" x14ac:dyDescent="0.2">
      <c r="C28" s="36"/>
      <c r="D28" s="17" t="s">
        <v>15</v>
      </c>
      <c r="E28" s="5"/>
    </row>
    <row r="29" spans="3:5" x14ac:dyDescent="0.2">
      <c r="C29" s="36"/>
      <c r="D29" s="6"/>
      <c r="E29" s="5"/>
    </row>
    <row r="30" spans="3:5" x14ac:dyDescent="0.2">
      <c r="C30" s="36"/>
      <c r="D30" s="6"/>
      <c r="E30" s="5"/>
    </row>
    <row r="31" spans="3:5" x14ac:dyDescent="0.2">
      <c r="C31" s="36"/>
      <c r="D31" s="6"/>
      <c r="E31" s="5"/>
    </row>
    <row r="32" spans="3:5" x14ac:dyDescent="0.2">
      <c r="C32" s="36"/>
      <c r="D32" s="6"/>
      <c r="E32" s="5"/>
    </row>
    <row r="33" spans="3:5" x14ac:dyDescent="0.2">
      <c r="C33" s="36"/>
      <c r="D33" s="6"/>
      <c r="E33" s="5"/>
    </row>
    <row r="34" spans="3:5" x14ac:dyDescent="0.2">
      <c r="C34" s="36"/>
      <c r="D34" s="12" t="str">
        <f>IF(OdgovorniProjektant=0,"...",OdgovorniProjektant)</f>
        <v>...</v>
      </c>
      <c r="E34" s="5"/>
    </row>
    <row r="35" spans="3:5" x14ac:dyDescent="0.2">
      <c r="C35" s="36"/>
      <c r="D35" s="13" t="s">
        <v>12</v>
      </c>
      <c r="E35" s="5"/>
    </row>
    <row r="36" spans="3:5" x14ac:dyDescent="0.2">
      <c r="C36" s="36"/>
      <c r="D36" s="6"/>
      <c r="E36" s="5"/>
    </row>
    <row r="37" spans="3:5" x14ac:dyDescent="0.2">
      <c r="C37" s="36"/>
      <c r="D37" s="6"/>
      <c r="E37" s="5"/>
    </row>
    <row r="38" spans="3:5" x14ac:dyDescent="0.2">
      <c r="C38" s="36"/>
      <c r="D38" s="12" t="str">
        <f>IF(EvidencioniBroj=0,"...",EvidencioniBroj)</f>
        <v>...</v>
      </c>
      <c r="E38" s="5"/>
    </row>
    <row r="39" spans="3:5" x14ac:dyDescent="0.2">
      <c r="C39" s="36"/>
      <c r="D39" s="10" t="s">
        <v>13</v>
      </c>
      <c r="E39" s="5"/>
    </row>
    <row r="40" spans="3:5" x14ac:dyDescent="0.2">
      <c r="C40" s="36"/>
      <c r="D40" s="12" t="str">
        <f>IF(OR(Mesto=0,Datum=0),"...",Mesto&amp;", "&amp;Datum&amp;". godine")</f>
        <v>...</v>
      </c>
      <c r="E40" s="5"/>
    </row>
    <row r="41" spans="3:5" x14ac:dyDescent="0.2">
      <c r="C41" s="36"/>
      <c r="D41" s="10" t="s">
        <v>14</v>
      </c>
      <c r="E41" s="5"/>
    </row>
    <row r="42" spans="3:5" x14ac:dyDescent="0.2">
      <c r="C42" s="14"/>
      <c r="D42" s="14"/>
      <c r="E42" s="14"/>
    </row>
    <row r="91" ht="15" customHeight="1" x14ac:dyDescent="0.2"/>
    <row r="173" ht="15.75" customHeight="1" x14ac:dyDescent="0.2"/>
    <row r="194" ht="15" customHeight="1" x14ac:dyDescent="0.2"/>
  </sheetData>
  <mergeCells count="1">
    <mergeCell ref="C1:E1"/>
  </mergeCells>
  <pageMargins left="0.39370078740157483" right="0.39370078740157483" top="2.3622047244094491" bottom="1.1811023622047245" header="0" footer="0"/>
  <pageSetup paperSize="151" orientation="portrait" r:id="rId1"/>
  <headerFooter scaleWithDoc="0">
    <oddHeader>&amp;C&amp;G</oddHeader>
    <oddFooter>&amp;C&amp;G</oddFoot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C1:F149"/>
  <sheetViews>
    <sheetView showGridLine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3" width="2.21875" style="19" customWidth="1"/>
    <col min="4" max="4" width="6.77734375" style="19" customWidth="1"/>
    <col min="5" max="5" width="61.77734375" style="19" customWidth="1"/>
    <col min="6" max="187" width="2.21875" style="19" customWidth="1"/>
    <col min="188" max="16384" width="8.88671875" style="19"/>
  </cols>
  <sheetData>
    <row r="1" spans="3:6" s="18" customFormat="1" ht="30" customHeight="1" thickBot="1" x14ac:dyDescent="0.25">
      <c r="C1" s="197"/>
      <c r="D1" s="197"/>
      <c r="E1" s="197"/>
      <c r="F1" s="197"/>
    </row>
    <row r="2" spans="3:6" ht="15.75" thickTop="1" x14ac:dyDescent="0.2"/>
    <row r="6" spans="3:6" x14ac:dyDescent="0.2">
      <c r="C6" s="3"/>
      <c r="D6" s="3"/>
      <c r="E6" s="3"/>
      <c r="F6" s="3"/>
    </row>
    <row r="7" spans="3:6" x14ac:dyDescent="0.2">
      <c r="C7" s="4"/>
      <c r="D7" s="4"/>
      <c r="E7" s="4"/>
      <c r="F7" s="4"/>
    </row>
    <row r="8" spans="3:6" x14ac:dyDescent="0.2">
      <c r="C8" s="5"/>
      <c r="D8" s="20"/>
      <c r="E8" s="21"/>
      <c r="F8" s="5"/>
    </row>
    <row r="9" spans="3:6" x14ac:dyDescent="0.2">
      <c r="C9" s="5"/>
      <c r="D9" s="20"/>
      <c r="E9" s="21"/>
      <c r="F9" s="5"/>
    </row>
    <row r="10" spans="3:6" ht="15.75" x14ac:dyDescent="0.2">
      <c r="C10" s="28" t="str">
        <f>IF(D10="...","*","")</f>
        <v/>
      </c>
      <c r="D10" s="198" t="str">
        <f>IF(InvestitorovaDokumentacija=0,"2.0. SADRŽAJ IZVEŠTAJA ZATEČENOG STANJA","2.0. SADRŽAJ IZVEŠTAJA ZATEČENEOG STANJA SA ELEBORATOM GEODETSKIH RADOVA")</f>
        <v>2.0. SADRŽAJ IZVEŠTAJA ZATEČENOG STANJA</v>
      </c>
      <c r="E10" s="198"/>
      <c r="F10" s="5"/>
    </row>
    <row r="11" spans="3:6" x14ac:dyDescent="0.2">
      <c r="C11" s="36"/>
      <c r="D11" s="20"/>
      <c r="E11" s="21"/>
      <c r="F11" s="5"/>
    </row>
    <row r="12" spans="3:6" x14ac:dyDescent="0.2">
      <c r="C12" s="36"/>
      <c r="D12" s="20"/>
      <c r="E12" s="21"/>
      <c r="F12" s="5"/>
    </row>
    <row r="13" spans="3:6" x14ac:dyDescent="0.2">
      <c r="C13" s="36"/>
      <c r="D13" s="20"/>
      <c r="E13" s="21"/>
      <c r="F13" s="5"/>
    </row>
    <row r="14" spans="3:6" x14ac:dyDescent="0.2">
      <c r="C14" s="36"/>
      <c r="D14" s="21" t="s">
        <v>24</v>
      </c>
      <c r="E14" s="97" t="str">
        <f>IF(InvestitorovaDokumentacija=0,"Naslovna strana izveštaja zatečenog stanja","Naslovna strana izveštaja zatečenog stanja sa elaboratom geodetskih radova")</f>
        <v>Naslovna strana izveštaja zatečenog stanja</v>
      </c>
      <c r="F14" s="5"/>
    </row>
    <row r="15" spans="3:6" x14ac:dyDescent="0.2">
      <c r="C15" s="36"/>
      <c r="D15" s="21"/>
      <c r="E15" s="21"/>
      <c r="F15" s="5"/>
    </row>
    <row r="16" spans="3:6" x14ac:dyDescent="0.2">
      <c r="C16" s="36"/>
      <c r="D16" s="21" t="s">
        <v>25</v>
      </c>
      <c r="E16" s="97" t="str">
        <f>IF(InvestitorovaDokumentacija=0,"Sadržaj izveštaja zatečenog stanja","Sadržaj izveštaja zatečenog stanja sa elaboratom geodetskih radova")</f>
        <v>Sadržaj izveštaja zatečenog stanja</v>
      </c>
      <c r="F16" s="5"/>
    </row>
    <row r="17" spans="3:6" x14ac:dyDescent="0.2">
      <c r="C17" s="36"/>
      <c r="D17" s="21"/>
      <c r="E17" s="21"/>
      <c r="F17" s="5"/>
    </row>
    <row r="18" spans="3:6" x14ac:dyDescent="0.2">
      <c r="C18" s="36"/>
      <c r="D18" s="21" t="s">
        <v>26</v>
      </c>
      <c r="E18" s="97" t="str">
        <f>IF(InvestitorovaDokumentacija=0,"Kopija plana placa","Elaborat geodetskih radova")</f>
        <v>Kopija plana placa</v>
      </c>
      <c r="F18" s="5"/>
    </row>
    <row r="19" spans="3:6" x14ac:dyDescent="0.2">
      <c r="C19" s="36"/>
      <c r="D19" s="21"/>
      <c r="E19" s="21"/>
      <c r="F19" s="5"/>
    </row>
    <row r="20" spans="3:6" x14ac:dyDescent="0.2">
      <c r="C20" s="5"/>
      <c r="D20" s="21" t="s">
        <v>27</v>
      </c>
      <c r="E20" s="21" t="s">
        <v>23</v>
      </c>
      <c r="F20" s="5"/>
    </row>
    <row r="21" spans="3:6" x14ac:dyDescent="0.2">
      <c r="C21" s="5"/>
      <c r="D21" s="21"/>
      <c r="E21" s="21"/>
      <c r="F21" s="5"/>
    </row>
    <row r="22" spans="3:6" x14ac:dyDescent="0.2">
      <c r="C22" s="24"/>
      <c r="D22" s="24"/>
      <c r="E22" s="24"/>
      <c r="F22" s="24"/>
    </row>
    <row r="46" ht="15" customHeight="1" x14ac:dyDescent="0.2"/>
    <row r="128" ht="15.75" customHeight="1" x14ac:dyDescent="0.2"/>
    <row r="149" ht="15" customHeight="1" x14ac:dyDescent="0.2"/>
  </sheetData>
  <mergeCells count="2">
    <mergeCell ref="C1:F1"/>
    <mergeCell ref="D10:E10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C1:E194"/>
  <sheetViews>
    <sheetView showGridLine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3" width="2.21875" style="2" customWidth="1"/>
    <col min="4" max="4" width="80.109375" style="2" customWidth="1"/>
    <col min="5" max="191" width="2.21875" style="2" customWidth="1"/>
    <col min="192" max="16384" width="8.88671875" style="2"/>
  </cols>
  <sheetData>
    <row r="1" spans="3:5" s="1" customFormat="1" ht="30" customHeight="1" thickBot="1" x14ac:dyDescent="0.25">
      <c r="C1" s="196"/>
      <c r="D1" s="196"/>
      <c r="E1" s="196"/>
    </row>
    <row r="2" spans="3:5" ht="15.75" thickTop="1" x14ac:dyDescent="0.2"/>
    <row r="6" spans="3:5" x14ac:dyDescent="0.2">
      <c r="C6" s="3"/>
      <c r="D6" s="3"/>
      <c r="E6" s="3"/>
    </row>
    <row r="7" spans="3:5" x14ac:dyDescent="0.2">
      <c r="C7" s="36"/>
      <c r="D7" s="4"/>
      <c r="E7" s="4"/>
    </row>
    <row r="8" spans="3:5" x14ac:dyDescent="0.2">
      <c r="C8" s="36"/>
      <c r="D8" s="6"/>
      <c r="E8" s="5"/>
    </row>
    <row r="9" spans="3:5" x14ac:dyDescent="0.2">
      <c r="C9" s="36"/>
      <c r="D9" s="6"/>
      <c r="E9" s="5"/>
    </row>
    <row r="10" spans="3:5" ht="15.75" x14ac:dyDescent="0.25">
      <c r="C10" s="36"/>
      <c r="D10" s="25" t="s">
        <v>28</v>
      </c>
      <c r="E10" s="15"/>
    </row>
    <row r="11" spans="3:5" x14ac:dyDescent="0.2">
      <c r="C11" s="36"/>
      <c r="D11" s="6"/>
      <c r="E11" s="5"/>
    </row>
    <row r="12" spans="3:5" x14ac:dyDescent="0.2">
      <c r="C12" s="36"/>
      <c r="D12" s="6"/>
      <c r="E12" s="5"/>
    </row>
    <row r="13" spans="3:5" x14ac:dyDescent="0.2">
      <c r="C13" s="36"/>
      <c r="D13" s="6"/>
      <c r="E13" s="5"/>
    </row>
    <row r="14" spans="3:5" s="9" customFormat="1" x14ac:dyDescent="0.2">
      <c r="C14" s="36"/>
      <c r="D14" s="8" t="str">
        <f>IF(Investitor=0,"...",Investitor)</f>
        <v>...</v>
      </c>
      <c r="E14" s="5"/>
    </row>
    <row r="15" spans="3:5" x14ac:dyDescent="0.2">
      <c r="C15" s="36"/>
      <c r="D15" s="10" t="s">
        <v>53</v>
      </c>
      <c r="E15" s="5"/>
    </row>
    <row r="16" spans="3:5" x14ac:dyDescent="0.2">
      <c r="C16" s="36"/>
      <c r="D16" s="11" t="str">
        <f>IF(Objekat=0,"...",Objekat)</f>
        <v>...</v>
      </c>
      <c r="E16" s="5"/>
    </row>
    <row r="17" spans="3:5" x14ac:dyDescent="0.2">
      <c r="C17" s="36"/>
      <c r="D17" s="10" t="s">
        <v>1</v>
      </c>
      <c r="E17" s="5"/>
    </row>
    <row r="18" spans="3:5" x14ac:dyDescent="0.2">
      <c r="C18" s="36"/>
      <c r="D18" s="12" t="s">
        <v>23</v>
      </c>
      <c r="E18" s="5"/>
    </row>
    <row r="19" spans="3:5" x14ac:dyDescent="0.2">
      <c r="C19" s="36"/>
      <c r="D19" s="16" t="s">
        <v>9</v>
      </c>
      <c r="E19" s="5"/>
    </row>
    <row r="20" spans="3:5" x14ac:dyDescent="0.2">
      <c r="C20" s="36"/>
      <c r="D20" s="12" t="str">
        <f>IF(ProjektnaOrganizacija=0,"...",ProjektnaOrganizacija)</f>
        <v>...</v>
      </c>
      <c r="E20" s="5"/>
    </row>
    <row r="21" spans="3:5" x14ac:dyDescent="0.2">
      <c r="C21" s="36"/>
      <c r="D21" s="10" t="s">
        <v>10</v>
      </c>
      <c r="E21" s="5"/>
    </row>
    <row r="22" spans="3:5" x14ac:dyDescent="0.2">
      <c r="C22" s="36"/>
      <c r="D22" s="6"/>
      <c r="E22" s="5"/>
    </row>
    <row r="23" spans="3:5" x14ac:dyDescent="0.2">
      <c r="C23" s="36"/>
      <c r="D23" s="6"/>
      <c r="E23" s="5"/>
    </row>
    <row r="24" spans="3:5" x14ac:dyDescent="0.2">
      <c r="C24" s="36"/>
      <c r="D24" s="6"/>
      <c r="E24" s="5"/>
    </row>
    <row r="25" spans="3:5" x14ac:dyDescent="0.2">
      <c r="C25" s="36"/>
      <c r="D25" s="6"/>
      <c r="E25" s="5"/>
    </row>
    <row r="26" spans="3:5" x14ac:dyDescent="0.2">
      <c r="C26" s="36"/>
      <c r="D26" s="12" t="str">
        <f>IF(OdgovornoLiceProjektneOrganizacije=0,"...",OdgovornoLiceProjektneOrganizacije)</f>
        <v>...</v>
      </c>
      <c r="E26" s="5"/>
    </row>
    <row r="27" spans="3:5" x14ac:dyDescent="0.2">
      <c r="C27" s="36"/>
      <c r="D27" s="13" t="s">
        <v>11</v>
      </c>
      <c r="E27" s="5"/>
    </row>
    <row r="28" spans="3:5" x14ac:dyDescent="0.2">
      <c r="C28" s="36"/>
      <c r="D28" s="17"/>
      <c r="E28" s="5"/>
    </row>
    <row r="29" spans="3:5" x14ac:dyDescent="0.2">
      <c r="C29" s="36"/>
      <c r="D29" s="6"/>
      <c r="E29" s="5"/>
    </row>
    <row r="30" spans="3:5" x14ac:dyDescent="0.2">
      <c r="C30" s="36"/>
      <c r="D30" s="6"/>
      <c r="E30" s="5"/>
    </row>
    <row r="31" spans="3:5" x14ac:dyDescent="0.2">
      <c r="C31" s="36"/>
      <c r="D31" s="6"/>
      <c r="E31" s="5"/>
    </row>
    <row r="32" spans="3:5" x14ac:dyDescent="0.2">
      <c r="C32" s="36"/>
      <c r="D32" s="6"/>
      <c r="E32" s="5"/>
    </row>
    <row r="33" spans="3:5" x14ac:dyDescent="0.2">
      <c r="C33" s="36"/>
      <c r="D33" s="6"/>
      <c r="E33" s="5"/>
    </row>
    <row r="34" spans="3:5" x14ac:dyDescent="0.2">
      <c r="C34" s="36"/>
      <c r="D34" s="12" t="str">
        <f>IF(OdgovorniProjektant=0,"...",OdgovorniProjektant)</f>
        <v>...</v>
      </c>
      <c r="E34" s="5"/>
    </row>
    <row r="35" spans="3:5" x14ac:dyDescent="0.2">
      <c r="C35" s="36"/>
      <c r="D35" s="13" t="s">
        <v>12</v>
      </c>
      <c r="E35" s="5"/>
    </row>
    <row r="36" spans="3:5" x14ac:dyDescent="0.2">
      <c r="C36" s="36"/>
      <c r="D36" s="6"/>
      <c r="E36" s="5"/>
    </row>
    <row r="37" spans="3:5" x14ac:dyDescent="0.2">
      <c r="C37" s="36"/>
      <c r="D37" s="6"/>
      <c r="E37" s="5"/>
    </row>
    <row r="38" spans="3:5" x14ac:dyDescent="0.2">
      <c r="C38" s="36"/>
      <c r="D38" s="12" t="str">
        <f>IF(EvidencioniBroj=0,"...",EvidencioniBroj)</f>
        <v>...</v>
      </c>
      <c r="E38" s="5"/>
    </row>
    <row r="39" spans="3:5" x14ac:dyDescent="0.2">
      <c r="C39" s="36"/>
      <c r="D39" s="10" t="s">
        <v>13</v>
      </c>
      <c r="E39" s="5"/>
    </row>
    <row r="40" spans="3:5" x14ac:dyDescent="0.2">
      <c r="C40" s="36"/>
      <c r="D40" s="12" t="str">
        <f>IF(OR(Mesto=0,Datum=0),"...",Mesto&amp;", "&amp;Datum&amp;". godine")</f>
        <v>...</v>
      </c>
      <c r="E40" s="5"/>
    </row>
    <row r="41" spans="3:5" x14ac:dyDescent="0.2">
      <c r="C41" s="36"/>
      <c r="D41" s="10" t="s">
        <v>14</v>
      </c>
      <c r="E41" s="5"/>
    </row>
    <row r="42" spans="3:5" x14ac:dyDescent="0.2">
      <c r="C42" s="14"/>
      <c r="D42" s="14"/>
      <c r="E42" s="14"/>
    </row>
    <row r="91" ht="15" customHeight="1" x14ac:dyDescent="0.2"/>
    <row r="173" ht="15.75" customHeight="1" x14ac:dyDescent="0.2"/>
    <row r="194" ht="15" customHeight="1" x14ac:dyDescent="0.2"/>
  </sheetData>
  <mergeCells count="1">
    <mergeCell ref="C1:E1"/>
  </mergeCells>
  <pageMargins left="0.39370078740157483" right="0.39370078740157483" top="2.3622047244094491" bottom="1.1811023622047245" header="0" footer="0"/>
  <pageSetup paperSize="151" orientation="portrait" r:id="rId1"/>
  <headerFooter scaleWithDoc="0">
    <oddHeader>&amp;C&amp;G</oddHeader>
    <oddFooter>&amp;C&amp;G</oddFooter>
  </headerFooter>
  <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C1:F135"/>
  <sheetViews>
    <sheetView showGridLine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3" width="2.21875" style="19" customWidth="1"/>
    <col min="4" max="4" width="6.77734375" style="19" customWidth="1"/>
    <col min="5" max="5" width="61.77734375" style="19" customWidth="1"/>
    <col min="6" max="187" width="2.21875" style="19" customWidth="1"/>
    <col min="188" max="16384" width="8.88671875" style="19"/>
  </cols>
  <sheetData>
    <row r="1" spans="3:6" s="18" customFormat="1" ht="30" customHeight="1" thickBot="1" x14ac:dyDescent="0.25">
      <c r="C1" s="197"/>
      <c r="D1" s="197"/>
      <c r="E1" s="197"/>
      <c r="F1" s="197"/>
    </row>
    <row r="2" spans="3:6" ht="15.75" thickTop="1" x14ac:dyDescent="0.2"/>
    <row r="6" spans="3:6" x14ac:dyDescent="0.2">
      <c r="C6" s="3"/>
      <c r="D6" s="3"/>
      <c r="E6" s="3"/>
      <c r="F6" s="3"/>
    </row>
    <row r="7" spans="3:6" x14ac:dyDescent="0.2">
      <c r="C7" s="4"/>
      <c r="D7" s="4"/>
      <c r="E7" s="4"/>
      <c r="F7" s="4"/>
    </row>
    <row r="8" spans="3:6" x14ac:dyDescent="0.2">
      <c r="C8" s="5"/>
      <c r="D8" s="20"/>
      <c r="E8" s="21"/>
      <c r="F8" s="5"/>
    </row>
    <row r="9" spans="3:6" x14ac:dyDescent="0.2">
      <c r="C9" s="5"/>
      <c r="D9" s="20"/>
      <c r="E9" s="21"/>
      <c r="F9" s="5"/>
    </row>
    <row r="10" spans="3:6" ht="15.75" x14ac:dyDescent="0.25">
      <c r="C10" s="5"/>
      <c r="D10" s="199" t="s">
        <v>29</v>
      </c>
      <c r="E10" s="199"/>
      <c r="F10" s="5"/>
    </row>
    <row r="11" spans="3:6" x14ac:dyDescent="0.2">
      <c r="C11" s="5"/>
      <c r="D11" s="20"/>
      <c r="E11" s="21"/>
      <c r="F11" s="5"/>
    </row>
    <row r="12" spans="3:6" x14ac:dyDescent="0.2">
      <c r="C12" s="5"/>
      <c r="D12" s="20"/>
      <c r="E12" s="21"/>
      <c r="F12" s="5"/>
    </row>
    <row r="13" spans="3:6" x14ac:dyDescent="0.2">
      <c r="C13" s="5"/>
      <c r="D13" s="20"/>
      <c r="E13" s="21"/>
      <c r="F13" s="5"/>
    </row>
    <row r="14" spans="3:6" x14ac:dyDescent="0.2">
      <c r="C14" s="5"/>
      <c r="D14" s="21" t="s">
        <v>30</v>
      </c>
      <c r="E14" s="21" t="s">
        <v>45</v>
      </c>
      <c r="F14" s="5"/>
    </row>
    <row r="15" spans="3:6" x14ac:dyDescent="0.2">
      <c r="C15" s="5"/>
      <c r="D15" s="21"/>
      <c r="E15" s="21"/>
      <c r="F15" s="5"/>
    </row>
    <row r="16" spans="3:6" x14ac:dyDescent="0.2">
      <c r="C16" s="5"/>
      <c r="D16" s="21" t="s">
        <v>31</v>
      </c>
      <c r="E16" s="21" t="s">
        <v>46</v>
      </c>
      <c r="F16" s="5"/>
    </row>
    <row r="17" spans="3:6" x14ac:dyDescent="0.2">
      <c r="C17" s="5"/>
      <c r="D17" s="21"/>
      <c r="E17" s="21"/>
      <c r="F17" s="5"/>
    </row>
    <row r="18" spans="3:6" x14ac:dyDescent="0.2">
      <c r="C18" s="5"/>
      <c r="D18" s="21" t="s">
        <v>32</v>
      </c>
      <c r="E18" s="21" t="s">
        <v>47</v>
      </c>
      <c r="F18" s="5"/>
    </row>
    <row r="19" spans="3:6" x14ac:dyDescent="0.2">
      <c r="C19" s="5"/>
      <c r="D19" s="21"/>
      <c r="E19" s="21"/>
      <c r="F19" s="5"/>
    </row>
    <row r="20" spans="3:6" x14ac:dyDescent="0.2">
      <c r="C20" s="5"/>
      <c r="D20" s="21" t="s">
        <v>33</v>
      </c>
      <c r="E20" s="21" t="s">
        <v>48</v>
      </c>
      <c r="F20" s="5"/>
    </row>
    <row r="21" spans="3:6" x14ac:dyDescent="0.2">
      <c r="C21" s="5"/>
      <c r="D21" s="21"/>
      <c r="E21" s="21"/>
      <c r="F21" s="5"/>
    </row>
    <row r="22" spans="3:6" ht="15.75" x14ac:dyDescent="0.25">
      <c r="C22" s="5"/>
      <c r="D22" s="22" t="s">
        <v>34</v>
      </c>
      <c r="E22" s="22" t="s">
        <v>16</v>
      </c>
      <c r="F22" s="5"/>
    </row>
    <row r="23" spans="3:6" x14ac:dyDescent="0.2">
      <c r="C23" s="5"/>
      <c r="D23" s="21"/>
      <c r="E23" s="21"/>
      <c r="F23" s="5"/>
    </row>
    <row r="24" spans="3:6" x14ac:dyDescent="0.2">
      <c r="C24" s="5"/>
      <c r="D24" s="21" t="s">
        <v>35</v>
      </c>
      <c r="E24" s="21" t="s">
        <v>38</v>
      </c>
      <c r="F24" s="5"/>
    </row>
    <row r="25" spans="3:6" x14ac:dyDescent="0.2">
      <c r="C25" s="5"/>
      <c r="D25" s="21"/>
      <c r="E25" s="21"/>
      <c r="F25" s="5"/>
    </row>
    <row r="26" spans="3:6" x14ac:dyDescent="0.2">
      <c r="C26" s="5"/>
      <c r="D26" s="21" t="s">
        <v>39</v>
      </c>
      <c r="E26" s="21" t="s">
        <v>41</v>
      </c>
      <c r="F26" s="5"/>
    </row>
    <row r="27" spans="3:6" x14ac:dyDescent="0.2">
      <c r="C27" s="5"/>
      <c r="D27" s="21"/>
      <c r="E27" s="21"/>
      <c r="F27" s="5"/>
    </row>
    <row r="28" spans="3:6" x14ac:dyDescent="0.2">
      <c r="C28" s="5"/>
      <c r="D28" s="21" t="s">
        <v>40</v>
      </c>
      <c r="E28" s="21" t="s">
        <v>42</v>
      </c>
      <c r="F28" s="5"/>
    </row>
    <row r="29" spans="3:6" x14ac:dyDescent="0.2">
      <c r="C29" s="5"/>
      <c r="D29" s="21"/>
      <c r="E29" s="21"/>
      <c r="F29" s="5"/>
    </row>
    <row r="30" spans="3:6" ht="15.75" x14ac:dyDescent="0.25">
      <c r="C30" s="5"/>
      <c r="D30" s="22" t="s">
        <v>36</v>
      </c>
      <c r="E30" s="22" t="s">
        <v>17</v>
      </c>
      <c r="F30" s="5"/>
    </row>
    <row r="31" spans="3:6" x14ac:dyDescent="0.2">
      <c r="C31" s="5"/>
      <c r="D31" s="21"/>
      <c r="E31" s="21"/>
      <c r="F31" s="5"/>
    </row>
    <row r="32" spans="3:6" x14ac:dyDescent="0.2">
      <c r="C32" s="5"/>
      <c r="D32" s="21" t="s">
        <v>37</v>
      </c>
      <c r="E32" s="92" t="s">
        <v>179</v>
      </c>
      <c r="F32" s="5"/>
    </row>
    <row r="33" spans="3:6" x14ac:dyDescent="0.2">
      <c r="C33" s="5"/>
      <c r="D33" s="21"/>
      <c r="E33" s="21"/>
      <c r="F33" s="5"/>
    </row>
    <row r="34" spans="3:6" x14ac:dyDescent="0.2">
      <c r="C34" s="5"/>
      <c r="D34" s="21" t="s">
        <v>43</v>
      </c>
      <c r="E34" s="21" t="s">
        <v>18</v>
      </c>
      <c r="F34" s="5"/>
    </row>
    <row r="35" spans="3:6" x14ac:dyDescent="0.2">
      <c r="C35" s="5"/>
      <c r="D35" s="21"/>
      <c r="E35" s="21"/>
      <c r="F35" s="23"/>
    </row>
    <row r="36" spans="3:6" ht="15.75" x14ac:dyDescent="0.25">
      <c r="C36" s="178" t="s">
        <v>19</v>
      </c>
      <c r="D36" s="94" t="s">
        <v>44</v>
      </c>
      <c r="E36" s="94" t="s">
        <v>20</v>
      </c>
      <c r="F36" s="177" t="s">
        <v>21</v>
      </c>
    </row>
    <row r="37" spans="3:6" x14ac:dyDescent="0.2">
      <c r="C37" s="102"/>
      <c r="D37" s="103"/>
      <c r="E37" s="103"/>
      <c r="F37" s="179"/>
    </row>
    <row r="38" spans="3:6" x14ac:dyDescent="0.2">
      <c r="C38" s="5"/>
      <c r="D38" s="21"/>
      <c r="E38" s="21"/>
      <c r="F38" s="176" t="s">
        <v>22</v>
      </c>
    </row>
    <row r="39" spans="3:6" x14ac:dyDescent="0.2">
      <c r="C39" s="24"/>
      <c r="D39" s="24"/>
      <c r="E39" s="24"/>
      <c r="F39" s="24"/>
    </row>
    <row r="114" ht="15.75" customHeight="1" x14ac:dyDescent="0.2"/>
    <row r="135" ht="15" customHeight="1" x14ac:dyDescent="0.2"/>
  </sheetData>
  <mergeCells count="2">
    <mergeCell ref="C1:F1"/>
    <mergeCell ref="D10:E10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C1:E144"/>
  <sheetViews>
    <sheetView showGridLine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3" width="2.21875" style="19" customWidth="1"/>
    <col min="4" max="4" width="69.77734375" style="19" customWidth="1"/>
    <col min="5" max="187" width="2.21875" style="19" customWidth="1"/>
    <col min="188" max="16384" width="8.88671875" style="19"/>
  </cols>
  <sheetData>
    <row r="1" spans="3:5" s="18" customFormat="1" ht="30" customHeight="1" thickBot="1" x14ac:dyDescent="0.25">
      <c r="C1" s="197"/>
      <c r="D1" s="197"/>
      <c r="E1" s="197"/>
    </row>
    <row r="2" spans="3:5" ht="15.75" thickTop="1" x14ac:dyDescent="0.2"/>
    <row r="6" spans="3:5" x14ac:dyDescent="0.2">
      <c r="C6" s="3"/>
      <c r="D6" s="3"/>
      <c r="E6" s="3"/>
    </row>
    <row r="7" spans="3:5" x14ac:dyDescent="0.2">
      <c r="C7" s="36"/>
      <c r="D7" s="4"/>
      <c r="E7" s="4"/>
    </row>
    <row r="8" spans="3:5" ht="30" x14ac:dyDescent="0.2">
      <c r="C8" s="36"/>
      <c r="D8" s="17" t="s">
        <v>49</v>
      </c>
      <c r="E8" s="5"/>
    </row>
    <row r="9" spans="3:5" x14ac:dyDescent="0.2">
      <c r="C9" s="36"/>
      <c r="D9" s="6"/>
      <c r="E9" s="5"/>
    </row>
    <row r="10" spans="3:5" x14ac:dyDescent="0.2">
      <c r="C10" s="36"/>
      <c r="D10" s="6"/>
      <c r="E10" s="5"/>
    </row>
    <row r="11" spans="3:5" x14ac:dyDescent="0.2">
      <c r="C11" s="36"/>
      <c r="D11" s="6"/>
      <c r="E11" s="5"/>
    </row>
    <row r="12" spans="3:5" ht="15.75" x14ac:dyDescent="0.25">
      <c r="C12" s="36"/>
      <c r="D12" s="26" t="s">
        <v>51</v>
      </c>
      <c r="E12" s="5"/>
    </row>
    <row r="13" spans="3:5" x14ac:dyDescent="0.2">
      <c r="C13" s="36"/>
      <c r="D13" s="6"/>
      <c r="E13" s="5"/>
    </row>
    <row r="14" spans="3:5" x14ac:dyDescent="0.2">
      <c r="C14" s="36"/>
      <c r="D14" s="6"/>
      <c r="E14" s="5"/>
    </row>
    <row r="15" spans="3:5" x14ac:dyDescent="0.2">
      <c r="C15" s="36"/>
      <c r="D15" s="6"/>
      <c r="E15" s="5"/>
    </row>
    <row r="16" spans="3:5" x14ac:dyDescent="0.2">
      <c r="C16" s="36"/>
      <c r="D16" s="17" t="str">
        <f>IF(ObjekatIzKonteksta=0,"...","Ovim izjavljujem, da sam se pri izrade tehničke dokumentacije pridržavao Zakona i drugih propisa, tehničkih normativa, standarda i normi kvaliteta za izvedenu "&amp;ObjekatIzKonteksta&amp;".")</f>
        <v>...</v>
      </c>
      <c r="E16" s="5"/>
    </row>
    <row r="17" spans="3:5" x14ac:dyDescent="0.2">
      <c r="C17" s="36"/>
      <c r="D17" s="6"/>
      <c r="E17" s="5"/>
    </row>
    <row r="18" spans="3:5" ht="45" x14ac:dyDescent="0.2">
      <c r="C18" s="36"/>
      <c r="D18" s="17" t="s">
        <v>50</v>
      </c>
      <c r="E18" s="5"/>
    </row>
    <row r="19" spans="3:5" x14ac:dyDescent="0.2">
      <c r="C19" s="36"/>
      <c r="D19" s="6"/>
      <c r="E19" s="5"/>
    </row>
    <row r="20" spans="3:5" x14ac:dyDescent="0.2">
      <c r="C20" s="36"/>
      <c r="D20" s="6"/>
      <c r="E20" s="5"/>
    </row>
    <row r="21" spans="3:5" x14ac:dyDescent="0.2">
      <c r="C21" s="36"/>
      <c r="D21" s="6"/>
      <c r="E21" s="5"/>
    </row>
    <row r="22" spans="3:5" x14ac:dyDescent="0.2">
      <c r="C22" s="36"/>
      <c r="D22" s="27" t="str">
        <f>IF(ProjektnaOrganizacija=0,"...",ProjektnaOrganizacija)</f>
        <v>...</v>
      </c>
      <c r="E22" s="5"/>
    </row>
    <row r="23" spans="3:5" x14ac:dyDescent="0.2">
      <c r="C23" s="36"/>
      <c r="D23" s="10" t="s">
        <v>10</v>
      </c>
      <c r="E23" s="5"/>
    </row>
    <row r="24" spans="3:5" x14ac:dyDescent="0.2">
      <c r="C24" s="36"/>
      <c r="D24" s="6"/>
      <c r="E24" s="5"/>
    </row>
    <row r="25" spans="3:5" x14ac:dyDescent="0.2">
      <c r="C25" s="36"/>
      <c r="D25" s="6"/>
      <c r="E25" s="5"/>
    </row>
    <row r="26" spans="3:5" x14ac:dyDescent="0.2">
      <c r="C26" s="36"/>
      <c r="D26" s="6"/>
      <c r="E26" s="5"/>
    </row>
    <row r="27" spans="3:5" x14ac:dyDescent="0.2">
      <c r="C27" s="36"/>
      <c r="D27" s="6"/>
      <c r="E27" s="5"/>
    </row>
    <row r="28" spans="3:5" x14ac:dyDescent="0.2">
      <c r="C28" s="36"/>
      <c r="D28" s="6" t="str">
        <f>IF(OdgovorniProjektant=0,"...",OdgovorniProjektant)</f>
        <v>...</v>
      </c>
      <c r="E28" s="5"/>
    </row>
    <row r="29" spans="3:5" x14ac:dyDescent="0.2">
      <c r="C29" s="36"/>
      <c r="D29" s="13" t="s">
        <v>11</v>
      </c>
      <c r="E29" s="5"/>
    </row>
    <row r="30" spans="3:5" x14ac:dyDescent="0.2">
      <c r="C30" s="36"/>
      <c r="D30" s="6"/>
      <c r="E30" s="5"/>
    </row>
    <row r="31" spans="3:5" x14ac:dyDescent="0.2">
      <c r="C31" s="14"/>
      <c r="D31" s="14"/>
      <c r="E31" s="14"/>
    </row>
    <row r="41" ht="15" customHeight="1" x14ac:dyDescent="0.2"/>
    <row r="123" ht="15.75" customHeight="1" x14ac:dyDescent="0.2"/>
    <row r="144" ht="15" customHeight="1" x14ac:dyDescent="0.2"/>
  </sheetData>
  <mergeCells count="1">
    <mergeCell ref="C1:E1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C1:E133"/>
  <sheetViews>
    <sheetView showGridLines="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3" width="2.21875" style="19" customWidth="1"/>
    <col min="4" max="4" width="69.77734375" style="19" customWidth="1"/>
    <col min="5" max="185" width="2.21875" style="19" customWidth="1"/>
    <col min="186" max="16384" width="8.88671875" style="19"/>
  </cols>
  <sheetData>
    <row r="1" spans="3:5" s="18" customFormat="1" ht="30" customHeight="1" thickBot="1" x14ac:dyDescent="0.25"/>
    <row r="2" spans="3:5" ht="15.75" thickTop="1" x14ac:dyDescent="0.2"/>
    <row r="6" spans="3:5" x14ac:dyDescent="0.2">
      <c r="C6" s="3"/>
      <c r="D6" s="3"/>
      <c r="E6" s="3"/>
    </row>
    <row r="7" spans="3:5" x14ac:dyDescent="0.2">
      <c r="C7" s="36"/>
      <c r="D7" s="4"/>
      <c r="E7" s="4"/>
    </row>
    <row r="8" spans="3:5" ht="30" x14ac:dyDescent="0.2">
      <c r="C8" s="36"/>
      <c r="D8" s="17" t="s">
        <v>49</v>
      </c>
      <c r="E8" s="5"/>
    </row>
    <row r="9" spans="3:5" x14ac:dyDescent="0.2">
      <c r="C9" s="36"/>
      <c r="D9" s="6"/>
      <c r="E9" s="5"/>
    </row>
    <row r="10" spans="3:5" x14ac:dyDescent="0.2">
      <c r="C10" s="36"/>
      <c r="D10" s="6"/>
      <c r="E10" s="5"/>
    </row>
    <row r="11" spans="3:5" x14ac:dyDescent="0.2">
      <c r="C11" s="36"/>
      <c r="D11" s="6"/>
      <c r="E11" s="5"/>
    </row>
    <row r="12" spans="3:5" ht="15.75" x14ac:dyDescent="0.25">
      <c r="C12" s="36"/>
      <c r="D12" s="7" t="s">
        <v>52</v>
      </c>
      <c r="E12" s="5"/>
    </row>
    <row r="13" spans="3:5" x14ac:dyDescent="0.2">
      <c r="C13" s="36"/>
      <c r="D13" s="6"/>
      <c r="E13" s="5"/>
    </row>
    <row r="14" spans="3:5" x14ac:dyDescent="0.2">
      <c r="C14" s="36"/>
      <c r="D14" s="6"/>
      <c r="E14" s="5"/>
    </row>
    <row r="15" spans="3:5" x14ac:dyDescent="0.2">
      <c r="C15" s="36"/>
      <c r="D15" s="6"/>
      <c r="E15" s="5"/>
    </row>
    <row r="16" spans="3:5" x14ac:dyDescent="0.2">
      <c r="C16" s="36"/>
      <c r="D16" s="12" t="str">
        <f>IF(ObjekatIzKonteksta=0,"...","Ovim izjavljujem da sam pregledao dostavljenu tehničku dokumentaciju za izvedenu "&amp;ObjekatIzKonteksta&amp;", i shodno tome prihvatam eventualne rizike korišćenja objekta, s obzirom na minimalnu tehničku dokumentaciju koja je propisana za ozakonjenje.")</f>
        <v>...</v>
      </c>
      <c r="E16" s="5"/>
    </row>
    <row r="17" spans="3:5" x14ac:dyDescent="0.2">
      <c r="C17" s="36"/>
      <c r="D17" s="6"/>
      <c r="E17" s="5"/>
    </row>
    <row r="18" spans="3:5" x14ac:dyDescent="0.2">
      <c r="C18" s="36"/>
      <c r="D18" s="6"/>
      <c r="E18" s="5"/>
    </row>
    <row r="19" spans="3:5" x14ac:dyDescent="0.2">
      <c r="C19" s="36"/>
      <c r="D19" s="6"/>
      <c r="E19" s="5"/>
    </row>
    <row r="20" spans="3:5" x14ac:dyDescent="0.2">
      <c r="C20" s="36"/>
      <c r="D20" s="30" t="str">
        <f>IF(Investitor=0,"...",Investitor)</f>
        <v>...</v>
      </c>
      <c r="E20" s="29" t="str">
        <f>IF(D20="...","","P")</f>
        <v/>
      </c>
    </row>
    <row r="21" spans="3:5" x14ac:dyDescent="0.2">
      <c r="C21" s="36"/>
      <c r="D21" s="10" t="s">
        <v>53</v>
      </c>
      <c r="E21" s="5"/>
    </row>
    <row r="22" spans="3:5" x14ac:dyDescent="0.2">
      <c r="C22" s="5"/>
      <c r="D22" s="6"/>
      <c r="E22" s="5"/>
    </row>
    <row r="23" spans="3:5" x14ac:dyDescent="0.2">
      <c r="C23" s="5"/>
      <c r="D23" s="96"/>
      <c r="E23" s="5"/>
    </row>
    <row r="24" spans="3:5" x14ac:dyDescent="0.2">
      <c r="C24" s="5"/>
      <c r="D24" s="6"/>
      <c r="E24" s="4"/>
    </row>
    <row r="25" spans="3:5" x14ac:dyDescent="0.2">
      <c r="C25" s="36"/>
      <c r="D25"/>
      <c r="E25" s="36"/>
    </row>
    <row r="26" spans="3:5" x14ac:dyDescent="0.2">
      <c r="C26" s="36"/>
      <c r="D26" t="str">
        <f>IF(OdgovornoLice=0,"...",OdgovornoLice)</f>
        <v>...</v>
      </c>
      <c r="E26" s="36"/>
    </row>
    <row r="27" spans="3:5" x14ac:dyDescent="0.2">
      <c r="C27" s="5"/>
      <c r="D27" s="13" t="s">
        <v>184</v>
      </c>
      <c r="E27" s="36"/>
    </row>
    <row r="28" spans="3:5" x14ac:dyDescent="0.2">
      <c r="C28" s="5"/>
      <c r="D28" s="6"/>
      <c r="E28" s="5"/>
    </row>
    <row r="29" spans="3:5" x14ac:dyDescent="0.2">
      <c r="C29" s="14"/>
      <c r="D29" s="14"/>
      <c r="E29" s="14"/>
    </row>
    <row r="30" spans="3:5" ht="15" customHeight="1" x14ac:dyDescent="0.2">
      <c r="E30" s="31"/>
    </row>
    <row r="112" ht="15.75" customHeight="1" x14ac:dyDescent="0.2"/>
    <row r="133" ht="15" customHeight="1" x14ac:dyDescent="0.2"/>
  </sheetData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C1:E121"/>
  <sheetViews>
    <sheetView showGridLine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3" width="2.21875" style="19" customWidth="1"/>
    <col min="4" max="4" width="69.77734375" style="19" customWidth="1"/>
    <col min="5" max="187" width="2.21875" style="19" customWidth="1"/>
    <col min="188" max="16384" width="8.88671875" style="19"/>
  </cols>
  <sheetData>
    <row r="1" spans="3:5" s="18" customFormat="1" ht="30" customHeight="1" thickBot="1" x14ac:dyDescent="0.25">
      <c r="C1" s="197"/>
      <c r="D1" s="197"/>
      <c r="E1" s="197"/>
    </row>
    <row r="2" spans="3:5" ht="15.75" thickTop="1" x14ac:dyDescent="0.2"/>
    <row r="6" spans="3:5" x14ac:dyDescent="0.2">
      <c r="C6" s="3"/>
      <c r="D6" s="3"/>
      <c r="E6" s="3"/>
    </row>
    <row r="7" spans="3:5" x14ac:dyDescent="0.2">
      <c r="C7" s="5"/>
      <c r="D7" s="4"/>
      <c r="E7" s="5"/>
    </row>
    <row r="8" spans="3:5" x14ac:dyDescent="0.2">
      <c r="C8" s="5"/>
      <c r="D8" s="200" t="s">
        <v>54</v>
      </c>
      <c r="E8" s="5"/>
    </row>
    <row r="9" spans="3:5" x14ac:dyDescent="0.2">
      <c r="C9" s="5"/>
      <c r="D9" s="201"/>
      <c r="E9" s="5"/>
    </row>
    <row r="10" spans="3:5" x14ac:dyDescent="0.2">
      <c r="C10" s="5"/>
      <c r="D10" s="201"/>
      <c r="E10" s="5"/>
    </row>
    <row r="11" spans="3:5" x14ac:dyDescent="0.2">
      <c r="C11" s="5"/>
      <c r="D11" s="201"/>
      <c r="E11" s="5"/>
    </row>
    <row r="12" spans="3:5" x14ac:dyDescent="0.2">
      <c r="C12" s="5"/>
      <c r="D12" s="201"/>
      <c r="E12" s="5"/>
    </row>
    <row r="13" spans="3:5" x14ac:dyDescent="0.2">
      <c r="C13" s="5"/>
      <c r="D13" s="201"/>
      <c r="E13" s="5"/>
    </row>
    <row r="14" spans="3:5" x14ac:dyDescent="0.2">
      <c r="C14" s="5"/>
      <c r="D14" s="201"/>
      <c r="E14" s="5"/>
    </row>
    <row r="15" spans="3:5" x14ac:dyDescent="0.2">
      <c r="C15" s="5"/>
      <c r="D15" s="201"/>
      <c r="E15" s="5"/>
    </row>
    <row r="16" spans="3:5" x14ac:dyDescent="0.2">
      <c r="C16" s="5"/>
      <c r="D16" s="201"/>
      <c r="E16" s="5"/>
    </row>
    <row r="17" spans="3:5" x14ac:dyDescent="0.2">
      <c r="C17" s="5"/>
      <c r="D17" s="201"/>
      <c r="E17" s="5"/>
    </row>
    <row r="18" spans="3:5" x14ac:dyDescent="0.2">
      <c r="C18" s="5"/>
      <c r="D18" s="201"/>
      <c r="E18" s="5"/>
    </row>
    <row r="19" spans="3:5" x14ac:dyDescent="0.2">
      <c r="C19" s="5"/>
      <c r="D19" s="201"/>
      <c r="E19" s="5"/>
    </row>
    <row r="20" spans="3:5" x14ac:dyDescent="0.2">
      <c r="C20" s="5"/>
      <c r="D20" s="201"/>
      <c r="E20" s="5"/>
    </row>
    <row r="21" spans="3:5" x14ac:dyDescent="0.2">
      <c r="C21" s="5"/>
      <c r="D21" s="201"/>
      <c r="E21" s="5"/>
    </row>
    <row r="22" spans="3:5" x14ac:dyDescent="0.2">
      <c r="C22" s="5"/>
      <c r="D22" s="201"/>
      <c r="E22" s="5"/>
    </row>
    <row r="23" spans="3:5" x14ac:dyDescent="0.2">
      <c r="C23" s="5"/>
      <c r="D23" s="201"/>
      <c r="E23" s="5"/>
    </row>
    <row r="24" spans="3:5" x14ac:dyDescent="0.2">
      <c r="C24" s="5"/>
      <c r="D24" s="201"/>
      <c r="E24" s="5"/>
    </row>
    <row r="25" spans="3:5" x14ac:dyDescent="0.2">
      <c r="C25" s="5"/>
      <c r="D25" s="201"/>
      <c r="E25" s="5"/>
    </row>
    <row r="26" spans="3:5" x14ac:dyDescent="0.2">
      <c r="C26" s="5"/>
      <c r="D26" s="201"/>
      <c r="E26" s="5"/>
    </row>
    <row r="27" spans="3:5" x14ac:dyDescent="0.2">
      <c r="C27" s="5"/>
      <c r="D27" s="201"/>
      <c r="E27" s="5"/>
    </row>
    <row r="28" spans="3:5" x14ac:dyDescent="0.2">
      <c r="C28" s="5"/>
      <c r="D28" s="201"/>
      <c r="E28" s="5"/>
    </row>
    <row r="29" spans="3:5" x14ac:dyDescent="0.2">
      <c r="C29" s="5"/>
      <c r="D29" s="201"/>
      <c r="E29" s="5"/>
    </row>
    <row r="30" spans="3:5" x14ac:dyDescent="0.2">
      <c r="C30" s="5"/>
      <c r="D30" s="201"/>
      <c r="E30" s="5"/>
    </row>
    <row r="31" spans="3:5" x14ac:dyDescent="0.2">
      <c r="C31" s="5"/>
      <c r="D31" s="201"/>
      <c r="E31" s="5"/>
    </row>
    <row r="32" spans="3:5" x14ac:dyDescent="0.2">
      <c r="C32" s="5"/>
      <c r="D32" s="201"/>
      <c r="E32" s="5"/>
    </row>
    <row r="33" spans="3:5" x14ac:dyDescent="0.2">
      <c r="C33" s="5"/>
      <c r="D33" s="201"/>
      <c r="E33" s="5"/>
    </row>
    <row r="34" spans="3:5" x14ac:dyDescent="0.2">
      <c r="C34" s="5"/>
      <c r="D34" s="201"/>
      <c r="E34" s="5"/>
    </row>
    <row r="35" spans="3:5" x14ac:dyDescent="0.2">
      <c r="C35" s="5"/>
      <c r="D35" s="201"/>
      <c r="E35" s="5"/>
    </row>
    <row r="36" spans="3:5" x14ac:dyDescent="0.2">
      <c r="C36" s="5"/>
      <c r="D36" s="201"/>
      <c r="E36" s="5"/>
    </row>
    <row r="37" spans="3:5" x14ac:dyDescent="0.2">
      <c r="C37" s="5"/>
      <c r="D37" s="201"/>
      <c r="E37" s="5"/>
    </row>
    <row r="38" spans="3:5" x14ac:dyDescent="0.2">
      <c r="C38" s="5"/>
      <c r="D38" s="201"/>
      <c r="E38" s="5"/>
    </row>
    <row r="39" spans="3:5" x14ac:dyDescent="0.2">
      <c r="C39" s="5"/>
      <c r="D39" s="201"/>
      <c r="E39" s="5"/>
    </row>
    <row r="40" spans="3:5" x14ac:dyDescent="0.2">
      <c r="C40" s="5"/>
      <c r="D40" s="201"/>
      <c r="E40" s="5"/>
    </row>
    <row r="41" spans="3:5" x14ac:dyDescent="0.2">
      <c r="C41" s="5"/>
      <c r="D41" s="201"/>
      <c r="E41" s="5"/>
    </row>
    <row r="42" spans="3:5" x14ac:dyDescent="0.2">
      <c r="C42" s="5"/>
      <c r="D42" s="201"/>
      <c r="E42" s="5"/>
    </row>
    <row r="43" spans="3:5" x14ac:dyDescent="0.2">
      <c r="C43" s="5"/>
      <c r="D43" s="201"/>
      <c r="E43" s="5"/>
    </row>
    <row r="44" spans="3:5" x14ac:dyDescent="0.2">
      <c r="C44" s="5"/>
      <c r="D44" s="201"/>
      <c r="E44" s="5"/>
    </row>
    <row r="45" spans="3:5" x14ac:dyDescent="0.2">
      <c r="C45" s="5"/>
      <c r="D45" s="201"/>
      <c r="E45" s="5"/>
    </row>
    <row r="46" spans="3:5" x14ac:dyDescent="0.2">
      <c r="C46" s="5"/>
      <c r="D46" s="201"/>
      <c r="E46" s="5"/>
    </row>
    <row r="47" spans="3:5" x14ac:dyDescent="0.2">
      <c r="C47" s="5"/>
      <c r="D47" s="201"/>
      <c r="E47" s="5"/>
    </row>
    <row r="48" spans="3:5" x14ac:dyDescent="0.2">
      <c r="C48" s="5"/>
      <c r="D48" s="201"/>
      <c r="E48" s="5"/>
    </row>
    <row r="49" spans="3:5" x14ac:dyDescent="0.2">
      <c r="C49" s="5"/>
      <c r="D49" s="201"/>
      <c r="E49" s="5"/>
    </row>
    <row r="50" spans="3:5" x14ac:dyDescent="0.2">
      <c r="C50" s="5"/>
      <c r="D50" s="201"/>
      <c r="E50" s="5"/>
    </row>
    <row r="51" spans="3:5" x14ac:dyDescent="0.2">
      <c r="C51" s="5"/>
      <c r="D51" s="201"/>
      <c r="E51" s="5"/>
    </row>
    <row r="52" spans="3:5" x14ac:dyDescent="0.2">
      <c r="C52" s="5"/>
      <c r="D52" s="201"/>
      <c r="E52" s="5"/>
    </row>
    <row r="53" spans="3:5" x14ac:dyDescent="0.2">
      <c r="C53" s="14"/>
      <c r="D53" s="14"/>
      <c r="E53" s="14"/>
    </row>
    <row r="100" ht="15.75" customHeight="1" x14ac:dyDescent="0.2"/>
    <row r="121" ht="15" customHeight="1" x14ac:dyDescent="0.2"/>
  </sheetData>
  <mergeCells count="2">
    <mergeCell ref="C1:E1"/>
    <mergeCell ref="D8:D52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C1:E86"/>
  <sheetViews>
    <sheetView showGridLines="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3" width="2.21875" style="19" customWidth="1"/>
    <col min="4" max="4" width="69.77734375" style="19" customWidth="1"/>
    <col min="5" max="187" width="2.21875" style="19" customWidth="1"/>
    <col min="188" max="16384" width="8.88671875" style="19"/>
  </cols>
  <sheetData>
    <row r="1" spans="3:5" s="18" customFormat="1" ht="30" customHeight="1" thickBot="1" x14ac:dyDescent="0.25"/>
    <row r="2" spans="3:5" ht="15.75" thickTop="1" x14ac:dyDescent="0.2"/>
    <row r="6" spans="3:5" x14ac:dyDescent="0.2">
      <c r="C6" s="3"/>
      <c r="D6" s="3"/>
      <c r="E6" s="3"/>
    </row>
    <row r="7" spans="3:5" x14ac:dyDescent="0.2">
      <c r="C7" s="36"/>
      <c r="D7" s="4"/>
      <c r="E7" s="36"/>
    </row>
    <row r="8" spans="3:5" x14ac:dyDescent="0.2">
      <c r="C8" s="36"/>
      <c r="D8" s="6"/>
      <c r="E8" s="36"/>
    </row>
    <row r="9" spans="3:5" x14ac:dyDescent="0.2">
      <c r="C9" s="36"/>
      <c r="D9" s="6"/>
      <c r="E9" s="36"/>
    </row>
    <row r="10" spans="3:5" ht="15.75" x14ac:dyDescent="0.25">
      <c r="C10" s="36"/>
      <c r="D10" s="7" t="s">
        <v>84</v>
      </c>
      <c r="E10" s="36"/>
    </row>
    <row r="11" spans="3:5" x14ac:dyDescent="0.2">
      <c r="C11" s="36"/>
      <c r="D11" s="6"/>
      <c r="E11" s="36"/>
    </row>
    <row r="12" spans="3:5" x14ac:dyDescent="0.2">
      <c r="C12" s="36"/>
      <c r="D12" s="6"/>
      <c r="E12" s="36"/>
    </row>
    <row r="13" spans="3:5" x14ac:dyDescent="0.2">
      <c r="C13" s="36"/>
      <c r="D13" s="32" t="s">
        <v>2</v>
      </c>
      <c r="E13" s="36"/>
    </row>
    <row r="14" spans="3:5" x14ac:dyDescent="0.2">
      <c r="C14" s="36"/>
      <c r="D14" s="30" t="str">
        <f>IF(TipObjekta=0,"...",TipObjekta)</f>
        <v>...</v>
      </c>
      <c r="E14" s="36"/>
    </row>
    <row r="15" spans="3:5" x14ac:dyDescent="0.2">
      <c r="C15" s="36"/>
      <c r="D15" s="10" t="s">
        <v>57</v>
      </c>
      <c r="E15" s="36"/>
    </row>
    <row r="16" spans="3:5" x14ac:dyDescent="0.2">
      <c r="C16" s="36"/>
      <c r="D16" s="12" t="str">
        <f>IF(KategorijaObjekta=0,"...",KategorijaObjekta)</f>
        <v>...</v>
      </c>
      <c r="E16" s="36"/>
    </row>
    <row r="17" spans="3:5" x14ac:dyDescent="0.2">
      <c r="C17" s="36"/>
      <c r="D17" s="10" t="s">
        <v>58</v>
      </c>
      <c r="E17" s="36"/>
    </row>
    <row r="18" spans="3:5" x14ac:dyDescent="0.2">
      <c r="C18" s="36"/>
      <c r="D18" s="12" t="str">
        <f>IF(UcescePovrsinaKlasifikacija=0,"...",UcescePovrsinaKlasifikacija)</f>
        <v>...</v>
      </c>
      <c r="E18" s="36"/>
    </row>
    <row r="19" spans="3:5" x14ac:dyDescent="0.2">
      <c r="C19" s="36"/>
      <c r="D19" s="10" t="s">
        <v>59</v>
      </c>
      <c r="E19" s="36"/>
    </row>
    <row r="20" spans="3:5" x14ac:dyDescent="0.2">
      <c r="C20" s="36"/>
      <c r="D20" s="12" t="str">
        <f>IF(UrbanistickiPlan=0,"...",UrbanistickiPlan)</f>
        <v>...</v>
      </c>
      <c r="E20" s="36"/>
    </row>
    <row r="21" spans="3:5" x14ac:dyDescent="0.2">
      <c r="C21" s="36"/>
      <c r="D21" s="10" t="s">
        <v>60</v>
      </c>
      <c r="E21" s="36"/>
    </row>
    <row r="22" spans="3:5" x14ac:dyDescent="0.2">
      <c r="C22" s="36"/>
      <c r="D22" s="12" t="str">
        <f>IF(KatastarskeParcele=0,"...",KatastarskeParcele)</f>
        <v>...</v>
      </c>
      <c r="E22" s="36"/>
    </row>
    <row r="23" spans="3:5" x14ac:dyDescent="0.2">
      <c r="C23" s="36"/>
      <c r="D23" s="33" t="s">
        <v>61</v>
      </c>
      <c r="E23" s="36"/>
    </row>
    <row r="24" spans="3:5" x14ac:dyDescent="0.2">
      <c r="C24" s="36"/>
      <c r="D24" s="6"/>
      <c r="E24" s="36"/>
    </row>
    <row r="25" spans="3:5" x14ac:dyDescent="0.2">
      <c r="C25" s="36"/>
      <c r="D25" s="6"/>
      <c r="E25" s="36"/>
    </row>
    <row r="26" spans="3:5" x14ac:dyDescent="0.2">
      <c r="C26" s="36"/>
      <c r="D26" s="6"/>
      <c r="E26" s="36"/>
    </row>
    <row r="27" spans="3:5" x14ac:dyDescent="0.2">
      <c r="C27" s="36"/>
      <c r="D27" s="32" t="s">
        <v>3</v>
      </c>
      <c r="E27" s="36"/>
    </row>
    <row r="28" spans="3:5" x14ac:dyDescent="0.2">
      <c r="C28" s="36"/>
      <c r="D28" s="30" t="str">
        <f>IF(PrikljucakNaVodovod=0,"...",PrikljucakNaVodovod)</f>
        <v>...</v>
      </c>
      <c r="E28" s="36"/>
    </row>
    <row r="29" spans="3:5" x14ac:dyDescent="0.2">
      <c r="C29" s="36"/>
      <c r="D29" s="10" t="s">
        <v>62</v>
      </c>
      <c r="E29" s="36"/>
    </row>
    <row r="30" spans="3:5" x14ac:dyDescent="0.2">
      <c r="C30" s="36"/>
      <c r="D30" s="12" t="str">
        <f>IF(PrikljucakNaKanalizaciju=0,"...",PrikljucakNaKanalizaciju)</f>
        <v>...</v>
      </c>
      <c r="E30" s="36"/>
    </row>
    <row r="31" spans="3:5" x14ac:dyDescent="0.2">
      <c r="C31" s="36"/>
      <c r="D31" s="10" t="s">
        <v>63</v>
      </c>
      <c r="E31" s="36"/>
    </row>
    <row r="32" spans="3:5" x14ac:dyDescent="0.2">
      <c r="C32" s="36"/>
      <c r="D32" s="12" t="str">
        <f>IF(PrikljucakNaStruju=0,"...",PrikljucakNaStruju)</f>
        <v>...</v>
      </c>
      <c r="E32" s="36"/>
    </row>
    <row r="33" spans="3:5" x14ac:dyDescent="0.2">
      <c r="C33" s="36"/>
      <c r="D33" s="13" t="s">
        <v>64</v>
      </c>
      <c r="E33" s="36"/>
    </row>
    <row r="34" spans="3:5" x14ac:dyDescent="0.2">
      <c r="C34" s="36"/>
      <c r="D34" s="6"/>
      <c r="E34" s="36"/>
    </row>
    <row r="35" spans="3:5" x14ac:dyDescent="0.2">
      <c r="C35" s="36"/>
      <c r="D35" s="6"/>
      <c r="E35" s="36"/>
    </row>
    <row r="36" spans="3:5" x14ac:dyDescent="0.2">
      <c r="C36" s="36"/>
      <c r="D36" s="6"/>
      <c r="E36" s="36"/>
    </row>
    <row r="37" spans="3:5" x14ac:dyDescent="0.2">
      <c r="C37" s="36"/>
      <c r="D37" s="32" t="s">
        <v>4</v>
      </c>
      <c r="E37" s="36"/>
    </row>
    <row r="38" spans="3:5" x14ac:dyDescent="0.2">
      <c r="C38" s="36"/>
      <c r="D38" s="30" t="str">
        <f>IF(PovrsinaParcele=0,"...",PovrsinaParcele)</f>
        <v>...</v>
      </c>
      <c r="E38" s="36"/>
    </row>
    <row r="39" spans="3:5" x14ac:dyDescent="0.2">
      <c r="C39" s="36"/>
      <c r="D39" s="10" t="s">
        <v>65</v>
      </c>
      <c r="E39" s="36"/>
    </row>
    <row r="40" spans="3:5" x14ac:dyDescent="0.2">
      <c r="C40" s="36"/>
      <c r="D40" s="12" t="str">
        <f>IF(UkupnaBrutoNadzemno=0,"...",UkupnaBrutoNadzemno)</f>
        <v>...</v>
      </c>
      <c r="E40" s="36"/>
    </row>
    <row r="41" spans="3:5" x14ac:dyDescent="0.2">
      <c r="C41" s="36"/>
      <c r="D41" s="10" t="s">
        <v>66</v>
      </c>
      <c r="E41" s="36"/>
    </row>
    <row r="42" spans="3:5" x14ac:dyDescent="0.2">
      <c r="C42" s="36"/>
      <c r="D42" s="12" t="str">
        <f>IF(UkupnaBruto=0,"...",UkupnaBruto)</f>
        <v>...</v>
      </c>
      <c r="E42" s="36"/>
    </row>
    <row r="43" spans="3:5" x14ac:dyDescent="0.2">
      <c r="C43" s="36"/>
      <c r="D43" s="10" t="s">
        <v>67</v>
      </c>
      <c r="E43" s="36"/>
    </row>
    <row r="44" spans="3:5" x14ac:dyDescent="0.2">
      <c r="C44" s="36"/>
      <c r="D44" s="12" t="str">
        <f>IF(UkupnaNeto=0,"...",UkupnaNeto)</f>
        <v>...</v>
      </c>
      <c r="E44" s="36"/>
    </row>
    <row r="45" spans="3:5" x14ac:dyDescent="0.2">
      <c r="C45" s="36"/>
      <c r="D45" s="10" t="s">
        <v>68</v>
      </c>
      <c r="E45" s="36"/>
    </row>
    <row r="46" spans="3:5" x14ac:dyDescent="0.2">
      <c r="C46" s="36"/>
      <c r="D46" s="12" t="str">
        <f>IF(PovrsinaPr=0,"...",PovrsinaPr)</f>
        <v>...</v>
      </c>
      <c r="E46" s="36"/>
    </row>
    <row r="47" spans="3:5" x14ac:dyDescent="0.2">
      <c r="C47" s="36"/>
      <c r="D47" s="10" t="s">
        <v>69</v>
      </c>
      <c r="E47" s="36"/>
    </row>
    <row r="48" spans="3:5" x14ac:dyDescent="0.2">
      <c r="C48" s="36"/>
      <c r="D48" s="12" t="str">
        <f>IF(Zauzetost=0,"...",Zauzetost)</f>
        <v>...</v>
      </c>
      <c r="E48" s="36"/>
    </row>
    <row r="49" spans="3:5" x14ac:dyDescent="0.2">
      <c r="C49" s="36"/>
      <c r="D49" s="10" t="s">
        <v>70</v>
      </c>
      <c r="E49" s="36"/>
    </row>
    <row r="50" spans="3:5" x14ac:dyDescent="0.2">
      <c r="C50" s="36"/>
      <c r="D50" s="12" t="str">
        <f>IF(Spratnost=0,"...",Spratnost)</f>
        <v>...</v>
      </c>
      <c r="E50" s="36"/>
    </row>
    <row r="51" spans="3:5" x14ac:dyDescent="0.2">
      <c r="C51" s="36"/>
      <c r="D51" s="10" t="s">
        <v>71</v>
      </c>
      <c r="E51" s="36"/>
    </row>
    <row r="52" spans="3:5" x14ac:dyDescent="0.2">
      <c r="C52" s="36"/>
      <c r="D52" s="12" t="str">
        <f>IF(VisinaVenca=0,"...",VisinaVenca)</f>
        <v>...</v>
      </c>
      <c r="E52" s="36"/>
    </row>
    <row r="53" spans="3:5" x14ac:dyDescent="0.2">
      <c r="C53" s="36"/>
      <c r="D53" s="10" t="s">
        <v>72</v>
      </c>
      <c r="E53" s="36"/>
    </row>
    <row r="54" spans="3:5" x14ac:dyDescent="0.2">
      <c r="C54" s="36"/>
      <c r="D54" s="12" t="str">
        <f>IF(VisinaSlemena=0,"...",VisinaSlemena)</f>
        <v>...</v>
      </c>
      <c r="E54" s="36"/>
    </row>
    <row r="55" spans="3:5" x14ac:dyDescent="0.2">
      <c r="C55" s="36"/>
      <c r="D55" s="10" t="s">
        <v>73</v>
      </c>
      <c r="E55" s="36"/>
    </row>
    <row r="56" spans="3:5" x14ac:dyDescent="0.2">
      <c r="C56" s="36"/>
      <c r="D56" s="12" t="str">
        <f>IF(BrojFunkcionalnihJedinica=0,"...",BrojFunkcionalnihJedinica)</f>
        <v>...</v>
      </c>
      <c r="E56" s="36"/>
    </row>
    <row r="57" spans="3:5" x14ac:dyDescent="0.2">
      <c r="C57" s="36"/>
      <c r="D57" s="10" t="s">
        <v>74</v>
      </c>
      <c r="E57" s="36"/>
    </row>
    <row r="58" spans="3:5" x14ac:dyDescent="0.2">
      <c r="C58" s="36"/>
      <c r="D58" s="12" t="str">
        <f>IF(BrojParkingMesta=0,"...",BrojParkingMesta)</f>
        <v>...</v>
      </c>
      <c r="E58" s="36"/>
    </row>
    <row r="59" spans="3:5" x14ac:dyDescent="0.2">
      <c r="C59" s="36"/>
      <c r="D59" s="13" t="s">
        <v>75</v>
      </c>
      <c r="E59" s="36"/>
    </row>
    <row r="60" spans="3:5" x14ac:dyDescent="0.2">
      <c r="C60" s="36"/>
      <c r="D60" s="6"/>
      <c r="E60" s="36"/>
    </row>
    <row r="61" spans="3:5" x14ac:dyDescent="0.2">
      <c r="C61" s="36"/>
      <c r="D61" s="6"/>
      <c r="E61" s="36"/>
    </row>
    <row r="62" spans="3:5" x14ac:dyDescent="0.2">
      <c r="C62" s="36"/>
      <c r="D62" s="6"/>
      <c r="E62" s="36"/>
    </row>
    <row r="63" spans="3:5" x14ac:dyDescent="0.2">
      <c r="C63" s="36"/>
      <c r="D63" s="32" t="s">
        <v>5</v>
      </c>
      <c r="E63" s="36"/>
    </row>
    <row r="64" spans="3:5" x14ac:dyDescent="0.2">
      <c r="C64" s="36"/>
      <c r="D64" s="30" t="str">
        <f>IF(ObradaFasade=0,"...",ObradaFasade)</f>
        <v>...</v>
      </c>
      <c r="E64" s="36"/>
    </row>
    <row r="65" spans="3:5" x14ac:dyDescent="0.2">
      <c r="C65" s="36"/>
      <c r="D65" s="10" t="s">
        <v>76</v>
      </c>
      <c r="E65" s="36"/>
    </row>
    <row r="66" spans="3:5" x14ac:dyDescent="0.2">
      <c r="C66" s="36"/>
      <c r="D66" s="12" t="str">
        <f>IF(OrjentacijaSlemena=0,"...",OrjentacijaSlemena)</f>
        <v>...</v>
      </c>
      <c r="E66" s="36"/>
    </row>
    <row r="67" spans="3:5" x14ac:dyDescent="0.2">
      <c r="C67" s="36"/>
      <c r="D67" s="10" t="s">
        <v>77</v>
      </c>
      <c r="E67" s="36"/>
    </row>
    <row r="68" spans="3:5" x14ac:dyDescent="0.2">
      <c r="C68" s="36"/>
      <c r="D68" s="12" t="str">
        <f>IF(NagibKrova=0,"...",NagibKrova)</f>
        <v>...</v>
      </c>
      <c r="E68" s="36"/>
    </row>
    <row r="69" spans="3:5" x14ac:dyDescent="0.2">
      <c r="C69" s="36"/>
      <c r="D69" s="10" t="s">
        <v>78</v>
      </c>
      <c r="E69" s="36"/>
    </row>
    <row r="70" spans="3:5" x14ac:dyDescent="0.2">
      <c r="C70" s="36"/>
      <c r="D70" s="12" t="str">
        <f>IF(ObradaKrova=0,"...",ObradaKrova)</f>
        <v>...</v>
      </c>
      <c r="E70" s="36"/>
    </row>
    <row r="71" spans="3:5" x14ac:dyDescent="0.2">
      <c r="C71" s="36"/>
      <c r="D71" s="13" t="s">
        <v>79</v>
      </c>
      <c r="E71" s="36"/>
    </row>
    <row r="72" spans="3:5" x14ac:dyDescent="0.2">
      <c r="C72" s="36"/>
      <c r="D72" s="6"/>
      <c r="E72" s="36"/>
    </row>
    <row r="73" spans="3:5" x14ac:dyDescent="0.2">
      <c r="C73" s="36"/>
      <c r="D73" s="6"/>
      <c r="E73" s="36"/>
    </row>
    <row r="74" spans="3:5" x14ac:dyDescent="0.2">
      <c r="C74" s="36"/>
      <c r="D74" s="6"/>
      <c r="E74" s="36"/>
    </row>
    <row r="75" spans="3:5" x14ac:dyDescent="0.2">
      <c r="C75" s="36"/>
      <c r="D75" s="32" t="s">
        <v>6</v>
      </c>
      <c r="E75" s="36"/>
    </row>
    <row r="76" spans="3:5" x14ac:dyDescent="0.2">
      <c r="C76" s="36"/>
      <c r="D76" s="99" t="str">
        <f>IF(ProcenatZelenihPovrsina=0,"...",ProcenatZelenihPovrsina)</f>
        <v>...</v>
      </c>
      <c r="E76" s="36"/>
    </row>
    <row r="77" spans="3:5" x14ac:dyDescent="0.2">
      <c r="C77" s="36"/>
      <c r="D77" s="10" t="s">
        <v>80</v>
      </c>
      <c r="E77" s="36"/>
    </row>
    <row r="78" spans="3:5" x14ac:dyDescent="0.2">
      <c r="C78" s="36"/>
      <c r="D78" s="100" t="str">
        <f>IF(IndeksZauzetosti=0,"...",IndeksZauzetosti)</f>
        <v>...</v>
      </c>
      <c r="E78" s="36"/>
    </row>
    <row r="79" spans="3:5" x14ac:dyDescent="0.2">
      <c r="C79" s="36"/>
      <c r="D79" s="34" t="s">
        <v>81</v>
      </c>
      <c r="E79" s="36"/>
    </row>
    <row r="80" spans="3:5" x14ac:dyDescent="0.2">
      <c r="C80" s="36"/>
      <c r="D80" s="100" t="str">
        <f>IF(IndeksIzgradjenosti=0,"...",IndeksIzgradjenosti)</f>
        <v>...</v>
      </c>
      <c r="E80" s="36"/>
    </row>
    <row r="81" spans="3:5" x14ac:dyDescent="0.2">
      <c r="C81" s="36"/>
      <c r="D81" s="10" t="s">
        <v>82</v>
      </c>
      <c r="E81" s="36"/>
    </row>
    <row r="82" spans="3:5" x14ac:dyDescent="0.2">
      <c r="C82" s="36"/>
      <c r="D82" s="101" t="str">
        <f>IF(OR(UkupnaBruto=0,CenaPoM2=0),"...",UkupnaBruto*CenaPoM2)</f>
        <v>...</v>
      </c>
      <c r="E82" s="36"/>
    </row>
    <row r="83" spans="3:5" x14ac:dyDescent="0.2">
      <c r="C83" s="36"/>
      <c r="D83" s="13" t="s">
        <v>83</v>
      </c>
      <c r="E83" s="36"/>
    </row>
    <row r="84" spans="3:5" x14ac:dyDescent="0.2">
      <c r="C84" s="36"/>
      <c r="D84" s="6"/>
      <c r="E84" s="36"/>
    </row>
    <row r="85" spans="3:5" x14ac:dyDescent="0.2">
      <c r="C85" s="14"/>
      <c r="D85" s="14"/>
      <c r="E85" s="14"/>
    </row>
    <row r="86" spans="3:5" x14ac:dyDescent="0.2">
      <c r="E86" s="35"/>
    </row>
  </sheetData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rowBreaks count="4" manualBreakCount="4">
    <brk id="24" max="16383" man="1"/>
    <brk id="34" max="16383" man="1"/>
    <brk id="60" max="16383" man="1"/>
    <brk id="72" max="16383" man="1"/>
  </rowBreaks>
  <drawing r:id="rId2"/>
  <legacyDrawingHF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C1:E192"/>
  <sheetViews>
    <sheetView showGridLines="0" zoomScaleNormal="100" workbookViewId="0">
      <pane ySplit="1" topLeftCell="A68" activePane="bottomLeft" state="frozen"/>
      <selection pane="bottomLeft" activeCell="A2" sqref="A2"/>
    </sheetView>
  </sheetViews>
  <sheetFormatPr defaultRowHeight="15" x14ac:dyDescent="0.2"/>
  <cols>
    <col min="1" max="3" width="2.21875" style="37" customWidth="1"/>
    <col min="4" max="4" width="69.77734375" style="37" customWidth="1"/>
    <col min="5" max="183" width="2.21875" style="37" customWidth="1"/>
    <col min="184" max="16384" width="8.88671875" style="37"/>
  </cols>
  <sheetData>
    <row r="1" spans="3:5" s="46" customFormat="1" ht="30" customHeight="1" thickBot="1" x14ac:dyDescent="0.25"/>
    <row r="2" spans="3:5" ht="15.75" thickTop="1" x14ac:dyDescent="0.2"/>
    <row r="4" spans="3:5" ht="15.75" customHeight="1" x14ac:dyDescent="0.2"/>
    <row r="6" spans="3:5" x14ac:dyDescent="0.2">
      <c r="C6" s="48"/>
      <c r="D6" s="48"/>
      <c r="E6" s="48"/>
    </row>
    <row r="7" spans="3:5" x14ac:dyDescent="0.2">
      <c r="C7" s="36"/>
      <c r="D7" s="49"/>
      <c r="E7" s="49"/>
    </row>
    <row r="8" spans="3:5" x14ac:dyDescent="0.2">
      <c r="C8" s="36"/>
      <c r="D8" s="39"/>
      <c r="E8" s="38"/>
    </row>
    <row r="9" spans="3:5" x14ac:dyDescent="0.2">
      <c r="C9" s="36"/>
      <c r="D9" s="39"/>
      <c r="E9" s="36"/>
    </row>
    <row r="10" spans="3:5" ht="31.5" x14ac:dyDescent="0.25">
      <c r="C10" s="36"/>
      <c r="D10" s="40" t="s">
        <v>85</v>
      </c>
      <c r="E10" s="36"/>
    </row>
    <row r="11" spans="3:5" x14ac:dyDescent="0.2">
      <c r="C11" s="36"/>
      <c r="D11" s="39"/>
      <c r="E11" s="36"/>
    </row>
    <row r="12" spans="3:5" x14ac:dyDescent="0.2">
      <c r="C12" s="36"/>
      <c r="D12" s="39"/>
      <c r="E12" s="36"/>
    </row>
    <row r="13" spans="3:5" x14ac:dyDescent="0.2">
      <c r="C13" s="36"/>
      <c r="D13" s="39"/>
      <c r="E13" s="38"/>
    </row>
    <row r="14" spans="3:5" x14ac:dyDescent="0.2">
      <c r="C14" s="36"/>
      <c r="D14" s="39"/>
      <c r="E14" s="38"/>
    </row>
    <row r="15" spans="3:5" ht="15.75" x14ac:dyDescent="0.25">
      <c r="C15" s="36"/>
      <c r="D15" s="41" t="s">
        <v>86</v>
      </c>
      <c r="E15" s="38"/>
    </row>
    <row r="16" spans="3:5" x14ac:dyDescent="0.2">
      <c r="C16" s="36"/>
      <c r="D16" s="39"/>
      <c r="E16" s="38"/>
    </row>
    <row r="17" spans="3:5" x14ac:dyDescent="0.2">
      <c r="C17" s="36"/>
      <c r="D17" s="39" t="str">
        <f>IF(OR(InvestitorIzKonteksta=0,ObjekatIzKonteksta=0),"...","Na zahtev investitora "&amp;InvestitorIzKonteksta&amp;" izraditi snimak izvedenog stanja koji je deo "&amp;IF(InvestitorovaDokumentacija,"Izveštaja zatečenog stanja","Izveštaja zatečenog stanja sa elaboratom geodetskih radova")&amp;" za izvedenu "&amp;[0]!ObjekatIzKonteksta&amp;".")</f>
        <v>...</v>
      </c>
      <c r="E17" s="38"/>
    </row>
    <row r="18" spans="3:5" x14ac:dyDescent="0.2">
      <c r="C18" s="36"/>
      <c r="D18" s="39"/>
      <c r="E18" s="38"/>
    </row>
    <row r="19" spans="3:5" x14ac:dyDescent="0.2">
      <c r="C19" s="36"/>
      <c r="D19" s="39"/>
      <c r="E19" s="38"/>
    </row>
    <row r="20" spans="3:5" x14ac:dyDescent="0.2">
      <c r="C20" s="36"/>
      <c r="D20" s="39"/>
      <c r="E20" s="38"/>
    </row>
    <row r="21" spans="3:5" ht="15.75" x14ac:dyDescent="0.25">
      <c r="C21" s="36"/>
      <c r="D21" s="41" t="s">
        <v>87</v>
      </c>
      <c r="E21" s="38"/>
    </row>
    <row r="22" spans="3:5" x14ac:dyDescent="0.2">
      <c r="C22" s="36"/>
      <c r="D22" s="39"/>
      <c r="E22" s="38"/>
    </row>
    <row r="23" spans="3:5" x14ac:dyDescent="0.2">
      <c r="C23" s="36"/>
      <c r="D23" s="39" t="s">
        <v>88</v>
      </c>
      <c r="E23" s="38"/>
    </row>
    <row r="24" spans="3:5" x14ac:dyDescent="0.2">
      <c r="C24" s="36"/>
      <c r="D24" s="39"/>
      <c r="E24" s="38"/>
    </row>
    <row r="25" spans="3:5" x14ac:dyDescent="0.2">
      <c r="C25" s="36"/>
      <c r="D25" s="39" t="s">
        <v>89</v>
      </c>
      <c r="E25" s="38"/>
    </row>
    <row r="26" spans="3:5" x14ac:dyDescent="0.2">
      <c r="C26" s="36"/>
      <c r="D26" s="39"/>
      <c r="E26" s="38"/>
    </row>
    <row r="27" spans="3:5" ht="60" x14ac:dyDescent="0.2">
      <c r="C27" s="36"/>
      <c r="D27" s="39" t="s">
        <v>90</v>
      </c>
      <c r="E27" s="38"/>
    </row>
    <row r="28" spans="3:5" x14ac:dyDescent="0.2">
      <c r="C28" s="36"/>
      <c r="D28" s="39"/>
      <c r="E28" s="38"/>
    </row>
    <row r="29" spans="3:5" ht="30" x14ac:dyDescent="0.2">
      <c r="C29" s="36"/>
      <c r="D29" s="39" t="s">
        <v>91</v>
      </c>
      <c r="E29" s="38"/>
    </row>
    <row r="30" spans="3:5" x14ac:dyDescent="0.2">
      <c r="C30" s="36"/>
      <c r="D30" s="39"/>
      <c r="E30" s="38"/>
    </row>
    <row r="31" spans="3:5" ht="90" x14ac:dyDescent="0.2">
      <c r="C31" s="36"/>
      <c r="D31" s="39" t="s">
        <v>92</v>
      </c>
      <c r="E31" s="38"/>
    </row>
    <row r="32" spans="3:5" x14ac:dyDescent="0.2">
      <c r="C32" s="36"/>
      <c r="D32" s="39"/>
      <c r="E32" s="38"/>
    </row>
    <row r="33" spans="3:5" ht="30" x14ac:dyDescent="0.2">
      <c r="C33" s="36"/>
      <c r="D33" s="39" t="s">
        <v>93</v>
      </c>
      <c r="E33" s="38"/>
    </row>
    <row r="34" spans="3:5" x14ac:dyDescent="0.2">
      <c r="C34" s="36"/>
      <c r="D34" s="39"/>
      <c r="E34" s="38"/>
    </row>
    <row r="35" spans="3:5" ht="30" x14ac:dyDescent="0.2">
      <c r="C35" s="36"/>
      <c r="D35" s="39" t="s">
        <v>94</v>
      </c>
      <c r="E35" s="38"/>
    </row>
    <row r="36" spans="3:5" x14ac:dyDescent="0.2">
      <c r="C36" s="36"/>
      <c r="D36" s="39"/>
      <c r="E36" s="38"/>
    </row>
    <row r="37" spans="3:5" x14ac:dyDescent="0.2">
      <c r="C37" s="36"/>
      <c r="D37" s="39"/>
      <c r="E37" s="38"/>
    </row>
    <row r="38" spans="3:5" x14ac:dyDescent="0.2">
      <c r="C38" s="36"/>
      <c r="D38" s="39"/>
      <c r="E38" s="38"/>
    </row>
    <row r="39" spans="3:5" ht="15.75" x14ac:dyDescent="0.25">
      <c r="C39" s="36"/>
      <c r="D39" s="41" t="s">
        <v>95</v>
      </c>
      <c r="E39" s="38"/>
    </row>
    <row r="40" spans="3:5" x14ac:dyDescent="0.2">
      <c r="C40" s="36"/>
      <c r="D40" s="39"/>
      <c r="E40" s="38"/>
    </row>
    <row r="41" spans="3:5" ht="90" x14ac:dyDescent="0.2">
      <c r="C41" s="36"/>
      <c r="D41" s="39" t="s">
        <v>96</v>
      </c>
      <c r="E41" s="38"/>
    </row>
    <row r="42" spans="3:5" x14ac:dyDescent="0.2">
      <c r="C42" s="36"/>
      <c r="D42" s="39"/>
      <c r="E42" s="38"/>
    </row>
    <row r="43" spans="3:5" ht="30" x14ac:dyDescent="0.2">
      <c r="C43" s="36"/>
      <c r="D43" s="39" t="s">
        <v>97</v>
      </c>
      <c r="E43" s="38"/>
    </row>
    <row r="44" spans="3:5" x14ac:dyDescent="0.2">
      <c r="C44" s="36"/>
      <c r="D44" s="39"/>
      <c r="E44" s="38"/>
    </row>
    <row r="45" spans="3:5" ht="30" x14ac:dyDescent="0.2">
      <c r="C45" s="36"/>
      <c r="D45" s="39" t="s">
        <v>98</v>
      </c>
      <c r="E45" s="38"/>
    </row>
    <row r="46" spans="3:5" x14ac:dyDescent="0.2">
      <c r="C46" s="36"/>
      <c r="D46" s="39"/>
      <c r="E46" s="38"/>
    </row>
    <row r="47" spans="3:5" ht="45" x14ac:dyDescent="0.2">
      <c r="C47" s="36"/>
      <c r="D47" s="39" t="s">
        <v>99</v>
      </c>
      <c r="E47" s="38"/>
    </row>
    <row r="48" spans="3:5" x14ac:dyDescent="0.2">
      <c r="C48" s="36"/>
      <c r="D48" s="39"/>
      <c r="E48" s="38"/>
    </row>
    <row r="49" spans="3:5" ht="30" x14ac:dyDescent="0.2">
      <c r="C49" s="36"/>
      <c r="D49" s="39" t="s">
        <v>100</v>
      </c>
      <c r="E49" s="38"/>
    </row>
    <row r="50" spans="3:5" x14ac:dyDescent="0.2">
      <c r="C50" s="36"/>
      <c r="D50" s="39"/>
      <c r="E50" s="38"/>
    </row>
    <row r="51" spans="3:5" ht="45" x14ac:dyDescent="0.2">
      <c r="C51" s="36"/>
      <c r="D51" s="39" t="s">
        <v>101</v>
      </c>
      <c r="E51" s="38"/>
    </row>
    <row r="52" spans="3:5" x14ac:dyDescent="0.2">
      <c r="C52" s="36"/>
      <c r="D52" s="39"/>
      <c r="E52" s="38"/>
    </row>
    <row r="53" spans="3:5" x14ac:dyDescent="0.2">
      <c r="C53" s="36"/>
      <c r="D53" s="39"/>
      <c r="E53" s="38"/>
    </row>
    <row r="54" spans="3:5" x14ac:dyDescent="0.2">
      <c r="C54" s="36"/>
      <c r="D54" s="39"/>
      <c r="E54" s="38"/>
    </row>
    <row r="55" spans="3:5" ht="15.75" x14ac:dyDescent="0.25">
      <c r="C55" s="36"/>
      <c r="D55" s="41" t="s">
        <v>102</v>
      </c>
      <c r="E55" s="38"/>
    </row>
    <row r="56" spans="3:5" x14ac:dyDescent="0.2">
      <c r="C56" s="36"/>
      <c r="D56" s="39"/>
      <c r="E56" s="38"/>
    </row>
    <row r="57" spans="3:5" ht="60" x14ac:dyDescent="0.2">
      <c r="C57" s="36"/>
      <c r="D57" s="39" t="s">
        <v>103</v>
      </c>
      <c r="E57" s="38"/>
    </row>
    <row r="58" spans="3:5" x14ac:dyDescent="0.2">
      <c r="C58" s="36"/>
      <c r="D58" s="39"/>
      <c r="E58" s="38"/>
    </row>
    <row r="59" spans="3:5" ht="75" x14ac:dyDescent="0.2">
      <c r="C59" s="36"/>
      <c r="D59" s="39" t="s">
        <v>104</v>
      </c>
      <c r="E59" s="38"/>
    </row>
    <row r="60" spans="3:5" x14ac:dyDescent="0.2">
      <c r="C60" s="36"/>
      <c r="D60" s="39"/>
      <c r="E60" s="38"/>
    </row>
    <row r="61" spans="3:5" ht="45" x14ac:dyDescent="0.2">
      <c r="C61" s="36"/>
      <c r="D61" s="39" t="s">
        <v>105</v>
      </c>
      <c r="E61" s="38"/>
    </row>
    <row r="62" spans="3:5" x14ac:dyDescent="0.2">
      <c r="C62" s="36"/>
      <c r="D62" s="39"/>
      <c r="E62" s="38"/>
    </row>
    <row r="63" spans="3:5" x14ac:dyDescent="0.2">
      <c r="C63" s="36"/>
      <c r="D63" s="39"/>
      <c r="E63" s="38"/>
    </row>
    <row r="64" spans="3:5" x14ac:dyDescent="0.2">
      <c r="C64" s="36"/>
      <c r="D64" s="39"/>
      <c r="E64" s="38"/>
    </row>
    <row r="65" spans="3:5" ht="15.75" x14ac:dyDescent="0.25">
      <c r="C65" s="36"/>
      <c r="D65" s="41" t="s">
        <v>115</v>
      </c>
      <c r="E65" s="38"/>
    </row>
    <row r="66" spans="3:5" x14ac:dyDescent="0.2">
      <c r="C66" s="36"/>
      <c r="D66" s="39"/>
      <c r="E66" s="38"/>
    </row>
    <row r="67" spans="3:5" ht="30" x14ac:dyDescent="0.2">
      <c r="C67" s="36"/>
      <c r="D67" s="39" t="s">
        <v>106</v>
      </c>
      <c r="E67" s="38"/>
    </row>
    <row r="68" spans="3:5" x14ac:dyDescent="0.2">
      <c r="C68" s="36"/>
      <c r="D68" s="39"/>
      <c r="E68" s="38"/>
    </row>
    <row r="69" spans="3:5" ht="45" x14ac:dyDescent="0.2">
      <c r="C69" s="36"/>
      <c r="D69" s="39" t="s">
        <v>107</v>
      </c>
      <c r="E69" s="38"/>
    </row>
    <row r="70" spans="3:5" x14ac:dyDescent="0.2">
      <c r="C70" s="36"/>
      <c r="D70" s="39"/>
      <c r="E70" s="38"/>
    </row>
    <row r="71" spans="3:5" ht="15.75" x14ac:dyDescent="0.25">
      <c r="C71" s="36"/>
      <c r="D71" s="41" t="s">
        <v>108</v>
      </c>
      <c r="E71" s="38"/>
    </row>
    <row r="72" spans="3:5" x14ac:dyDescent="0.2">
      <c r="C72" s="36"/>
      <c r="D72" s="39"/>
      <c r="E72" s="38"/>
    </row>
    <row r="73" spans="3:5" x14ac:dyDescent="0.2">
      <c r="C73" s="36"/>
      <c r="D73" s="39" t="s">
        <v>109</v>
      </c>
      <c r="E73" s="38"/>
    </row>
    <row r="74" spans="3:5" x14ac:dyDescent="0.2">
      <c r="C74" s="36"/>
      <c r="D74" s="39"/>
      <c r="E74" s="38"/>
    </row>
    <row r="75" spans="3:5" x14ac:dyDescent="0.2">
      <c r="C75" s="36"/>
      <c r="D75" s="39" t="s">
        <v>110</v>
      </c>
      <c r="E75" s="38"/>
    </row>
    <row r="76" spans="3:5" x14ac:dyDescent="0.2">
      <c r="C76" s="36"/>
      <c r="D76" s="39"/>
      <c r="E76" s="38"/>
    </row>
    <row r="77" spans="3:5" ht="30" x14ac:dyDescent="0.2">
      <c r="C77" s="36"/>
      <c r="D77" s="39" t="s">
        <v>111</v>
      </c>
      <c r="E77" s="38"/>
    </row>
    <row r="78" spans="3:5" x14ac:dyDescent="0.2">
      <c r="C78" s="36"/>
      <c r="D78" s="39"/>
      <c r="E78" s="38"/>
    </row>
    <row r="79" spans="3:5" x14ac:dyDescent="0.2">
      <c r="C79" s="36"/>
      <c r="D79" s="39" t="s">
        <v>112</v>
      </c>
      <c r="E79" s="38"/>
    </row>
    <row r="80" spans="3:5" x14ac:dyDescent="0.2">
      <c r="C80" s="36"/>
      <c r="D80" s="39"/>
      <c r="E80" s="38"/>
    </row>
    <row r="81" spans="3:5" ht="30" x14ac:dyDescent="0.2">
      <c r="C81" s="36"/>
      <c r="D81" s="39" t="s">
        <v>113</v>
      </c>
      <c r="E81" s="38"/>
    </row>
    <row r="82" spans="3:5" x14ac:dyDescent="0.2">
      <c r="C82" s="36"/>
      <c r="D82" s="39"/>
      <c r="E82" s="38"/>
    </row>
    <row r="83" spans="3:5" x14ac:dyDescent="0.2">
      <c r="C83" s="36"/>
      <c r="D83" s="39"/>
      <c r="E83" s="38"/>
    </row>
    <row r="84" spans="3:5" x14ac:dyDescent="0.2">
      <c r="C84" s="36"/>
      <c r="D84" s="39"/>
      <c r="E84" s="38"/>
    </row>
    <row r="85" spans="3:5" ht="15.75" x14ac:dyDescent="0.25">
      <c r="C85" s="36"/>
      <c r="D85" s="41" t="s">
        <v>114</v>
      </c>
      <c r="E85" s="38"/>
    </row>
    <row r="86" spans="3:5" x14ac:dyDescent="0.2">
      <c r="C86" s="36"/>
      <c r="D86" s="39"/>
      <c r="E86" s="38"/>
    </row>
    <row r="87" spans="3:5" x14ac:dyDescent="0.2">
      <c r="C87" s="36"/>
      <c r="D87" s="39" t="str">
        <f>IF(ObjekatIzKonteksta=0,"...","Predlaže se izdavanje rešenja o ozakonjenju za izvedenu "&amp;ObjekatIzKonteksta&amp;".")</f>
        <v>...</v>
      </c>
      <c r="E87" s="38"/>
    </row>
    <row r="88" spans="3:5" x14ac:dyDescent="0.2">
      <c r="C88" s="36"/>
      <c r="D88" s="39"/>
      <c r="E88" s="38"/>
    </row>
    <row r="89" spans="3:5" x14ac:dyDescent="0.2">
      <c r="C89" s="36"/>
      <c r="D89" s="42"/>
      <c r="E89" s="38"/>
    </row>
    <row r="90" spans="3:5" x14ac:dyDescent="0.2">
      <c r="C90" s="36"/>
      <c r="D90" s="12" t="str">
        <f>IF(ProjektnaOrganizacija=0,"...",ProjektnaOrganizacija)</f>
        <v>...</v>
      </c>
      <c r="E90" s="36"/>
    </row>
    <row r="91" spans="3:5" x14ac:dyDescent="0.2">
      <c r="C91" s="36"/>
      <c r="D91" s="10" t="s">
        <v>10</v>
      </c>
      <c r="E91" s="36"/>
    </row>
    <row r="92" spans="3:5" x14ac:dyDescent="0.2">
      <c r="C92" s="36"/>
      <c r="D92" s="43"/>
      <c r="E92" s="36"/>
    </row>
    <row r="93" spans="3:5" x14ac:dyDescent="0.2">
      <c r="C93" s="36"/>
      <c r="D93" s="43"/>
      <c r="E93" s="36"/>
    </row>
    <row r="94" spans="3:5" x14ac:dyDescent="0.2">
      <c r="C94" s="36"/>
      <c r="D94" s="43"/>
      <c r="E94" s="36"/>
    </row>
    <row r="95" spans="3:5" x14ac:dyDescent="0.2">
      <c r="C95" s="36"/>
      <c r="D95" s="43"/>
      <c r="E95" s="36"/>
    </row>
    <row r="96" spans="3:5" x14ac:dyDescent="0.2">
      <c r="C96" s="36"/>
      <c r="D96" s="43"/>
      <c r="E96" s="36"/>
    </row>
    <row r="97" spans="3:5" x14ac:dyDescent="0.2">
      <c r="C97" s="36"/>
      <c r="D97" s="39" t="str">
        <f>IF(OdgovorniProjektant=0,"...",OdgovorniProjektant)</f>
        <v>...</v>
      </c>
      <c r="E97" s="36"/>
    </row>
    <row r="98" spans="3:5" x14ac:dyDescent="0.2">
      <c r="C98" s="36"/>
      <c r="D98" s="44" t="s">
        <v>12</v>
      </c>
      <c r="E98" s="36"/>
    </row>
    <row r="99" spans="3:5" x14ac:dyDescent="0.2">
      <c r="C99" s="36"/>
      <c r="D99" s="45"/>
      <c r="E99" s="38"/>
    </row>
    <row r="100" spans="3:5" x14ac:dyDescent="0.2">
      <c r="C100" s="47"/>
      <c r="D100" s="47"/>
      <c r="E100" s="47"/>
    </row>
    <row r="171" ht="15.75" customHeight="1" x14ac:dyDescent="0.2"/>
    <row r="192" ht="15" customHeight="1" x14ac:dyDescent="0.2"/>
  </sheetData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rowBreaks count="5" manualBreakCount="5">
    <brk id="18" max="16383" man="1"/>
    <brk id="36" max="16383" man="1"/>
    <brk id="52" max="16383" man="1"/>
    <brk id="62" max="16383" man="1"/>
    <brk id="82" max="16383" man="1"/>
  </rowBreaks>
  <drawing r:id="rId2"/>
  <legacyDrawingHF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C1:E126"/>
  <sheetViews>
    <sheetView showGridLine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3" width="2.21875" style="37" customWidth="1"/>
    <col min="4" max="4" width="69.77734375" style="37" customWidth="1"/>
    <col min="5" max="183" width="2.21875" style="37" customWidth="1"/>
    <col min="184" max="16384" width="8.88671875" style="37"/>
  </cols>
  <sheetData>
    <row r="1" spans="3:5" s="46" customFormat="1" ht="30" customHeight="1" thickBot="1" x14ac:dyDescent="0.25"/>
    <row r="2" spans="3:5" ht="15.75" thickTop="1" x14ac:dyDescent="0.2"/>
    <row r="4" spans="3:5" ht="15.75" customHeight="1" x14ac:dyDescent="0.2"/>
    <row r="6" spans="3:5" x14ac:dyDescent="0.2">
      <c r="C6" s="93"/>
      <c r="D6" s="48"/>
      <c r="E6" s="48"/>
    </row>
    <row r="7" spans="3:5" x14ac:dyDescent="0.2">
      <c r="C7" s="36"/>
      <c r="D7" s="49"/>
      <c r="E7" s="38"/>
    </row>
    <row r="8" spans="3:5" x14ac:dyDescent="0.2">
      <c r="C8" s="36"/>
      <c r="D8" s="39"/>
      <c r="E8" s="38"/>
    </row>
    <row r="9" spans="3:5" x14ac:dyDescent="0.2">
      <c r="C9" s="36"/>
      <c r="D9" s="39"/>
      <c r="E9" s="36"/>
    </row>
    <row r="10" spans="3:5" ht="15.75" x14ac:dyDescent="0.25">
      <c r="C10" s="36"/>
      <c r="D10" s="90" t="s">
        <v>173</v>
      </c>
      <c r="E10" s="36"/>
    </row>
    <row r="11" spans="3:5" x14ac:dyDescent="0.2">
      <c r="C11" s="36"/>
      <c r="D11" s="39"/>
      <c r="E11" s="36"/>
    </row>
    <row r="12" spans="3:5" x14ac:dyDescent="0.2">
      <c r="C12" s="36"/>
      <c r="D12" s="39"/>
      <c r="E12" s="36"/>
    </row>
    <row r="13" spans="3:5" x14ac:dyDescent="0.2">
      <c r="C13" s="36"/>
      <c r="D13" s="39"/>
      <c r="E13" s="36"/>
    </row>
    <row r="14" spans="3:5" ht="60" x14ac:dyDescent="0.2">
      <c r="C14" s="36"/>
      <c r="D14" s="183" t="s">
        <v>174</v>
      </c>
      <c r="E14" s="36"/>
    </row>
    <row r="15" spans="3:5" x14ac:dyDescent="0.2">
      <c r="C15" s="36"/>
      <c r="D15" s="39"/>
      <c r="E15" s="36"/>
    </row>
    <row r="16" spans="3:5" ht="45" x14ac:dyDescent="0.2">
      <c r="C16" s="36"/>
      <c r="D16" s="183" t="s">
        <v>175</v>
      </c>
      <c r="E16" s="36"/>
    </row>
    <row r="17" spans="3:5" x14ac:dyDescent="0.2">
      <c r="C17" s="36"/>
      <c r="D17" s="39"/>
      <c r="E17" s="36"/>
    </row>
    <row r="18" spans="3:5" ht="30" x14ac:dyDescent="0.2">
      <c r="C18" s="36"/>
      <c r="D18" s="183" t="s">
        <v>176</v>
      </c>
      <c r="E18" s="36"/>
    </row>
    <row r="19" spans="3:5" x14ac:dyDescent="0.2">
      <c r="C19" s="36"/>
      <c r="D19" s="39"/>
      <c r="E19" s="36"/>
    </row>
    <row r="20" spans="3:5" ht="45" x14ac:dyDescent="0.2">
      <c r="C20" s="36"/>
      <c r="D20" s="183" t="s">
        <v>177</v>
      </c>
      <c r="E20" s="36"/>
    </row>
    <row r="21" spans="3:5" x14ac:dyDescent="0.2">
      <c r="C21" s="36"/>
      <c r="D21" s="39"/>
      <c r="E21" s="36"/>
    </row>
    <row r="22" spans="3:5" x14ac:dyDescent="0.2">
      <c r="C22" s="36"/>
      <c r="D22" s="39"/>
      <c r="E22" s="36"/>
    </row>
    <row r="23" spans="3:5" x14ac:dyDescent="0.2">
      <c r="C23" s="36"/>
      <c r="D23" s="42"/>
      <c r="E23" s="38"/>
    </row>
    <row r="24" spans="3:5" x14ac:dyDescent="0.2">
      <c r="C24" s="36"/>
      <c r="D24" s="12" t="str">
        <f>IF(ProjektnaOrganizacija=0,"...",ProjektnaOrganizacija)</f>
        <v>...</v>
      </c>
      <c r="E24" s="36"/>
    </row>
    <row r="25" spans="3:5" x14ac:dyDescent="0.2">
      <c r="C25" s="36"/>
      <c r="D25" s="10" t="s">
        <v>10</v>
      </c>
      <c r="E25" s="36"/>
    </row>
    <row r="26" spans="3:5" x14ac:dyDescent="0.2">
      <c r="C26" s="36"/>
      <c r="D26" s="43"/>
      <c r="E26" s="36"/>
    </row>
    <row r="27" spans="3:5" x14ac:dyDescent="0.2">
      <c r="C27" s="36"/>
      <c r="D27" s="43"/>
      <c r="E27" s="36"/>
    </row>
    <row r="28" spans="3:5" x14ac:dyDescent="0.2">
      <c r="C28" s="36"/>
      <c r="D28" s="43"/>
      <c r="E28" s="36"/>
    </row>
    <row r="29" spans="3:5" x14ac:dyDescent="0.2">
      <c r="C29" s="36"/>
      <c r="D29" s="43"/>
      <c r="E29" s="36"/>
    </row>
    <row r="30" spans="3:5" x14ac:dyDescent="0.2">
      <c r="C30" s="36"/>
      <c r="D30" s="43"/>
      <c r="E30" s="36"/>
    </row>
    <row r="31" spans="3:5" x14ac:dyDescent="0.2">
      <c r="C31" s="36"/>
      <c r="D31" s="39" t="str">
        <f>IF(OdgovorniProjektant=0,"...",OdgovorniProjektant)</f>
        <v>...</v>
      </c>
      <c r="E31" s="36"/>
    </row>
    <row r="32" spans="3:5" x14ac:dyDescent="0.2">
      <c r="C32" s="36"/>
      <c r="D32" s="91" t="s">
        <v>12</v>
      </c>
      <c r="E32" s="36"/>
    </row>
    <row r="33" spans="3:5" x14ac:dyDescent="0.2">
      <c r="C33" s="36"/>
      <c r="D33" s="45"/>
      <c r="E33" s="38"/>
    </row>
    <row r="34" spans="3:5" x14ac:dyDescent="0.2">
      <c r="C34" s="50"/>
      <c r="D34" s="47"/>
      <c r="E34" s="47"/>
    </row>
    <row r="105" ht="15.75" customHeight="1" x14ac:dyDescent="0.2"/>
    <row r="126" ht="15" customHeight="1" x14ac:dyDescent="0.2"/>
  </sheetData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C1:E121"/>
  <sheetViews>
    <sheetView showGridLine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3" width="2.21875" style="19" customWidth="1"/>
    <col min="4" max="4" width="69.77734375" style="19" customWidth="1"/>
    <col min="5" max="187" width="2.21875" style="19" customWidth="1"/>
    <col min="188" max="16384" width="8.88671875" style="19"/>
  </cols>
  <sheetData>
    <row r="1" spans="3:5" s="18" customFormat="1" ht="30" customHeight="1" thickBot="1" x14ac:dyDescent="0.25">
      <c r="C1" s="197"/>
      <c r="D1" s="197"/>
      <c r="E1" s="197"/>
    </row>
    <row r="2" spans="3:5" ht="15.75" thickTop="1" x14ac:dyDescent="0.2"/>
    <row r="6" spans="3:5" x14ac:dyDescent="0.2">
      <c r="C6" s="3"/>
      <c r="D6" s="3"/>
      <c r="E6" s="3"/>
    </row>
    <row r="7" spans="3:5" x14ac:dyDescent="0.2">
      <c r="C7" s="5"/>
      <c r="D7" s="4"/>
      <c r="E7" s="5"/>
    </row>
    <row r="8" spans="3:5" x14ac:dyDescent="0.2">
      <c r="C8" s="5"/>
      <c r="D8" s="200" t="s">
        <v>55</v>
      </c>
      <c r="E8" s="5"/>
    </row>
    <row r="9" spans="3:5" x14ac:dyDescent="0.2">
      <c r="C9" s="5"/>
      <c r="D9" s="201"/>
      <c r="E9" s="5"/>
    </row>
    <row r="10" spans="3:5" x14ac:dyDescent="0.2">
      <c r="C10" s="5"/>
      <c r="D10" s="201"/>
      <c r="E10" s="5"/>
    </row>
    <row r="11" spans="3:5" x14ac:dyDescent="0.2">
      <c r="C11" s="5"/>
      <c r="D11" s="201"/>
      <c r="E11" s="5"/>
    </row>
    <row r="12" spans="3:5" x14ac:dyDescent="0.2">
      <c r="C12" s="5"/>
      <c r="D12" s="201"/>
      <c r="E12" s="5"/>
    </row>
    <row r="13" spans="3:5" x14ac:dyDescent="0.2">
      <c r="C13" s="5"/>
      <c r="D13" s="201"/>
      <c r="E13" s="5"/>
    </row>
    <row r="14" spans="3:5" x14ac:dyDescent="0.2">
      <c r="C14" s="5"/>
      <c r="D14" s="201"/>
      <c r="E14" s="5"/>
    </row>
    <row r="15" spans="3:5" x14ac:dyDescent="0.2">
      <c r="C15" s="5"/>
      <c r="D15" s="201"/>
      <c r="E15" s="5"/>
    </row>
    <row r="16" spans="3:5" x14ac:dyDescent="0.2">
      <c r="C16" s="5"/>
      <c r="D16" s="201"/>
      <c r="E16" s="5"/>
    </row>
    <row r="17" spans="3:5" x14ac:dyDescent="0.2">
      <c r="C17" s="5"/>
      <c r="D17" s="201"/>
      <c r="E17" s="5"/>
    </row>
    <row r="18" spans="3:5" x14ac:dyDescent="0.2">
      <c r="C18" s="5"/>
      <c r="D18" s="201"/>
      <c r="E18" s="5"/>
    </row>
    <row r="19" spans="3:5" x14ac:dyDescent="0.2">
      <c r="C19" s="5"/>
      <c r="D19" s="201"/>
      <c r="E19" s="5"/>
    </row>
    <row r="20" spans="3:5" x14ac:dyDescent="0.2">
      <c r="C20" s="5"/>
      <c r="D20" s="201"/>
      <c r="E20" s="5"/>
    </row>
    <row r="21" spans="3:5" x14ac:dyDescent="0.2">
      <c r="C21" s="5"/>
      <c r="D21" s="201"/>
      <c r="E21" s="5"/>
    </row>
    <row r="22" spans="3:5" x14ac:dyDescent="0.2">
      <c r="C22" s="5"/>
      <c r="D22" s="201"/>
      <c r="E22" s="5"/>
    </row>
    <row r="23" spans="3:5" x14ac:dyDescent="0.2">
      <c r="C23" s="5"/>
      <c r="D23" s="201"/>
      <c r="E23" s="5"/>
    </row>
    <row r="24" spans="3:5" x14ac:dyDescent="0.2">
      <c r="C24" s="5"/>
      <c r="D24" s="201"/>
      <c r="E24" s="5"/>
    </row>
    <row r="25" spans="3:5" x14ac:dyDescent="0.2">
      <c r="C25" s="5"/>
      <c r="D25" s="201"/>
      <c r="E25" s="5"/>
    </row>
    <row r="26" spans="3:5" x14ac:dyDescent="0.2">
      <c r="C26" s="5"/>
      <c r="D26" s="201"/>
      <c r="E26" s="5"/>
    </row>
    <row r="27" spans="3:5" x14ac:dyDescent="0.2">
      <c r="C27" s="5"/>
      <c r="D27" s="201"/>
      <c r="E27" s="5"/>
    </row>
    <row r="28" spans="3:5" x14ac:dyDescent="0.2">
      <c r="C28" s="5"/>
      <c r="D28" s="201"/>
      <c r="E28" s="5"/>
    </row>
    <row r="29" spans="3:5" x14ac:dyDescent="0.2">
      <c r="C29" s="5"/>
      <c r="D29" s="201"/>
      <c r="E29" s="5"/>
    </row>
    <row r="30" spans="3:5" x14ac:dyDescent="0.2">
      <c r="C30" s="5"/>
      <c r="D30" s="201"/>
      <c r="E30" s="5"/>
    </row>
    <row r="31" spans="3:5" x14ac:dyDescent="0.2">
      <c r="C31" s="5"/>
      <c r="D31" s="201"/>
      <c r="E31" s="5"/>
    </row>
    <row r="32" spans="3:5" x14ac:dyDescent="0.2">
      <c r="C32" s="5"/>
      <c r="D32" s="201"/>
      <c r="E32" s="5"/>
    </row>
    <row r="33" spans="3:5" x14ac:dyDescent="0.2">
      <c r="C33" s="5"/>
      <c r="D33" s="201"/>
      <c r="E33" s="5"/>
    </row>
    <row r="34" spans="3:5" x14ac:dyDescent="0.2">
      <c r="C34" s="5"/>
      <c r="D34" s="201"/>
      <c r="E34" s="5"/>
    </row>
    <row r="35" spans="3:5" x14ac:dyDescent="0.2">
      <c r="C35" s="5"/>
      <c r="D35" s="201"/>
      <c r="E35" s="5"/>
    </row>
    <row r="36" spans="3:5" x14ac:dyDescent="0.2">
      <c r="C36" s="5"/>
      <c r="D36" s="201"/>
      <c r="E36" s="5"/>
    </row>
    <row r="37" spans="3:5" x14ac:dyDescent="0.2">
      <c r="C37" s="5"/>
      <c r="D37" s="201"/>
      <c r="E37" s="5"/>
    </row>
    <row r="38" spans="3:5" x14ac:dyDescent="0.2">
      <c r="C38" s="5"/>
      <c r="D38" s="201"/>
      <c r="E38" s="5"/>
    </row>
    <row r="39" spans="3:5" x14ac:dyDescent="0.2">
      <c r="C39" s="5"/>
      <c r="D39" s="201"/>
      <c r="E39" s="5"/>
    </row>
    <row r="40" spans="3:5" x14ac:dyDescent="0.2">
      <c r="C40" s="5"/>
      <c r="D40" s="201"/>
      <c r="E40" s="5"/>
    </row>
    <row r="41" spans="3:5" x14ac:dyDescent="0.2">
      <c r="C41" s="5"/>
      <c r="D41" s="201"/>
      <c r="E41" s="5"/>
    </row>
    <row r="42" spans="3:5" x14ac:dyDescent="0.2">
      <c r="C42" s="5"/>
      <c r="D42" s="201"/>
      <c r="E42" s="5"/>
    </row>
    <row r="43" spans="3:5" x14ac:dyDescent="0.2">
      <c r="C43" s="5"/>
      <c r="D43" s="201"/>
      <c r="E43" s="5"/>
    </row>
    <row r="44" spans="3:5" x14ac:dyDescent="0.2">
      <c r="C44" s="5"/>
      <c r="D44" s="201"/>
      <c r="E44" s="5"/>
    </row>
    <row r="45" spans="3:5" x14ac:dyDescent="0.2">
      <c r="C45" s="5"/>
      <c r="D45" s="201"/>
      <c r="E45" s="5"/>
    </row>
    <row r="46" spans="3:5" x14ac:dyDescent="0.2">
      <c r="C46" s="5"/>
      <c r="D46" s="201"/>
      <c r="E46" s="5"/>
    </row>
    <row r="47" spans="3:5" x14ac:dyDescent="0.2">
      <c r="C47" s="5"/>
      <c r="D47" s="201"/>
      <c r="E47" s="5"/>
    </row>
    <row r="48" spans="3:5" x14ac:dyDescent="0.2">
      <c r="C48" s="5"/>
      <c r="D48" s="201"/>
      <c r="E48" s="5"/>
    </row>
    <row r="49" spans="3:5" x14ac:dyDescent="0.2">
      <c r="C49" s="5"/>
      <c r="D49" s="201"/>
      <c r="E49" s="5"/>
    </row>
    <row r="50" spans="3:5" x14ac:dyDescent="0.2">
      <c r="C50" s="5"/>
      <c r="D50" s="201"/>
      <c r="E50" s="5"/>
    </row>
    <row r="51" spans="3:5" x14ac:dyDescent="0.2">
      <c r="C51" s="5"/>
      <c r="D51" s="201"/>
      <c r="E51" s="5"/>
    </row>
    <row r="52" spans="3:5" x14ac:dyDescent="0.2">
      <c r="C52" s="5"/>
      <c r="D52" s="201"/>
      <c r="E52" s="5"/>
    </row>
    <row r="53" spans="3:5" x14ac:dyDescent="0.2">
      <c r="C53" s="14"/>
      <c r="D53" s="14"/>
      <c r="E53" s="14"/>
    </row>
    <row r="100" ht="15.75" customHeight="1" x14ac:dyDescent="0.2"/>
    <row r="121" ht="15" customHeight="1" x14ac:dyDescent="0.2"/>
  </sheetData>
  <mergeCells count="2">
    <mergeCell ref="C1:E1"/>
    <mergeCell ref="D8:D52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C1:F200"/>
  <sheetViews>
    <sheetView showGridLines="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3" width="2.21875" style="19" customWidth="1"/>
    <col min="4" max="4" width="55.44140625" style="19" customWidth="1"/>
    <col min="5" max="5" width="13.5546875" style="19" customWidth="1"/>
    <col min="6" max="187" width="2.21875" style="19" customWidth="1"/>
    <col min="188" max="16384" width="8.88671875" style="19"/>
  </cols>
  <sheetData>
    <row r="1" spans="3:6" s="18" customFormat="1" ht="30" customHeight="1" thickBot="1" x14ac:dyDescent="0.25">
      <c r="C1" s="203"/>
      <c r="D1" s="203"/>
      <c r="E1" s="203"/>
      <c r="F1" s="203"/>
    </row>
    <row r="2" spans="3:6" ht="15.75" thickTop="1" x14ac:dyDescent="0.2"/>
    <row r="6" spans="3:6" x14ac:dyDescent="0.2">
      <c r="C6" s="3"/>
      <c r="D6" s="3"/>
      <c r="E6" s="3"/>
      <c r="F6" s="73"/>
    </row>
    <row r="7" spans="3:6" x14ac:dyDescent="0.2">
      <c r="C7" s="36"/>
      <c r="D7" s="4"/>
      <c r="E7" s="4"/>
      <c r="F7" s="74"/>
    </row>
    <row r="8" spans="3:6" x14ac:dyDescent="0.2">
      <c r="C8" s="36"/>
      <c r="D8" s="6"/>
      <c r="E8" s="6"/>
      <c r="F8" s="74"/>
    </row>
    <row r="9" spans="3:6" x14ac:dyDescent="0.2">
      <c r="C9" s="36"/>
      <c r="D9" s="6"/>
      <c r="E9" s="6"/>
      <c r="F9" s="74"/>
    </row>
    <row r="10" spans="3:6" ht="15.75" x14ac:dyDescent="0.25">
      <c r="C10" s="36"/>
      <c r="D10" s="204" t="s">
        <v>180</v>
      </c>
      <c r="E10" s="204"/>
      <c r="F10" s="74"/>
    </row>
    <row r="11" spans="3:6" x14ac:dyDescent="0.2">
      <c r="C11" s="36"/>
      <c r="D11" s="6"/>
      <c r="E11" s="6"/>
      <c r="F11" s="74"/>
    </row>
    <row r="12" spans="3:6" x14ac:dyDescent="0.2">
      <c r="C12" s="36"/>
      <c r="D12" s="6"/>
      <c r="E12" s="6"/>
      <c r="F12" s="74"/>
    </row>
    <row r="13" spans="3:6" x14ac:dyDescent="0.2">
      <c r="C13" s="36"/>
      <c r="D13" s="6"/>
      <c r="E13" s="6"/>
      <c r="F13" s="74"/>
    </row>
    <row r="14" spans="3:6" x14ac:dyDescent="0.2">
      <c r="C14" s="36"/>
      <c r="D14" s="75"/>
      <c r="E14" s="76" t="s">
        <v>181</v>
      </c>
      <c r="F14" s="74"/>
    </row>
    <row r="15" spans="3:6" x14ac:dyDescent="0.2">
      <c r="C15" s="36"/>
      <c r="D15" s="79" t="str">
        <f>IF(EtazaPo=0,"/","Visina etaže podrum (Po):")</f>
        <v>/</v>
      </c>
      <c r="E15" s="80" t="str">
        <f>IF(EtazaPo=0,"/",IF(SpratnaVisninaPo=0,"...",SpratnaVisninaPo))</f>
        <v>/</v>
      </c>
      <c r="F15" s="74"/>
    </row>
    <row r="16" spans="3:6" x14ac:dyDescent="0.2">
      <c r="C16" s="36"/>
      <c r="D16" s="79" t="str">
        <f>IF(EtazaSu=0,"/","Visina etaže suterena (Su):")</f>
        <v>/</v>
      </c>
      <c r="E16" s="80" t="str">
        <f>IF(EtazaSu=0,"/",IF(SpratnaVisninaSu=0,"...",SpratnaVisninaSu))</f>
        <v>/</v>
      </c>
      <c r="F16" s="74"/>
    </row>
    <row r="17" spans="3:6" x14ac:dyDescent="0.2">
      <c r="C17" s="36"/>
      <c r="D17" s="79" t="str">
        <f>IF(EtazaPr=0,"/","Visina etaže prizemlja (Pr):")</f>
        <v>/</v>
      </c>
      <c r="E17" s="80" t="str">
        <f>IF(EtazaPr=0,"/",IF(SpratnaVisninaPr=0,"...",SpratnaVisninaPr))</f>
        <v>/</v>
      </c>
      <c r="F17" s="74"/>
    </row>
    <row r="18" spans="3:6" x14ac:dyDescent="0.2">
      <c r="C18" s="36"/>
      <c r="D18" s="79" t="str">
        <f>IF(EtazaS1=0,"/","Visina etaže prvog sprata (1):")</f>
        <v>/</v>
      </c>
      <c r="E18" s="80" t="str">
        <f>IF(EtazaS1=0,"/",IF(SpratnaVisninaS1=0,"...",SpratnaVisninaS1))</f>
        <v>/</v>
      </c>
      <c r="F18" s="74"/>
    </row>
    <row r="19" spans="3:6" x14ac:dyDescent="0.2">
      <c r="C19" s="36"/>
      <c r="D19" s="79" t="str">
        <f>IF(EtazaS2=0,"/","Visina etaže drugog sprata (2):")</f>
        <v>/</v>
      </c>
      <c r="E19" s="80" t="str">
        <f>IF(EtazaS2=0,"/",IF(SpratnaVisninaS2=0,"...",SpratnaVisninaS2))</f>
        <v>/</v>
      </c>
      <c r="F19" s="74"/>
    </row>
    <row r="20" spans="3:6" x14ac:dyDescent="0.2">
      <c r="C20" s="36"/>
      <c r="D20" s="79" t="str">
        <f>IF(EtazaS3=0,"/","Visina etaže trećeg sprata (3):")</f>
        <v>/</v>
      </c>
      <c r="E20" s="80" t="str">
        <f>IF(EtazaS3=0,"/",IF(SpratnaVisninaS3=0,"...",SpratnaVisninaS3))</f>
        <v>/</v>
      </c>
      <c r="F20" s="74"/>
    </row>
    <row r="21" spans="3:6" x14ac:dyDescent="0.2">
      <c r="C21" s="36"/>
      <c r="D21" s="79" t="str">
        <f>IF(EtazaS4=0,"/","Visina etaže četvrtog sprata (4):")</f>
        <v>/</v>
      </c>
      <c r="E21" s="80" t="str">
        <f>IF(EtazaS4=0,"/",IF(SpratnaVisninaS4=0,"...",SpratnaVisninaS4))</f>
        <v>/</v>
      </c>
      <c r="F21" s="74"/>
    </row>
    <row r="22" spans="3:6" x14ac:dyDescent="0.2">
      <c r="C22" s="36"/>
      <c r="D22" s="79" t="str">
        <f>IF(EtazaS5=0,"/","Visina etaže petog sprata (5):")</f>
        <v>/</v>
      </c>
      <c r="E22" s="80" t="str">
        <f>IF(EtazaS5=0,"/",IF(SpratnaVisninaS5=0,"...",SpratnaVisninaS5))</f>
        <v>/</v>
      </c>
      <c r="F22" s="74"/>
    </row>
    <row r="23" spans="3:6" x14ac:dyDescent="0.2">
      <c r="C23" s="36"/>
      <c r="D23" s="79" t="str">
        <f>IF(EtazaPk=0,"/","Visina etaže potkrovlja (Pk):")</f>
        <v>/</v>
      </c>
      <c r="E23" s="80" t="str">
        <f>IF(EtazaPk=0,"/",IF(SpratnaVisninaPk=0,"...",SpratnaVisninaPk))</f>
        <v>/</v>
      </c>
      <c r="F23" s="74"/>
    </row>
    <row r="24" spans="3:6" x14ac:dyDescent="0.2">
      <c r="C24" s="36"/>
      <c r="D24" s="81" t="s">
        <v>182</v>
      </c>
      <c r="E24" s="82" t="str">
        <f>IF(VisinaVenca=0,"...",VisinaVenca)</f>
        <v>...</v>
      </c>
      <c r="F24" s="74"/>
    </row>
    <row r="25" spans="3:6" x14ac:dyDescent="0.2">
      <c r="C25" s="36"/>
      <c r="D25" s="81" t="s">
        <v>183</v>
      </c>
      <c r="E25" s="82" t="str">
        <f>IF(VisinaSlemena=0,"...",VisinaSlemena)</f>
        <v>...</v>
      </c>
      <c r="F25" s="74"/>
    </row>
    <row r="26" spans="3:6" x14ac:dyDescent="0.2">
      <c r="C26" s="36"/>
      <c r="D26" s="6"/>
      <c r="E26" s="6"/>
      <c r="F26" s="74"/>
    </row>
    <row r="27" spans="3:6" x14ac:dyDescent="0.2">
      <c r="C27" s="36"/>
      <c r="D27" s="6"/>
      <c r="E27" s="6"/>
      <c r="F27" s="74"/>
    </row>
    <row r="28" spans="3:6" x14ac:dyDescent="0.2">
      <c r="C28" s="36"/>
      <c r="D28" s="85"/>
      <c r="E28" s="85"/>
      <c r="F28" s="74"/>
    </row>
    <row r="29" spans="3:6" x14ac:dyDescent="0.2">
      <c r="C29" s="36"/>
      <c r="D29" s="205" t="str">
        <f>IF(ProjektnaOrganizacija=0,"...",ProjektnaOrganizacija)</f>
        <v>...</v>
      </c>
      <c r="E29" s="205"/>
      <c r="F29" s="74"/>
    </row>
    <row r="30" spans="3:6" x14ac:dyDescent="0.2">
      <c r="C30" s="36"/>
      <c r="D30" s="206" t="s">
        <v>10</v>
      </c>
      <c r="E30" s="206"/>
      <c r="F30" s="74"/>
    </row>
    <row r="31" spans="3:6" x14ac:dyDescent="0.2">
      <c r="C31" s="36"/>
      <c r="D31" s="6"/>
      <c r="E31" s="6"/>
      <c r="F31" s="74"/>
    </row>
    <row r="32" spans="3:6" x14ac:dyDescent="0.2">
      <c r="C32" s="36"/>
      <c r="D32" s="6"/>
      <c r="E32" s="6"/>
      <c r="F32" s="74"/>
    </row>
    <row r="33" spans="3:6" x14ac:dyDescent="0.2">
      <c r="C33" s="36"/>
      <c r="D33" s="6"/>
      <c r="E33" s="6"/>
      <c r="F33" s="74"/>
    </row>
    <row r="34" spans="3:6" x14ac:dyDescent="0.2">
      <c r="C34" s="36"/>
      <c r="D34" s="6"/>
      <c r="E34" s="6"/>
      <c r="F34" s="74"/>
    </row>
    <row r="35" spans="3:6" x14ac:dyDescent="0.2">
      <c r="C35" s="36"/>
      <c r="D35" s="207" t="str">
        <f>IF(OdgovorniProjektant=0,"...",OdgovorniProjektant)</f>
        <v>...</v>
      </c>
      <c r="E35" s="207"/>
      <c r="F35" s="74"/>
    </row>
    <row r="36" spans="3:6" x14ac:dyDescent="0.2">
      <c r="C36" s="36"/>
      <c r="D36" s="202" t="s">
        <v>12</v>
      </c>
      <c r="E36" s="202"/>
      <c r="F36" s="74"/>
    </row>
    <row r="37" spans="3:6" x14ac:dyDescent="0.2">
      <c r="C37" s="36"/>
      <c r="D37" s="6"/>
      <c r="E37" s="6"/>
      <c r="F37" s="74"/>
    </row>
    <row r="38" spans="3:6" x14ac:dyDescent="0.2">
      <c r="C38" s="14"/>
      <c r="D38" s="14"/>
      <c r="E38" s="14"/>
      <c r="F38" s="14"/>
    </row>
    <row r="39" spans="3:6" x14ac:dyDescent="0.2">
      <c r="F39" s="89"/>
    </row>
    <row r="97" ht="15" customHeight="1" x14ac:dyDescent="0.2"/>
    <row r="179" ht="15.75" customHeight="1" x14ac:dyDescent="0.2"/>
    <row r="200" ht="15" customHeight="1" x14ac:dyDescent="0.2"/>
  </sheetData>
  <mergeCells count="6">
    <mergeCell ref="D36:E36"/>
    <mergeCell ref="C1:F1"/>
    <mergeCell ref="D10:E10"/>
    <mergeCell ref="D29:E29"/>
    <mergeCell ref="D30:E30"/>
    <mergeCell ref="D35:E35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C1:I115"/>
  <sheetViews>
    <sheetView showGridLine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2" width="2.21875" style="19" customWidth="1"/>
    <col min="3" max="3" width="2.21875" style="51" customWidth="1"/>
    <col min="4" max="4" width="8" style="51" customWidth="1"/>
    <col min="5" max="5" width="28.6640625" style="51" customWidth="1"/>
    <col min="6" max="7" width="9.44140625" style="51" customWidth="1"/>
    <col min="8" max="8" width="13.5546875" style="51" customWidth="1"/>
    <col min="9" max="9" width="2.21875" style="51" customWidth="1"/>
    <col min="10" max="184" width="2.21875" style="19" customWidth="1"/>
    <col min="185" max="16384" width="8.88671875" style="19"/>
  </cols>
  <sheetData>
    <row r="1" spans="3:9" s="18" customFormat="1" ht="30" customHeight="1" thickBot="1" x14ac:dyDescent="0.25">
      <c r="C1" s="208"/>
      <c r="D1" s="208"/>
      <c r="E1" s="208"/>
      <c r="F1" s="208"/>
      <c r="G1" s="208"/>
      <c r="H1" s="208"/>
      <c r="I1" s="208"/>
    </row>
    <row r="2" spans="3:9" ht="15.75" thickTop="1" x14ac:dyDescent="0.2"/>
    <row r="6" spans="3:9" x14ac:dyDescent="0.2">
      <c r="C6" s="52"/>
      <c r="D6" s="52"/>
      <c r="E6" s="52"/>
      <c r="F6" s="52"/>
      <c r="G6" s="52"/>
      <c r="H6" s="52"/>
      <c r="I6" s="53"/>
    </row>
    <row r="7" spans="3:9" x14ac:dyDescent="0.2">
      <c r="C7" s="54"/>
      <c r="D7" s="55"/>
      <c r="E7" s="55"/>
      <c r="F7" s="55"/>
      <c r="G7" s="55"/>
      <c r="H7" s="55"/>
      <c r="I7" s="56"/>
    </row>
    <row r="8" spans="3:9" hidden="1" x14ac:dyDescent="0.2">
      <c r="C8" s="54"/>
      <c r="D8" s="57"/>
      <c r="E8" s="57"/>
      <c r="F8" s="57"/>
      <c r="G8" s="57"/>
      <c r="H8" s="57"/>
      <c r="I8" s="56"/>
    </row>
    <row r="9" spans="3:9" hidden="1" x14ac:dyDescent="0.2">
      <c r="C9" s="54"/>
      <c r="E9" s="57"/>
      <c r="F9" s="57"/>
      <c r="G9" s="57"/>
      <c r="H9" s="57"/>
      <c r="I9" s="56"/>
    </row>
    <row r="10" spans="3:9" ht="15.75" hidden="1" x14ac:dyDescent="0.25">
      <c r="C10" s="54"/>
      <c r="D10" s="209" t="s">
        <v>178</v>
      </c>
      <c r="E10" s="209"/>
      <c r="F10" s="209"/>
      <c r="G10" s="209"/>
      <c r="H10" s="209"/>
      <c r="I10" s="56"/>
    </row>
    <row r="11" spans="3:9" hidden="1" x14ac:dyDescent="0.2">
      <c r="C11" s="54"/>
      <c r="D11" s="57"/>
      <c r="E11" s="57"/>
      <c r="F11" s="57"/>
      <c r="G11" s="57"/>
      <c r="H11" s="57"/>
      <c r="I11" s="56"/>
    </row>
    <row r="12" spans="3:9" x14ac:dyDescent="0.2">
      <c r="C12" s="54"/>
      <c r="D12" s="57"/>
      <c r="E12" s="57"/>
      <c r="F12" s="57"/>
      <c r="G12" s="57"/>
      <c r="H12" s="57"/>
      <c r="I12" s="56"/>
    </row>
    <row r="13" spans="3:9" x14ac:dyDescent="0.2">
      <c r="C13" s="54"/>
      <c r="D13" s="57"/>
      <c r="E13" s="57"/>
      <c r="F13" s="57"/>
      <c r="G13" s="57"/>
      <c r="H13" s="57"/>
      <c r="I13" s="56"/>
    </row>
    <row r="14" spans="3:9" ht="15.75" x14ac:dyDescent="0.25">
      <c r="C14" s="54"/>
      <c r="D14" s="210" t="s">
        <v>116</v>
      </c>
      <c r="E14" s="210"/>
      <c r="F14" s="210"/>
      <c r="G14" s="210"/>
      <c r="H14" s="210"/>
      <c r="I14" s="56"/>
    </row>
    <row r="15" spans="3:9" x14ac:dyDescent="0.2">
      <c r="C15" s="54"/>
      <c r="D15" s="57"/>
      <c r="E15" s="57"/>
      <c r="F15" s="57"/>
      <c r="G15" s="57"/>
      <c r="H15" s="57"/>
      <c r="I15" s="56"/>
    </row>
    <row r="16" spans="3:9" x14ac:dyDescent="0.2">
      <c r="C16" s="58" t="s">
        <v>19</v>
      </c>
      <c r="D16" s="59" t="s">
        <v>117</v>
      </c>
      <c r="E16" s="60" t="s">
        <v>118</v>
      </c>
      <c r="F16" s="60" t="s">
        <v>119</v>
      </c>
      <c r="G16" s="59" t="s">
        <v>120</v>
      </c>
      <c r="H16" s="61" t="s">
        <v>121</v>
      </c>
      <c r="I16" s="62" t="s">
        <v>21</v>
      </c>
    </row>
    <row r="17" spans="3:9" x14ac:dyDescent="0.2">
      <c r="C17" s="95"/>
      <c r="D17" s="189"/>
      <c r="E17" s="180"/>
      <c r="F17" s="180"/>
      <c r="G17" s="180"/>
      <c r="H17" s="181"/>
      <c r="I17" s="182"/>
    </row>
    <row r="18" spans="3:9" x14ac:dyDescent="0.2">
      <c r="C18" s="54"/>
      <c r="D18" s="57"/>
      <c r="E18" s="57"/>
      <c r="F18" s="57"/>
      <c r="G18" s="57"/>
      <c r="H18" s="57"/>
      <c r="I18" s="66" t="s">
        <v>22</v>
      </c>
    </row>
    <row r="19" spans="3:9" ht="15.75" x14ac:dyDescent="0.25">
      <c r="C19" s="67"/>
      <c r="D19" s="57"/>
      <c r="E19" s="57"/>
      <c r="F19" s="57"/>
      <c r="G19" s="68" t="s">
        <v>122</v>
      </c>
      <c r="H19" s="69">
        <f>SUM(Po[Neto površina])</f>
        <v>0</v>
      </c>
      <c r="I19" s="56"/>
    </row>
    <row r="20" spans="3:9" x14ac:dyDescent="0.2">
      <c r="C20" s="54"/>
      <c r="D20" s="57"/>
      <c r="E20" s="57"/>
      <c r="F20" s="57"/>
      <c r="G20" s="57"/>
      <c r="H20" s="57"/>
      <c r="I20" s="56"/>
    </row>
    <row r="21" spans="3:9" ht="15.75" x14ac:dyDescent="0.25">
      <c r="C21" s="54"/>
      <c r="D21" s="57"/>
      <c r="E21" s="57"/>
      <c r="F21" s="57"/>
      <c r="G21" s="68" t="s">
        <v>123</v>
      </c>
      <c r="H21" s="69">
        <f>SUM(Po[Neto površina])*0.97</f>
        <v>0</v>
      </c>
      <c r="I21" s="56"/>
    </row>
    <row r="22" spans="3:9" x14ac:dyDescent="0.2">
      <c r="C22" s="54"/>
      <c r="D22" s="57"/>
      <c r="E22" s="57"/>
      <c r="F22" s="57"/>
      <c r="G22" s="57"/>
      <c r="H22" s="57"/>
      <c r="I22" s="56"/>
    </row>
    <row r="23" spans="3:9" ht="15.75" x14ac:dyDescent="0.25">
      <c r="C23" s="36"/>
      <c r="D23" s="57"/>
      <c r="E23" s="57"/>
      <c r="F23" s="57"/>
      <c r="G23" s="68" t="s">
        <v>124</v>
      </c>
      <c r="H23" s="69">
        <f>UkupnaBrutoPovrsinaPo</f>
        <v>0</v>
      </c>
      <c r="I23" s="56"/>
    </row>
    <row r="24" spans="3:9" x14ac:dyDescent="0.2">
      <c r="C24" s="54"/>
      <c r="D24" s="70"/>
      <c r="E24" s="70"/>
      <c r="F24" s="70"/>
      <c r="G24" s="70"/>
      <c r="H24" s="70"/>
      <c r="I24" s="56"/>
    </row>
    <row r="25" spans="3:9" ht="15" customHeight="1" x14ac:dyDescent="0.2">
      <c r="C25" s="71"/>
      <c r="D25" s="71"/>
      <c r="E25" s="71"/>
      <c r="F25" s="71"/>
      <c r="G25" s="71"/>
      <c r="H25" s="71"/>
      <c r="I25" s="71"/>
    </row>
    <row r="26" spans="3:9" ht="15" customHeight="1" x14ac:dyDescent="0.2">
      <c r="I26" s="35"/>
    </row>
    <row r="27" spans="3:9" ht="15" customHeight="1" x14ac:dyDescent="0.2"/>
    <row r="28" spans="3:9" ht="15" customHeight="1" x14ac:dyDescent="0.2"/>
    <row r="29" spans="3:9" ht="15" customHeight="1" x14ac:dyDescent="0.2"/>
    <row r="30" spans="3:9" ht="15" customHeight="1" x14ac:dyDescent="0.2"/>
    <row r="31" spans="3:9" ht="15" customHeight="1" x14ac:dyDescent="0.2"/>
    <row r="32" spans="3:9" ht="15" customHeight="1" x14ac:dyDescent="0.2"/>
    <row r="33" ht="15" customHeight="1" x14ac:dyDescent="0.2"/>
    <row r="34" ht="15" customHeight="1" x14ac:dyDescent="0.2"/>
    <row r="35" ht="15" customHeight="1" x14ac:dyDescent="0.2"/>
    <row r="36" ht="15" customHeight="1" x14ac:dyDescent="0.2"/>
    <row r="37" ht="15" customHeight="1" x14ac:dyDescent="0.2"/>
    <row r="38" ht="15" customHeight="1" x14ac:dyDescent="0.2"/>
    <row r="39" ht="15" customHeight="1" x14ac:dyDescent="0.2"/>
    <row r="40" ht="15" customHeight="1" x14ac:dyDescent="0.2"/>
    <row r="41" ht="15" customHeight="1" x14ac:dyDescent="0.2"/>
    <row r="42" ht="15" customHeight="1" x14ac:dyDescent="0.2"/>
    <row r="43" ht="15" customHeight="1" x14ac:dyDescent="0.2"/>
    <row r="44" ht="15" customHeight="1" x14ac:dyDescent="0.2"/>
    <row r="45" ht="15" customHeight="1" x14ac:dyDescent="0.2"/>
    <row r="46" ht="15" customHeight="1" x14ac:dyDescent="0.2"/>
    <row r="94" ht="15.75" customHeight="1" x14ac:dyDescent="0.2"/>
    <row r="115" ht="15" customHeight="1" x14ac:dyDescent="0.2"/>
  </sheetData>
  <mergeCells count="3">
    <mergeCell ref="C1:I1"/>
    <mergeCell ref="D10:H10"/>
    <mergeCell ref="D14:H14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  <tableParts count="1">
    <tablePart r:id="rId4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C1:I121"/>
  <sheetViews>
    <sheetView showGridLine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2" width="2.21875" style="19" customWidth="1"/>
    <col min="3" max="3" width="2.21875" style="51" customWidth="1"/>
    <col min="4" max="4" width="8" style="51" customWidth="1"/>
    <col min="5" max="5" width="28.6640625" style="51" customWidth="1"/>
    <col min="6" max="7" width="9.44140625" style="51" customWidth="1"/>
    <col min="8" max="8" width="13.5546875" style="51" customWidth="1"/>
    <col min="9" max="9" width="2.21875" style="51" customWidth="1"/>
    <col min="10" max="184" width="2.21875" style="19" customWidth="1"/>
    <col min="185" max="16384" width="8.88671875" style="19"/>
  </cols>
  <sheetData>
    <row r="1" spans="3:9" s="18" customFormat="1" ht="30" customHeight="1" thickBot="1" x14ac:dyDescent="0.25">
      <c r="C1" s="208"/>
      <c r="D1" s="208"/>
      <c r="E1" s="208"/>
      <c r="F1" s="208"/>
      <c r="G1" s="208"/>
      <c r="H1" s="208"/>
      <c r="I1" s="208"/>
    </row>
    <row r="2" spans="3:9" ht="15.75" thickTop="1" x14ac:dyDescent="0.2"/>
    <row r="6" spans="3:9" x14ac:dyDescent="0.2">
      <c r="C6" s="52"/>
      <c r="D6" s="52"/>
      <c r="E6" s="52"/>
      <c r="F6" s="52"/>
      <c r="G6" s="52"/>
      <c r="H6" s="52"/>
      <c r="I6" s="53"/>
    </row>
    <row r="7" spans="3:9" x14ac:dyDescent="0.2">
      <c r="C7" s="54"/>
      <c r="D7" s="55"/>
      <c r="E7" s="55"/>
      <c r="F7" s="55"/>
      <c r="G7" s="55"/>
      <c r="H7" s="55"/>
      <c r="I7" s="56"/>
    </row>
    <row r="8" spans="3:9" hidden="1" x14ac:dyDescent="0.2">
      <c r="C8" s="54"/>
      <c r="D8" s="57"/>
      <c r="E8" s="57"/>
      <c r="F8" s="57"/>
      <c r="G8" s="57"/>
      <c r="H8" s="57"/>
      <c r="I8" s="56"/>
    </row>
    <row r="9" spans="3:9" hidden="1" x14ac:dyDescent="0.2">
      <c r="C9" s="54"/>
      <c r="E9" s="57"/>
      <c r="F9" s="57"/>
      <c r="G9" s="57"/>
      <c r="H9" s="57"/>
      <c r="I9" s="56"/>
    </row>
    <row r="10" spans="3:9" ht="15.75" hidden="1" x14ac:dyDescent="0.25">
      <c r="C10" s="54"/>
      <c r="D10" s="209" t="s">
        <v>178</v>
      </c>
      <c r="E10" s="209"/>
      <c r="F10" s="209"/>
      <c r="G10" s="209"/>
      <c r="H10" s="209"/>
      <c r="I10" s="56"/>
    </row>
    <row r="11" spans="3:9" hidden="1" x14ac:dyDescent="0.2">
      <c r="C11" s="54"/>
      <c r="D11" s="57"/>
      <c r="E11" s="57"/>
      <c r="F11" s="57"/>
      <c r="G11" s="57"/>
      <c r="H11" s="57"/>
      <c r="I11" s="56"/>
    </row>
    <row r="12" spans="3:9" x14ac:dyDescent="0.2">
      <c r="C12" s="54"/>
      <c r="D12" s="57"/>
      <c r="E12" s="57"/>
      <c r="F12" s="57"/>
      <c r="G12" s="57"/>
      <c r="H12" s="57"/>
      <c r="I12" s="56"/>
    </row>
    <row r="13" spans="3:9" x14ac:dyDescent="0.2">
      <c r="C13" s="54"/>
      <c r="D13" s="57"/>
      <c r="E13" s="57"/>
      <c r="F13" s="57"/>
      <c r="G13" s="57"/>
      <c r="H13" s="57"/>
      <c r="I13" s="56"/>
    </row>
    <row r="14" spans="3:9" ht="15.75" x14ac:dyDescent="0.25">
      <c r="C14" s="54"/>
      <c r="D14" s="210" t="s">
        <v>125</v>
      </c>
      <c r="E14" s="210"/>
      <c r="F14" s="210"/>
      <c r="G14" s="210"/>
      <c r="H14" s="210"/>
      <c r="I14" s="56"/>
    </row>
    <row r="15" spans="3:9" x14ac:dyDescent="0.2">
      <c r="C15" s="54"/>
      <c r="D15" s="57"/>
      <c r="E15" s="57"/>
      <c r="F15" s="57"/>
      <c r="G15" s="57"/>
      <c r="H15" s="57"/>
      <c r="I15" s="56"/>
    </row>
    <row r="16" spans="3:9" x14ac:dyDescent="0.2">
      <c r="C16" s="58" t="s">
        <v>19</v>
      </c>
      <c r="D16" s="59" t="s">
        <v>117</v>
      </c>
      <c r="E16" s="60" t="s">
        <v>118</v>
      </c>
      <c r="F16" s="60" t="s">
        <v>119</v>
      </c>
      <c r="G16" s="59" t="s">
        <v>120</v>
      </c>
      <c r="H16" s="61" t="s">
        <v>121</v>
      </c>
      <c r="I16" s="62" t="s">
        <v>21</v>
      </c>
    </row>
    <row r="17" spans="3:9" x14ac:dyDescent="0.2">
      <c r="C17" s="88"/>
      <c r="D17" s="189"/>
      <c r="E17" s="63"/>
      <c r="F17" s="63"/>
      <c r="G17" s="63"/>
      <c r="H17" s="64"/>
      <c r="I17" s="65"/>
    </row>
    <row r="18" spans="3:9" x14ac:dyDescent="0.2">
      <c r="C18" s="54"/>
      <c r="D18" s="57"/>
      <c r="E18" s="57"/>
      <c r="F18" s="57"/>
      <c r="G18" s="57"/>
      <c r="H18" s="57"/>
      <c r="I18" s="66" t="s">
        <v>22</v>
      </c>
    </row>
    <row r="19" spans="3:9" ht="15.75" x14ac:dyDescent="0.25">
      <c r="C19" s="67"/>
      <c r="D19" s="57"/>
      <c r="E19" s="57"/>
      <c r="F19" s="57"/>
      <c r="G19" s="68" t="s">
        <v>126</v>
      </c>
      <c r="H19" s="69">
        <f>SUM(Su[Neto površina])</f>
        <v>0</v>
      </c>
      <c r="I19" s="56"/>
    </row>
    <row r="20" spans="3:9" x14ac:dyDescent="0.2">
      <c r="C20" s="54"/>
      <c r="D20" s="57"/>
      <c r="E20" s="57"/>
      <c r="F20" s="57"/>
      <c r="G20" s="57"/>
      <c r="H20" s="57"/>
      <c r="I20" s="56"/>
    </row>
    <row r="21" spans="3:9" ht="15.75" x14ac:dyDescent="0.25">
      <c r="C21" s="54"/>
      <c r="D21" s="57"/>
      <c r="E21" s="57"/>
      <c r="F21" s="57"/>
      <c r="G21" s="68" t="s">
        <v>127</v>
      </c>
      <c r="H21" s="69">
        <f>SUM(Su[Neto površina])*0.97</f>
        <v>0</v>
      </c>
      <c r="I21" s="56"/>
    </row>
    <row r="22" spans="3:9" x14ac:dyDescent="0.2">
      <c r="C22" s="54"/>
      <c r="D22" s="57"/>
      <c r="E22" s="57"/>
      <c r="F22" s="57"/>
      <c r="G22" s="57"/>
      <c r="H22" s="57"/>
      <c r="I22" s="56"/>
    </row>
    <row r="23" spans="3:9" ht="15.75" x14ac:dyDescent="0.25">
      <c r="C23" s="36"/>
      <c r="D23" s="57"/>
      <c r="E23" s="57"/>
      <c r="F23" s="57"/>
      <c r="G23" s="68" t="s">
        <v>128</v>
      </c>
      <c r="H23" s="69">
        <f>UkupnaBrutoPovrsinaSu</f>
        <v>0</v>
      </c>
      <c r="I23" s="56"/>
    </row>
    <row r="24" spans="3:9" x14ac:dyDescent="0.2">
      <c r="C24" s="54"/>
      <c r="D24" s="70"/>
      <c r="E24" s="70"/>
      <c r="F24" s="70"/>
      <c r="G24" s="70"/>
      <c r="H24" s="70"/>
      <c r="I24" s="56"/>
    </row>
    <row r="25" spans="3:9" ht="15" customHeight="1" x14ac:dyDescent="0.2">
      <c r="C25" s="71"/>
      <c r="D25" s="71"/>
      <c r="E25" s="71"/>
      <c r="F25" s="71"/>
      <c r="G25" s="71"/>
      <c r="H25" s="71"/>
      <c r="I25" s="71"/>
    </row>
    <row r="26" spans="3:9" ht="15" customHeight="1" x14ac:dyDescent="0.2">
      <c r="I26" s="35"/>
    </row>
    <row r="27" spans="3:9" ht="15" customHeight="1" x14ac:dyDescent="0.2"/>
    <row r="28" spans="3:9" ht="15" customHeight="1" x14ac:dyDescent="0.2"/>
    <row r="29" spans="3:9" ht="15" customHeight="1" x14ac:dyDescent="0.2"/>
    <row r="30" spans="3:9" ht="15" customHeight="1" x14ac:dyDescent="0.2"/>
    <row r="31" spans="3:9" ht="15" customHeight="1" x14ac:dyDescent="0.2"/>
    <row r="32" spans="3:9" ht="15" customHeight="1" x14ac:dyDescent="0.2"/>
    <row r="33" ht="15" customHeight="1" x14ac:dyDescent="0.2"/>
    <row r="34" ht="15" customHeight="1" x14ac:dyDescent="0.2"/>
    <row r="35" ht="15" customHeight="1" x14ac:dyDescent="0.2"/>
    <row r="36" ht="15" customHeight="1" x14ac:dyDescent="0.2"/>
    <row r="37" ht="15" customHeight="1" x14ac:dyDescent="0.2"/>
    <row r="38" ht="15" customHeight="1" x14ac:dyDescent="0.2"/>
    <row r="39" ht="15" customHeight="1" x14ac:dyDescent="0.2"/>
    <row r="40" ht="15" customHeight="1" x14ac:dyDescent="0.2"/>
    <row r="41" ht="15" customHeight="1" x14ac:dyDescent="0.2"/>
    <row r="42" ht="15" customHeight="1" x14ac:dyDescent="0.2"/>
    <row r="43" ht="15" customHeight="1" x14ac:dyDescent="0.2"/>
    <row r="44" ht="15" customHeight="1" x14ac:dyDescent="0.2"/>
    <row r="45" ht="15" customHeight="1" x14ac:dyDescent="0.2"/>
    <row r="46" ht="15" customHeight="1" x14ac:dyDescent="0.2"/>
    <row r="47" ht="15" customHeight="1" x14ac:dyDescent="0.2"/>
    <row r="48" ht="15" customHeight="1" x14ac:dyDescent="0.2"/>
    <row r="49" ht="15" customHeight="1" x14ac:dyDescent="0.2"/>
    <row r="50" ht="15" customHeight="1" x14ac:dyDescent="0.2"/>
    <row r="51" ht="15" customHeight="1" x14ac:dyDescent="0.2"/>
    <row r="52" ht="15" customHeight="1" x14ac:dyDescent="0.2"/>
    <row r="100" ht="15.75" customHeight="1" x14ac:dyDescent="0.2"/>
    <row r="121" ht="15" customHeight="1" x14ac:dyDescent="0.2"/>
  </sheetData>
  <mergeCells count="3">
    <mergeCell ref="C1:I1"/>
    <mergeCell ref="D10:H10"/>
    <mergeCell ref="D14:H14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  <tableParts count="1">
    <tablePart r:id="rId4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C1:I107"/>
  <sheetViews>
    <sheetView showGridLines="0" zoomScaleNormal="100" workbookViewId="0">
      <pane ySplit="1" topLeftCell="A2" activePane="bottomLeft" state="frozen"/>
      <selection pane="bottomLeft" activeCell="I16" sqref="I16"/>
    </sheetView>
  </sheetViews>
  <sheetFormatPr defaultRowHeight="15" x14ac:dyDescent="0.2"/>
  <cols>
    <col min="1" max="2" width="2.21875" style="19" customWidth="1"/>
    <col min="3" max="3" width="2.21875" style="51" customWidth="1"/>
    <col min="4" max="4" width="8" style="51" customWidth="1"/>
    <col min="5" max="5" width="28.6640625" style="51" customWidth="1"/>
    <col min="6" max="7" width="9.44140625" style="51" customWidth="1"/>
    <col min="8" max="8" width="13.5546875" style="51" customWidth="1"/>
    <col min="9" max="9" width="2.21875" style="51" customWidth="1"/>
    <col min="10" max="184" width="2.21875" style="19" customWidth="1"/>
    <col min="185" max="16384" width="8.88671875" style="19"/>
  </cols>
  <sheetData>
    <row r="1" spans="3:9" s="18" customFormat="1" ht="30" customHeight="1" thickBot="1" x14ac:dyDescent="0.25">
      <c r="C1" s="208"/>
      <c r="D1" s="208"/>
      <c r="E1" s="208"/>
      <c r="F1" s="208"/>
      <c r="G1" s="208"/>
      <c r="H1" s="208"/>
      <c r="I1" s="208"/>
    </row>
    <row r="2" spans="3:9" ht="15.75" thickTop="1" x14ac:dyDescent="0.2"/>
    <row r="6" spans="3:9" x14ac:dyDescent="0.2">
      <c r="C6" s="52"/>
      <c r="D6" s="52"/>
      <c r="E6" s="52"/>
      <c r="F6" s="52"/>
      <c r="G6" s="52"/>
      <c r="H6" s="52"/>
      <c r="I6" s="53"/>
    </row>
    <row r="7" spans="3:9" x14ac:dyDescent="0.2">
      <c r="C7" s="54"/>
      <c r="D7" s="55"/>
      <c r="E7" s="55"/>
      <c r="F7" s="55"/>
      <c r="G7" s="55"/>
      <c r="H7" s="55"/>
      <c r="I7" s="56"/>
    </row>
    <row r="8" spans="3:9" hidden="1" x14ac:dyDescent="0.2">
      <c r="C8" s="54"/>
      <c r="D8" s="57"/>
      <c r="E8" s="57"/>
      <c r="F8" s="57"/>
      <c r="G8" s="57"/>
      <c r="H8" s="57"/>
      <c r="I8" s="56"/>
    </row>
    <row r="9" spans="3:9" hidden="1" x14ac:dyDescent="0.2">
      <c r="C9" s="54"/>
      <c r="E9" s="57"/>
      <c r="F9" s="57"/>
      <c r="G9" s="57"/>
      <c r="H9" s="57"/>
      <c r="I9" s="56"/>
    </row>
    <row r="10" spans="3:9" ht="15.75" hidden="1" x14ac:dyDescent="0.25">
      <c r="C10" s="54"/>
      <c r="D10" s="209" t="s">
        <v>178</v>
      </c>
      <c r="E10" s="209"/>
      <c r="F10" s="209"/>
      <c r="G10" s="209"/>
      <c r="H10" s="209"/>
      <c r="I10" s="56"/>
    </row>
    <row r="11" spans="3:9" hidden="1" x14ac:dyDescent="0.2">
      <c r="C11" s="54"/>
      <c r="D11" s="57"/>
      <c r="E11" s="57"/>
      <c r="F11" s="57"/>
      <c r="G11" s="57"/>
      <c r="H11" s="57"/>
      <c r="I11" s="56"/>
    </row>
    <row r="12" spans="3:9" x14ac:dyDescent="0.2">
      <c r="C12" s="54"/>
      <c r="D12" s="57"/>
      <c r="E12" s="57"/>
      <c r="F12" s="57"/>
      <c r="G12" s="57"/>
      <c r="H12" s="57"/>
      <c r="I12" s="56"/>
    </row>
    <row r="13" spans="3:9" x14ac:dyDescent="0.2">
      <c r="C13" s="54"/>
      <c r="D13" s="57"/>
      <c r="E13" s="57"/>
      <c r="F13" s="57"/>
      <c r="G13" s="57"/>
      <c r="H13" s="57"/>
      <c r="I13" s="56"/>
    </row>
    <row r="14" spans="3:9" ht="15.75" x14ac:dyDescent="0.25">
      <c r="C14" s="54"/>
      <c r="D14" s="210" t="s">
        <v>129</v>
      </c>
      <c r="E14" s="210"/>
      <c r="F14" s="210"/>
      <c r="G14" s="210"/>
      <c r="H14" s="210"/>
      <c r="I14" s="56"/>
    </row>
    <row r="15" spans="3:9" x14ac:dyDescent="0.2">
      <c r="C15" s="54"/>
      <c r="D15" s="57"/>
      <c r="E15" s="57"/>
      <c r="F15" s="57"/>
      <c r="G15" s="57"/>
      <c r="H15" s="57"/>
      <c r="I15" s="56"/>
    </row>
    <row r="16" spans="3:9" x14ac:dyDescent="0.2">
      <c r="C16" s="58" t="s">
        <v>19</v>
      </c>
      <c r="D16" s="59" t="s">
        <v>117</v>
      </c>
      <c r="E16" s="60" t="s">
        <v>118</v>
      </c>
      <c r="F16" s="60" t="s">
        <v>119</v>
      </c>
      <c r="G16" s="59" t="s">
        <v>120</v>
      </c>
      <c r="H16" s="61" t="s">
        <v>121</v>
      </c>
      <c r="I16" s="62" t="s">
        <v>21</v>
      </c>
    </row>
    <row r="17" spans="3:9" x14ac:dyDescent="0.2">
      <c r="C17" s="95"/>
      <c r="D17" s="191"/>
      <c r="E17" s="192"/>
      <c r="F17" s="192"/>
      <c r="G17" s="193"/>
      <c r="H17" s="194"/>
      <c r="I17" s="182"/>
    </row>
    <row r="18" spans="3:9" x14ac:dyDescent="0.2">
      <c r="C18" s="54"/>
      <c r="D18" s="57"/>
      <c r="E18" s="57"/>
      <c r="F18" s="57"/>
      <c r="G18" s="57"/>
      <c r="H18" s="57"/>
      <c r="I18" s="66" t="s">
        <v>22</v>
      </c>
    </row>
    <row r="19" spans="3:9" ht="15.75" x14ac:dyDescent="0.25">
      <c r="C19" s="67"/>
      <c r="D19" s="57"/>
      <c r="E19" s="57"/>
      <c r="F19" s="57"/>
      <c r="G19" s="68" t="s">
        <v>130</v>
      </c>
      <c r="H19" s="69">
        <f>SUM(Pr[Neto površina])</f>
        <v>0</v>
      </c>
      <c r="I19" s="56"/>
    </row>
    <row r="20" spans="3:9" x14ac:dyDescent="0.2">
      <c r="C20" s="54"/>
      <c r="D20" s="57"/>
      <c r="E20" s="57"/>
      <c r="F20" s="57"/>
      <c r="G20" s="57"/>
      <c r="H20" s="57"/>
      <c r="I20" s="56"/>
    </row>
    <row r="21" spans="3:9" ht="15.75" x14ac:dyDescent="0.25">
      <c r="C21" s="54"/>
      <c r="D21" s="57"/>
      <c r="E21" s="57"/>
      <c r="F21" s="57"/>
      <c r="G21" s="68" t="s">
        <v>131</v>
      </c>
      <c r="H21" s="69">
        <f>SUM(Pr[Neto površina])*0.97</f>
        <v>0</v>
      </c>
      <c r="I21" s="56"/>
    </row>
    <row r="22" spans="3:9" x14ac:dyDescent="0.2">
      <c r="C22" s="54"/>
      <c r="D22" s="57"/>
      <c r="E22" s="57"/>
      <c r="F22" s="57"/>
      <c r="G22" s="57"/>
      <c r="H22" s="57"/>
      <c r="I22" s="56"/>
    </row>
    <row r="23" spans="3:9" ht="15.75" x14ac:dyDescent="0.25">
      <c r="C23" s="36"/>
      <c r="D23" s="57"/>
      <c r="E23" s="57"/>
      <c r="F23" s="57"/>
      <c r="G23" s="68" t="s">
        <v>132</v>
      </c>
      <c r="H23" s="69">
        <f>UkupnaBrutoPovrsinaPr</f>
        <v>0</v>
      </c>
      <c r="I23" s="56"/>
    </row>
    <row r="24" spans="3:9" x14ac:dyDescent="0.2">
      <c r="C24" s="54"/>
      <c r="D24" s="70"/>
      <c r="E24" s="70"/>
      <c r="F24" s="70"/>
      <c r="G24" s="70"/>
      <c r="H24" s="70"/>
      <c r="I24" s="56"/>
    </row>
    <row r="25" spans="3:9" ht="15" customHeight="1" x14ac:dyDescent="0.2">
      <c r="C25" s="71"/>
      <c r="D25" s="71"/>
      <c r="E25" s="71"/>
      <c r="F25" s="71"/>
      <c r="G25" s="71"/>
      <c r="H25" s="71"/>
      <c r="I25" s="71"/>
    </row>
    <row r="26" spans="3:9" ht="15" customHeight="1" x14ac:dyDescent="0.2">
      <c r="I26" s="35"/>
    </row>
    <row r="27" spans="3:9" ht="15" customHeight="1" x14ac:dyDescent="0.2"/>
    <row r="28" spans="3:9" ht="15" customHeight="1" x14ac:dyDescent="0.2"/>
    <row r="29" spans="3:9" ht="15" customHeight="1" x14ac:dyDescent="0.2"/>
    <row r="30" spans="3:9" ht="15" customHeight="1" x14ac:dyDescent="0.2"/>
    <row r="31" spans="3:9" ht="15" customHeight="1" x14ac:dyDescent="0.2"/>
    <row r="32" spans="3:9" ht="15" customHeight="1" x14ac:dyDescent="0.2"/>
    <row r="33" ht="15" customHeight="1" x14ac:dyDescent="0.2"/>
    <row r="34" ht="15" customHeight="1" x14ac:dyDescent="0.2"/>
    <row r="35" ht="15" customHeight="1" x14ac:dyDescent="0.2"/>
    <row r="36" ht="15" customHeight="1" x14ac:dyDescent="0.2"/>
    <row r="37" ht="15" customHeight="1" x14ac:dyDescent="0.2"/>
    <row r="38" ht="15" customHeight="1" x14ac:dyDescent="0.2"/>
    <row r="86" ht="15.75" customHeight="1" x14ac:dyDescent="0.2"/>
    <row r="107" ht="15" customHeight="1" x14ac:dyDescent="0.2"/>
  </sheetData>
  <mergeCells count="3">
    <mergeCell ref="C1:I1"/>
    <mergeCell ref="D10:H10"/>
    <mergeCell ref="D14:H14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  <tableParts count="1">
    <tablePart r:id="rId4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C1:I121"/>
  <sheetViews>
    <sheetView showGridLine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2" width="2.21875" style="19" customWidth="1"/>
    <col min="3" max="3" width="2.21875" style="51" customWidth="1"/>
    <col min="4" max="4" width="8" style="51" customWidth="1"/>
    <col min="5" max="5" width="28.6640625" style="51" customWidth="1"/>
    <col min="6" max="7" width="9.44140625" style="51" customWidth="1"/>
    <col min="8" max="8" width="13.5546875" style="51" customWidth="1"/>
    <col min="9" max="9" width="2.21875" style="51" customWidth="1"/>
    <col min="10" max="184" width="2.21875" style="19" customWidth="1"/>
    <col min="185" max="16384" width="8.88671875" style="19"/>
  </cols>
  <sheetData>
    <row r="1" spans="3:9" s="18" customFormat="1" ht="30" customHeight="1" thickBot="1" x14ac:dyDescent="0.25">
      <c r="C1" s="208"/>
      <c r="D1" s="208"/>
      <c r="E1" s="208"/>
      <c r="F1" s="208"/>
      <c r="G1" s="208"/>
      <c r="H1" s="208"/>
      <c r="I1" s="208"/>
    </row>
    <row r="2" spans="3:9" ht="15.75" thickTop="1" x14ac:dyDescent="0.2"/>
    <row r="6" spans="3:9" x14ac:dyDescent="0.2">
      <c r="C6" s="52"/>
      <c r="D6" s="52"/>
      <c r="E6" s="52"/>
      <c r="F6" s="52"/>
      <c r="G6" s="52"/>
      <c r="H6" s="52"/>
      <c r="I6" s="53"/>
    </row>
    <row r="7" spans="3:9" x14ac:dyDescent="0.2">
      <c r="C7" s="54"/>
      <c r="D7" s="55"/>
      <c r="E7" s="55"/>
      <c r="F7" s="55"/>
      <c r="G7" s="55"/>
      <c r="H7" s="55"/>
      <c r="I7" s="56"/>
    </row>
    <row r="8" spans="3:9" hidden="1" x14ac:dyDescent="0.2">
      <c r="C8" s="54"/>
      <c r="D8" s="57"/>
      <c r="E8" s="57"/>
      <c r="F8" s="57"/>
      <c r="G8" s="57"/>
      <c r="H8" s="57"/>
      <c r="I8" s="56"/>
    </row>
    <row r="9" spans="3:9" hidden="1" x14ac:dyDescent="0.2">
      <c r="C9" s="54"/>
      <c r="E9" s="57"/>
      <c r="F9" s="57"/>
      <c r="G9" s="57"/>
      <c r="H9" s="57"/>
      <c r="I9" s="56"/>
    </row>
    <row r="10" spans="3:9" ht="15.75" hidden="1" x14ac:dyDescent="0.25">
      <c r="C10" s="54"/>
      <c r="D10" s="209" t="s">
        <v>178</v>
      </c>
      <c r="E10" s="209"/>
      <c r="F10" s="209"/>
      <c r="G10" s="209"/>
      <c r="H10" s="209"/>
      <c r="I10" s="56"/>
    </row>
    <row r="11" spans="3:9" hidden="1" x14ac:dyDescent="0.2">
      <c r="C11" s="54"/>
      <c r="D11" s="57"/>
      <c r="E11" s="57"/>
      <c r="F11" s="57"/>
      <c r="G11" s="57"/>
      <c r="H11" s="57"/>
      <c r="I11" s="56"/>
    </row>
    <row r="12" spans="3:9" x14ac:dyDescent="0.2">
      <c r="C12" s="54"/>
      <c r="D12" s="57"/>
      <c r="E12" s="57"/>
      <c r="F12" s="57"/>
      <c r="G12" s="57"/>
      <c r="H12" s="57"/>
      <c r="I12" s="56"/>
    </row>
    <row r="13" spans="3:9" x14ac:dyDescent="0.2">
      <c r="C13" s="54"/>
      <c r="D13" s="57"/>
      <c r="E13" s="57"/>
      <c r="F13" s="57"/>
      <c r="G13" s="57"/>
      <c r="H13" s="57"/>
      <c r="I13" s="56"/>
    </row>
    <row r="14" spans="3:9" ht="15.75" x14ac:dyDescent="0.25">
      <c r="C14" s="54"/>
      <c r="D14" s="210" t="s">
        <v>133</v>
      </c>
      <c r="E14" s="210"/>
      <c r="F14" s="210"/>
      <c r="G14" s="210"/>
      <c r="H14" s="210"/>
      <c r="I14" s="56"/>
    </row>
    <row r="15" spans="3:9" x14ac:dyDescent="0.2">
      <c r="C15" s="54"/>
      <c r="D15" s="57"/>
      <c r="E15" s="57"/>
      <c r="F15" s="57"/>
      <c r="G15" s="57"/>
      <c r="H15" s="57"/>
      <c r="I15" s="56"/>
    </row>
    <row r="16" spans="3:9" x14ac:dyDescent="0.2">
      <c r="C16" s="58" t="s">
        <v>19</v>
      </c>
      <c r="D16" s="59" t="s">
        <v>117</v>
      </c>
      <c r="E16" s="60" t="s">
        <v>118</v>
      </c>
      <c r="F16" s="60" t="s">
        <v>119</v>
      </c>
      <c r="G16" s="59" t="s">
        <v>120</v>
      </c>
      <c r="H16" s="61" t="s">
        <v>121</v>
      </c>
      <c r="I16" s="62" t="s">
        <v>21</v>
      </c>
    </row>
    <row r="17" spans="3:9" x14ac:dyDescent="0.2">
      <c r="C17" s="88"/>
      <c r="D17" s="189"/>
      <c r="E17" s="63"/>
      <c r="F17" s="63"/>
      <c r="G17" s="63"/>
      <c r="H17" s="64"/>
      <c r="I17" s="65"/>
    </row>
    <row r="18" spans="3:9" x14ac:dyDescent="0.2">
      <c r="C18" s="54"/>
      <c r="D18" s="57"/>
      <c r="E18" s="57"/>
      <c r="F18" s="57"/>
      <c r="G18" s="57"/>
      <c r="H18" s="57"/>
      <c r="I18" s="66" t="s">
        <v>22</v>
      </c>
    </row>
    <row r="19" spans="3:9" ht="15.75" x14ac:dyDescent="0.25">
      <c r="C19" s="67"/>
      <c r="D19" s="57"/>
      <c r="E19" s="57"/>
      <c r="F19" s="57"/>
      <c r="G19" s="68" t="s">
        <v>134</v>
      </c>
      <c r="H19" s="69">
        <f>SUM(Sprat1[Neto površina])</f>
        <v>0</v>
      </c>
      <c r="I19" s="56"/>
    </row>
    <row r="20" spans="3:9" x14ac:dyDescent="0.2">
      <c r="C20" s="54"/>
      <c r="D20" s="57"/>
      <c r="E20" s="57"/>
      <c r="F20" s="57"/>
      <c r="G20" s="57"/>
      <c r="H20" s="57"/>
      <c r="I20" s="56"/>
    </row>
    <row r="21" spans="3:9" ht="15.75" x14ac:dyDescent="0.25">
      <c r="C21" s="54"/>
      <c r="D21" s="57"/>
      <c r="E21" s="57"/>
      <c r="F21" s="57"/>
      <c r="G21" s="68" t="s">
        <v>135</v>
      </c>
      <c r="H21" s="69">
        <f>SUM(Sprat1[Neto površina])*0.97</f>
        <v>0</v>
      </c>
      <c r="I21" s="56"/>
    </row>
    <row r="22" spans="3:9" x14ac:dyDescent="0.2">
      <c r="C22" s="54"/>
      <c r="D22" s="57"/>
      <c r="E22" s="57"/>
      <c r="F22" s="57"/>
      <c r="G22" s="57"/>
      <c r="H22" s="57"/>
      <c r="I22" s="56"/>
    </row>
    <row r="23" spans="3:9" ht="15.75" x14ac:dyDescent="0.25">
      <c r="C23" s="36"/>
      <c r="D23" s="57"/>
      <c r="E23" s="57"/>
      <c r="F23" s="57"/>
      <c r="G23" s="68" t="s">
        <v>136</v>
      </c>
      <c r="H23" s="69">
        <f>UkupnaBrutoPovrsinaS1</f>
        <v>0</v>
      </c>
      <c r="I23" s="56"/>
    </row>
    <row r="24" spans="3:9" x14ac:dyDescent="0.2">
      <c r="C24" s="54"/>
      <c r="D24" s="70"/>
      <c r="E24" s="70"/>
      <c r="F24" s="70"/>
      <c r="G24" s="70"/>
      <c r="H24" s="70"/>
      <c r="I24" s="56"/>
    </row>
    <row r="25" spans="3:9" ht="15" customHeight="1" x14ac:dyDescent="0.2">
      <c r="C25" s="71"/>
      <c r="D25" s="71"/>
      <c r="E25" s="71"/>
      <c r="F25" s="71"/>
      <c r="G25" s="71"/>
      <c r="H25" s="71"/>
      <c r="I25" s="71"/>
    </row>
    <row r="26" spans="3:9" ht="15" customHeight="1" x14ac:dyDescent="0.2">
      <c r="I26" s="35"/>
    </row>
    <row r="27" spans="3:9" ht="15" customHeight="1" x14ac:dyDescent="0.2"/>
    <row r="28" spans="3:9" ht="15" customHeight="1" x14ac:dyDescent="0.2"/>
    <row r="29" spans="3:9" ht="15" customHeight="1" x14ac:dyDescent="0.2"/>
    <row r="30" spans="3:9" ht="15" customHeight="1" x14ac:dyDescent="0.2"/>
    <row r="31" spans="3:9" ht="15" customHeight="1" x14ac:dyDescent="0.2"/>
    <row r="32" spans="3:9" ht="15" customHeight="1" x14ac:dyDescent="0.2"/>
    <row r="33" ht="15" customHeight="1" x14ac:dyDescent="0.2"/>
    <row r="34" ht="15" customHeight="1" x14ac:dyDescent="0.2"/>
    <row r="35" ht="15" customHeight="1" x14ac:dyDescent="0.2"/>
    <row r="36" ht="15" customHeight="1" x14ac:dyDescent="0.2"/>
    <row r="37" ht="15" customHeight="1" x14ac:dyDescent="0.2"/>
    <row r="38" ht="15" customHeight="1" x14ac:dyDescent="0.2"/>
    <row r="39" ht="15" customHeight="1" x14ac:dyDescent="0.2"/>
    <row r="40" ht="15" customHeight="1" x14ac:dyDescent="0.2"/>
    <row r="41" ht="15" customHeight="1" x14ac:dyDescent="0.2"/>
    <row r="42" ht="15" customHeight="1" x14ac:dyDescent="0.2"/>
    <row r="43" ht="15" customHeight="1" x14ac:dyDescent="0.2"/>
    <row r="44" ht="15" customHeight="1" x14ac:dyDescent="0.2"/>
    <row r="45" ht="15" customHeight="1" x14ac:dyDescent="0.2"/>
    <row r="46" ht="15" customHeight="1" x14ac:dyDescent="0.2"/>
    <row r="47" ht="15" customHeight="1" x14ac:dyDescent="0.2"/>
    <row r="48" ht="15" customHeight="1" x14ac:dyDescent="0.2"/>
    <row r="49" ht="15" customHeight="1" x14ac:dyDescent="0.2"/>
    <row r="50" ht="15" customHeight="1" x14ac:dyDescent="0.2"/>
    <row r="51" ht="15" customHeight="1" x14ac:dyDescent="0.2"/>
    <row r="52" ht="15" customHeight="1" x14ac:dyDescent="0.2"/>
    <row r="100" ht="15.75" customHeight="1" x14ac:dyDescent="0.2"/>
    <row r="121" ht="15" customHeight="1" x14ac:dyDescent="0.2"/>
  </sheetData>
  <mergeCells count="3">
    <mergeCell ref="C1:I1"/>
    <mergeCell ref="D10:H10"/>
    <mergeCell ref="D14:H14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  <tableParts count="1">
    <tablePart r:id="rId4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C1:I121"/>
  <sheetViews>
    <sheetView showGridLine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2" width="2.21875" style="19" customWidth="1"/>
    <col min="3" max="3" width="2.21875" style="51" customWidth="1"/>
    <col min="4" max="4" width="8" style="51" customWidth="1"/>
    <col min="5" max="5" width="28.6640625" style="51" customWidth="1"/>
    <col min="6" max="7" width="9.44140625" style="51" customWidth="1"/>
    <col min="8" max="8" width="13.5546875" style="51" customWidth="1"/>
    <col min="9" max="9" width="2.21875" style="51" customWidth="1"/>
    <col min="10" max="184" width="2.21875" style="19" customWidth="1"/>
    <col min="185" max="16384" width="8.88671875" style="19"/>
  </cols>
  <sheetData>
    <row r="1" spans="3:9" s="18" customFormat="1" ht="30" customHeight="1" thickBot="1" x14ac:dyDescent="0.25">
      <c r="C1" s="208"/>
      <c r="D1" s="208"/>
      <c r="E1" s="208"/>
      <c r="F1" s="208"/>
      <c r="G1" s="208"/>
      <c r="H1" s="208"/>
      <c r="I1" s="208"/>
    </row>
    <row r="2" spans="3:9" ht="15.75" thickTop="1" x14ac:dyDescent="0.2"/>
    <row r="6" spans="3:9" x14ac:dyDescent="0.2">
      <c r="C6" s="52"/>
      <c r="D6" s="52"/>
      <c r="E6" s="52"/>
      <c r="F6" s="52"/>
      <c r="G6" s="52"/>
      <c r="H6" s="52"/>
      <c r="I6" s="53"/>
    </row>
    <row r="7" spans="3:9" x14ac:dyDescent="0.2">
      <c r="C7" s="54"/>
      <c r="D7" s="55"/>
      <c r="E7" s="55"/>
      <c r="F7" s="55"/>
      <c r="G7" s="55"/>
      <c r="H7" s="55"/>
      <c r="I7" s="56"/>
    </row>
    <row r="8" spans="3:9" hidden="1" x14ac:dyDescent="0.2">
      <c r="C8" s="54"/>
      <c r="D8" s="57"/>
      <c r="E8" s="57"/>
      <c r="F8" s="57"/>
      <c r="G8" s="57"/>
      <c r="H8" s="57"/>
      <c r="I8" s="56"/>
    </row>
    <row r="9" spans="3:9" hidden="1" x14ac:dyDescent="0.2">
      <c r="C9" s="54"/>
      <c r="E9" s="57"/>
      <c r="F9" s="57"/>
      <c r="G9" s="57"/>
      <c r="H9" s="57"/>
      <c r="I9" s="56"/>
    </row>
    <row r="10" spans="3:9" ht="15.75" hidden="1" x14ac:dyDescent="0.25">
      <c r="C10" s="54"/>
      <c r="D10" s="209" t="s">
        <v>178</v>
      </c>
      <c r="E10" s="209"/>
      <c r="F10" s="209"/>
      <c r="G10" s="209"/>
      <c r="H10" s="209"/>
      <c r="I10" s="56"/>
    </row>
    <row r="11" spans="3:9" hidden="1" x14ac:dyDescent="0.2">
      <c r="C11" s="54"/>
      <c r="D11" s="57"/>
      <c r="E11" s="57"/>
      <c r="F11" s="57"/>
      <c r="G11" s="57"/>
      <c r="H11" s="57"/>
      <c r="I11" s="56"/>
    </row>
    <row r="12" spans="3:9" x14ac:dyDescent="0.2">
      <c r="C12" s="54"/>
      <c r="D12" s="57"/>
      <c r="E12" s="57"/>
      <c r="F12" s="57"/>
      <c r="G12" s="57"/>
      <c r="H12" s="57"/>
      <c r="I12" s="56"/>
    </row>
    <row r="13" spans="3:9" x14ac:dyDescent="0.2">
      <c r="C13" s="54"/>
      <c r="D13" s="57"/>
      <c r="E13" s="57"/>
      <c r="F13" s="57"/>
      <c r="G13" s="57"/>
      <c r="H13" s="57"/>
      <c r="I13" s="56"/>
    </row>
    <row r="14" spans="3:9" ht="15.75" x14ac:dyDescent="0.25">
      <c r="C14" s="54"/>
      <c r="D14" s="210" t="s">
        <v>137</v>
      </c>
      <c r="E14" s="210"/>
      <c r="F14" s="210"/>
      <c r="G14" s="210"/>
      <c r="H14" s="210"/>
      <c r="I14" s="56"/>
    </row>
    <row r="15" spans="3:9" x14ac:dyDescent="0.2">
      <c r="C15" s="54"/>
      <c r="D15" s="57"/>
      <c r="E15" s="57"/>
      <c r="F15" s="57"/>
      <c r="G15" s="57"/>
      <c r="H15" s="57"/>
      <c r="I15" s="56"/>
    </row>
    <row r="16" spans="3:9" x14ac:dyDescent="0.2">
      <c r="C16" s="58" t="s">
        <v>19</v>
      </c>
      <c r="D16" s="59" t="s">
        <v>117</v>
      </c>
      <c r="E16" s="60" t="s">
        <v>118</v>
      </c>
      <c r="F16" s="60" t="s">
        <v>119</v>
      </c>
      <c r="G16" s="59" t="s">
        <v>120</v>
      </c>
      <c r="H16" s="61" t="s">
        <v>121</v>
      </c>
      <c r="I16" s="62" t="s">
        <v>21</v>
      </c>
    </row>
    <row r="17" spans="3:9" x14ac:dyDescent="0.2">
      <c r="C17" s="88"/>
      <c r="D17" s="189"/>
      <c r="E17" s="63"/>
      <c r="F17" s="63"/>
      <c r="G17" s="63"/>
      <c r="H17" s="64"/>
      <c r="I17" s="65"/>
    </row>
    <row r="18" spans="3:9" x14ac:dyDescent="0.2">
      <c r="C18" s="54"/>
      <c r="D18" s="57"/>
      <c r="E18" s="57"/>
      <c r="F18" s="57"/>
      <c r="G18" s="57"/>
      <c r="H18" s="57"/>
      <c r="I18" s="66" t="s">
        <v>22</v>
      </c>
    </row>
    <row r="19" spans="3:9" ht="15.75" x14ac:dyDescent="0.25">
      <c r="C19" s="67"/>
      <c r="D19" s="57"/>
      <c r="E19" s="57"/>
      <c r="F19" s="57"/>
      <c r="G19" s="68" t="s">
        <v>138</v>
      </c>
      <c r="H19" s="69">
        <f>SUM(Sprat2[Neto površina])</f>
        <v>0</v>
      </c>
      <c r="I19" s="56"/>
    </row>
    <row r="20" spans="3:9" x14ac:dyDescent="0.2">
      <c r="C20" s="54"/>
      <c r="D20" s="57"/>
      <c r="E20" s="57"/>
      <c r="F20" s="57"/>
      <c r="G20" s="57"/>
      <c r="H20" s="57"/>
      <c r="I20" s="56"/>
    </row>
    <row r="21" spans="3:9" ht="15.75" x14ac:dyDescent="0.25">
      <c r="C21" s="54"/>
      <c r="D21" s="57"/>
      <c r="E21" s="57"/>
      <c r="F21" s="57"/>
      <c r="G21" s="68" t="s">
        <v>139</v>
      </c>
      <c r="H21" s="69">
        <f>SUM(Sprat2[Neto površina])*0.97</f>
        <v>0</v>
      </c>
      <c r="I21" s="56"/>
    </row>
    <row r="22" spans="3:9" x14ac:dyDescent="0.2">
      <c r="C22" s="54"/>
      <c r="D22" s="57"/>
      <c r="E22" s="57"/>
      <c r="F22" s="57"/>
      <c r="G22" s="57"/>
      <c r="H22" s="57"/>
      <c r="I22" s="56"/>
    </row>
    <row r="23" spans="3:9" ht="15.75" x14ac:dyDescent="0.25">
      <c r="C23" s="36"/>
      <c r="D23" s="57"/>
      <c r="E23" s="57"/>
      <c r="F23" s="57"/>
      <c r="G23" s="68" t="s">
        <v>140</v>
      </c>
      <c r="H23" s="69">
        <f>UkupnaBrutoPovrsinaS2</f>
        <v>0</v>
      </c>
      <c r="I23" s="56"/>
    </row>
    <row r="24" spans="3:9" x14ac:dyDescent="0.2">
      <c r="C24" s="54"/>
      <c r="D24" s="70"/>
      <c r="E24" s="70"/>
      <c r="F24" s="70"/>
      <c r="G24" s="70"/>
      <c r="H24" s="70"/>
      <c r="I24" s="56"/>
    </row>
    <row r="25" spans="3:9" ht="15" customHeight="1" x14ac:dyDescent="0.2">
      <c r="C25" s="71"/>
      <c r="D25" s="71"/>
      <c r="E25" s="71"/>
      <c r="F25" s="71"/>
      <c r="G25" s="71"/>
      <c r="H25" s="71"/>
      <c r="I25" s="71"/>
    </row>
    <row r="26" spans="3:9" ht="15" customHeight="1" x14ac:dyDescent="0.2">
      <c r="I26" s="35"/>
    </row>
    <row r="27" spans="3:9" ht="15" customHeight="1" x14ac:dyDescent="0.2"/>
    <row r="28" spans="3:9" ht="15" customHeight="1" x14ac:dyDescent="0.2"/>
    <row r="29" spans="3:9" ht="15" customHeight="1" x14ac:dyDescent="0.2"/>
    <row r="30" spans="3:9" ht="15" customHeight="1" x14ac:dyDescent="0.2"/>
    <row r="31" spans="3:9" ht="15" customHeight="1" x14ac:dyDescent="0.2"/>
    <row r="32" spans="3:9" ht="15" customHeight="1" x14ac:dyDescent="0.2"/>
    <row r="33" ht="15" customHeight="1" x14ac:dyDescent="0.2"/>
    <row r="34" ht="15" customHeight="1" x14ac:dyDescent="0.2"/>
    <row r="35" ht="15" customHeight="1" x14ac:dyDescent="0.2"/>
    <row r="36" ht="15" customHeight="1" x14ac:dyDescent="0.2"/>
    <row r="37" ht="15" customHeight="1" x14ac:dyDescent="0.2"/>
    <row r="38" ht="15" customHeight="1" x14ac:dyDescent="0.2"/>
    <row r="39" ht="15" customHeight="1" x14ac:dyDescent="0.2"/>
    <row r="40" ht="15" customHeight="1" x14ac:dyDescent="0.2"/>
    <row r="41" ht="15" customHeight="1" x14ac:dyDescent="0.2"/>
    <row r="42" ht="15" customHeight="1" x14ac:dyDescent="0.2"/>
    <row r="43" ht="15" customHeight="1" x14ac:dyDescent="0.2"/>
    <row r="44" ht="15" customHeight="1" x14ac:dyDescent="0.2"/>
    <row r="45" ht="15" customHeight="1" x14ac:dyDescent="0.2"/>
    <row r="46" ht="15" customHeight="1" x14ac:dyDescent="0.2"/>
    <row r="47" ht="15" customHeight="1" x14ac:dyDescent="0.2"/>
    <row r="48" ht="15" customHeight="1" x14ac:dyDescent="0.2"/>
    <row r="49" ht="15" customHeight="1" x14ac:dyDescent="0.2"/>
    <row r="50" ht="15" customHeight="1" x14ac:dyDescent="0.2"/>
    <row r="51" ht="15" customHeight="1" x14ac:dyDescent="0.2"/>
    <row r="52" ht="15" customHeight="1" x14ac:dyDescent="0.2"/>
    <row r="100" ht="15.75" customHeight="1" x14ac:dyDescent="0.2"/>
    <row r="121" ht="15" customHeight="1" x14ac:dyDescent="0.2"/>
  </sheetData>
  <mergeCells count="3">
    <mergeCell ref="C1:I1"/>
    <mergeCell ref="D10:H10"/>
    <mergeCell ref="D14:H14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  <tableParts count="1">
    <tablePart r:id="rId4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C1:I121"/>
  <sheetViews>
    <sheetView showGridLine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2" width="2.21875" style="19" customWidth="1"/>
    <col min="3" max="3" width="2.21875" style="51" customWidth="1"/>
    <col min="4" max="4" width="8" style="51" customWidth="1"/>
    <col min="5" max="5" width="28.6640625" style="51" customWidth="1"/>
    <col min="6" max="7" width="9.44140625" style="51" customWidth="1"/>
    <col min="8" max="8" width="13.5546875" style="51" customWidth="1"/>
    <col min="9" max="9" width="2.21875" style="51" customWidth="1"/>
    <col min="10" max="184" width="2.21875" style="19" customWidth="1"/>
    <col min="185" max="16384" width="8.88671875" style="19"/>
  </cols>
  <sheetData>
    <row r="1" spans="3:9" s="18" customFormat="1" ht="30" customHeight="1" thickBot="1" x14ac:dyDescent="0.25">
      <c r="C1" s="208"/>
      <c r="D1" s="208"/>
      <c r="E1" s="208"/>
      <c r="F1" s="208"/>
      <c r="G1" s="208"/>
      <c r="H1" s="208"/>
      <c r="I1" s="208"/>
    </row>
    <row r="2" spans="3:9" ht="15.75" thickTop="1" x14ac:dyDescent="0.2"/>
    <row r="6" spans="3:9" x14ac:dyDescent="0.2">
      <c r="C6" s="52"/>
      <c r="D6" s="52"/>
      <c r="E6" s="52"/>
      <c r="F6" s="52"/>
      <c r="G6" s="52"/>
      <c r="H6" s="52"/>
      <c r="I6" s="53"/>
    </row>
    <row r="7" spans="3:9" x14ac:dyDescent="0.2">
      <c r="C7" s="54"/>
      <c r="D7" s="55"/>
      <c r="E7" s="55"/>
      <c r="F7" s="55"/>
      <c r="G7" s="55"/>
      <c r="H7" s="55"/>
      <c r="I7" s="56"/>
    </row>
    <row r="8" spans="3:9" hidden="1" x14ac:dyDescent="0.2">
      <c r="C8" s="54"/>
      <c r="D8" s="57"/>
      <c r="E8" s="57"/>
      <c r="F8" s="57"/>
      <c r="G8" s="57"/>
      <c r="H8" s="57"/>
      <c r="I8" s="56"/>
    </row>
    <row r="9" spans="3:9" hidden="1" x14ac:dyDescent="0.2">
      <c r="C9" s="54"/>
      <c r="E9" s="57"/>
      <c r="F9" s="57"/>
      <c r="G9" s="57"/>
      <c r="H9" s="57"/>
      <c r="I9" s="56"/>
    </row>
    <row r="10" spans="3:9" ht="15.75" hidden="1" x14ac:dyDescent="0.25">
      <c r="C10" s="54"/>
      <c r="D10" s="209" t="s">
        <v>178</v>
      </c>
      <c r="E10" s="209"/>
      <c r="F10" s="209"/>
      <c r="G10" s="209"/>
      <c r="H10" s="209"/>
      <c r="I10" s="56"/>
    </row>
    <row r="11" spans="3:9" hidden="1" x14ac:dyDescent="0.2">
      <c r="C11" s="54"/>
      <c r="D11" s="57"/>
      <c r="E11" s="57"/>
      <c r="F11" s="57"/>
      <c r="G11" s="57"/>
      <c r="H11" s="57"/>
      <c r="I11" s="56"/>
    </row>
    <row r="12" spans="3:9" x14ac:dyDescent="0.2">
      <c r="C12" s="54"/>
      <c r="D12" s="57"/>
      <c r="E12" s="57"/>
      <c r="F12" s="57"/>
      <c r="G12" s="57"/>
      <c r="H12" s="57"/>
      <c r="I12" s="56"/>
    </row>
    <row r="13" spans="3:9" x14ac:dyDescent="0.2">
      <c r="C13" s="54"/>
      <c r="D13" s="57"/>
      <c r="E13" s="57"/>
      <c r="F13" s="57"/>
      <c r="G13" s="57"/>
      <c r="H13" s="57"/>
      <c r="I13" s="56"/>
    </row>
    <row r="14" spans="3:9" ht="15.75" x14ac:dyDescent="0.25">
      <c r="C14" s="54"/>
      <c r="D14" s="210" t="s">
        <v>141</v>
      </c>
      <c r="E14" s="210"/>
      <c r="F14" s="210"/>
      <c r="G14" s="210"/>
      <c r="H14" s="210"/>
      <c r="I14" s="56"/>
    </row>
    <row r="15" spans="3:9" x14ac:dyDescent="0.2">
      <c r="C15" s="54"/>
      <c r="D15" s="57"/>
      <c r="E15" s="57"/>
      <c r="F15" s="57"/>
      <c r="G15" s="57"/>
      <c r="H15" s="57"/>
      <c r="I15" s="56"/>
    </row>
    <row r="16" spans="3:9" x14ac:dyDescent="0.2">
      <c r="C16" s="58" t="s">
        <v>19</v>
      </c>
      <c r="D16" s="59" t="s">
        <v>117</v>
      </c>
      <c r="E16" s="60" t="s">
        <v>118</v>
      </c>
      <c r="F16" s="60" t="s">
        <v>119</v>
      </c>
      <c r="G16" s="59" t="s">
        <v>120</v>
      </c>
      <c r="H16" s="61" t="s">
        <v>121</v>
      </c>
      <c r="I16" s="62" t="s">
        <v>21</v>
      </c>
    </row>
    <row r="17" spans="3:9" x14ac:dyDescent="0.2">
      <c r="C17" s="88"/>
      <c r="D17" s="189"/>
      <c r="E17" s="63"/>
      <c r="F17" s="63"/>
      <c r="G17" s="63"/>
      <c r="H17" s="64"/>
      <c r="I17" s="65"/>
    </row>
    <row r="18" spans="3:9" x14ac:dyDescent="0.2">
      <c r="C18" s="54"/>
      <c r="D18" s="57"/>
      <c r="E18" s="57"/>
      <c r="F18" s="57"/>
      <c r="G18" s="57"/>
      <c r="H18" s="57"/>
      <c r="I18" s="66" t="s">
        <v>22</v>
      </c>
    </row>
    <row r="19" spans="3:9" ht="15.75" x14ac:dyDescent="0.25">
      <c r="C19" s="67"/>
      <c r="D19" s="57"/>
      <c r="E19" s="57"/>
      <c r="F19" s="57"/>
      <c r="G19" s="68" t="s">
        <v>142</v>
      </c>
      <c r="H19" s="69">
        <f>SUM(Sprat3[Neto površina])</f>
        <v>0</v>
      </c>
      <c r="I19" s="56"/>
    </row>
    <row r="20" spans="3:9" x14ac:dyDescent="0.2">
      <c r="C20" s="54"/>
      <c r="D20" s="57"/>
      <c r="E20" s="57"/>
      <c r="F20" s="57"/>
      <c r="G20" s="57"/>
      <c r="H20" s="57"/>
      <c r="I20" s="56"/>
    </row>
    <row r="21" spans="3:9" ht="15.75" x14ac:dyDescent="0.25">
      <c r="C21" s="54"/>
      <c r="D21" s="57"/>
      <c r="E21" s="57"/>
      <c r="F21" s="57"/>
      <c r="G21" s="68" t="s">
        <v>143</v>
      </c>
      <c r="H21" s="69">
        <f>SUM(Sprat3[Neto površina])*0.97</f>
        <v>0</v>
      </c>
      <c r="I21" s="56"/>
    </row>
    <row r="22" spans="3:9" x14ac:dyDescent="0.2">
      <c r="C22" s="54"/>
      <c r="D22" s="57"/>
      <c r="E22" s="57"/>
      <c r="F22" s="57"/>
      <c r="G22" s="57"/>
      <c r="H22" s="57"/>
      <c r="I22" s="56"/>
    </row>
    <row r="23" spans="3:9" ht="15.75" x14ac:dyDescent="0.25">
      <c r="C23" s="36"/>
      <c r="D23" s="57"/>
      <c r="E23" s="57"/>
      <c r="F23" s="57"/>
      <c r="G23" s="68" t="s">
        <v>144</v>
      </c>
      <c r="H23" s="69">
        <f>UkupnaBrutoPovrsinaS3</f>
        <v>0</v>
      </c>
      <c r="I23" s="56"/>
    </row>
    <row r="24" spans="3:9" x14ac:dyDescent="0.2">
      <c r="C24" s="54"/>
      <c r="D24" s="70"/>
      <c r="E24" s="70"/>
      <c r="F24" s="70"/>
      <c r="G24" s="70"/>
      <c r="H24" s="70"/>
      <c r="I24" s="56"/>
    </row>
    <row r="25" spans="3:9" ht="15" customHeight="1" x14ac:dyDescent="0.2">
      <c r="C25" s="71"/>
      <c r="D25" s="71"/>
      <c r="E25" s="71"/>
      <c r="F25" s="71"/>
      <c r="G25" s="71"/>
      <c r="H25" s="71"/>
      <c r="I25" s="71"/>
    </row>
    <row r="26" spans="3:9" ht="15" customHeight="1" x14ac:dyDescent="0.2">
      <c r="I26" s="35"/>
    </row>
    <row r="27" spans="3:9" ht="15" customHeight="1" x14ac:dyDescent="0.2"/>
    <row r="28" spans="3:9" ht="15" customHeight="1" x14ac:dyDescent="0.2"/>
    <row r="29" spans="3:9" ht="15" customHeight="1" x14ac:dyDescent="0.2"/>
    <row r="30" spans="3:9" ht="15" customHeight="1" x14ac:dyDescent="0.2"/>
    <row r="31" spans="3:9" ht="15" customHeight="1" x14ac:dyDescent="0.2"/>
    <row r="32" spans="3:9" ht="15" customHeight="1" x14ac:dyDescent="0.2"/>
    <row r="33" ht="15" customHeight="1" x14ac:dyDescent="0.2"/>
    <row r="34" ht="15" customHeight="1" x14ac:dyDescent="0.2"/>
    <row r="35" ht="15" customHeight="1" x14ac:dyDescent="0.2"/>
    <row r="36" ht="15" customHeight="1" x14ac:dyDescent="0.2"/>
    <row r="37" ht="15" customHeight="1" x14ac:dyDescent="0.2"/>
    <row r="38" ht="15" customHeight="1" x14ac:dyDescent="0.2"/>
    <row r="39" ht="15" customHeight="1" x14ac:dyDescent="0.2"/>
    <row r="40" ht="15" customHeight="1" x14ac:dyDescent="0.2"/>
    <row r="41" ht="15" customHeight="1" x14ac:dyDescent="0.2"/>
    <row r="42" ht="15" customHeight="1" x14ac:dyDescent="0.2"/>
    <row r="43" ht="15" customHeight="1" x14ac:dyDescent="0.2"/>
    <row r="44" ht="15" customHeight="1" x14ac:dyDescent="0.2"/>
    <row r="45" ht="15" customHeight="1" x14ac:dyDescent="0.2"/>
    <row r="46" ht="15" customHeight="1" x14ac:dyDescent="0.2"/>
    <row r="47" ht="15" customHeight="1" x14ac:dyDescent="0.2"/>
    <row r="48" ht="15" customHeight="1" x14ac:dyDescent="0.2"/>
    <row r="49" ht="15" customHeight="1" x14ac:dyDescent="0.2"/>
    <row r="50" ht="15" customHeight="1" x14ac:dyDescent="0.2"/>
    <row r="51" ht="15" customHeight="1" x14ac:dyDescent="0.2"/>
    <row r="52" ht="15" customHeight="1" x14ac:dyDescent="0.2"/>
    <row r="100" ht="15.75" customHeight="1" x14ac:dyDescent="0.2"/>
    <row r="121" ht="15" customHeight="1" x14ac:dyDescent="0.2"/>
  </sheetData>
  <mergeCells count="3">
    <mergeCell ref="C1:I1"/>
    <mergeCell ref="D10:H10"/>
    <mergeCell ref="D14:H14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  <tableParts count="1">
    <tablePart r:id="rId4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C1:I121"/>
  <sheetViews>
    <sheetView showGridLine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2" width="2.21875" style="19" customWidth="1"/>
    <col min="3" max="3" width="2.21875" style="51" customWidth="1"/>
    <col min="4" max="4" width="8" style="51" customWidth="1"/>
    <col min="5" max="5" width="28.6640625" style="51" customWidth="1"/>
    <col min="6" max="7" width="9.44140625" style="51" customWidth="1"/>
    <col min="8" max="8" width="13.5546875" style="51" customWidth="1"/>
    <col min="9" max="9" width="2.21875" style="51" customWidth="1"/>
    <col min="10" max="184" width="2.21875" style="19" customWidth="1"/>
    <col min="185" max="16384" width="8.88671875" style="19"/>
  </cols>
  <sheetData>
    <row r="1" spans="3:9" s="18" customFormat="1" ht="30" customHeight="1" thickBot="1" x14ac:dyDescent="0.25">
      <c r="C1" s="208"/>
      <c r="D1" s="208"/>
      <c r="E1" s="208"/>
      <c r="F1" s="208"/>
      <c r="G1" s="208"/>
      <c r="H1" s="208"/>
      <c r="I1" s="208"/>
    </row>
    <row r="2" spans="3:9" ht="15.75" thickTop="1" x14ac:dyDescent="0.2"/>
    <row r="6" spans="3:9" x14ac:dyDescent="0.2">
      <c r="C6" s="52"/>
      <c r="D6" s="52"/>
      <c r="E6" s="52"/>
      <c r="F6" s="52"/>
      <c r="G6" s="52"/>
      <c r="H6" s="52"/>
      <c r="I6" s="53"/>
    </row>
    <row r="7" spans="3:9" x14ac:dyDescent="0.2">
      <c r="C7" s="54"/>
      <c r="D7" s="55"/>
      <c r="E7" s="55"/>
      <c r="F7" s="55"/>
      <c r="G7" s="55"/>
      <c r="H7" s="55"/>
      <c r="I7" s="56"/>
    </row>
    <row r="8" spans="3:9" hidden="1" x14ac:dyDescent="0.2">
      <c r="C8" s="54"/>
      <c r="D8" s="57"/>
      <c r="E8" s="57"/>
      <c r="F8" s="57"/>
      <c r="G8" s="57"/>
      <c r="H8" s="57"/>
      <c r="I8" s="56"/>
    </row>
    <row r="9" spans="3:9" hidden="1" x14ac:dyDescent="0.2">
      <c r="C9" s="54"/>
      <c r="E9" s="57"/>
      <c r="F9" s="57"/>
      <c r="G9" s="57"/>
      <c r="H9" s="57"/>
      <c r="I9" s="56"/>
    </row>
    <row r="10" spans="3:9" ht="15.75" hidden="1" x14ac:dyDescent="0.25">
      <c r="C10" s="54"/>
      <c r="D10" s="209" t="s">
        <v>178</v>
      </c>
      <c r="E10" s="209"/>
      <c r="F10" s="209"/>
      <c r="G10" s="209"/>
      <c r="H10" s="209"/>
      <c r="I10" s="56"/>
    </row>
    <row r="11" spans="3:9" hidden="1" x14ac:dyDescent="0.2">
      <c r="C11" s="54"/>
      <c r="D11" s="57"/>
      <c r="E11" s="57"/>
      <c r="F11" s="57"/>
      <c r="G11" s="57"/>
      <c r="H11" s="57"/>
      <c r="I11" s="56"/>
    </row>
    <row r="12" spans="3:9" x14ac:dyDescent="0.2">
      <c r="C12" s="54"/>
      <c r="D12" s="57"/>
      <c r="E12" s="57"/>
      <c r="F12" s="57"/>
      <c r="G12" s="57"/>
      <c r="H12" s="57"/>
      <c r="I12" s="56"/>
    </row>
    <row r="13" spans="3:9" x14ac:dyDescent="0.2">
      <c r="C13" s="54"/>
      <c r="D13" s="57"/>
      <c r="E13" s="57"/>
      <c r="F13" s="57"/>
      <c r="G13" s="57"/>
      <c r="H13" s="57"/>
      <c r="I13" s="56"/>
    </row>
    <row r="14" spans="3:9" ht="15.75" x14ac:dyDescent="0.25">
      <c r="C14" s="54"/>
      <c r="D14" s="210" t="s">
        <v>145</v>
      </c>
      <c r="E14" s="210"/>
      <c r="F14" s="210"/>
      <c r="G14" s="210"/>
      <c r="H14" s="210"/>
      <c r="I14" s="56"/>
    </row>
    <row r="15" spans="3:9" x14ac:dyDescent="0.2">
      <c r="C15" s="54"/>
      <c r="D15" s="57"/>
      <c r="E15" s="57"/>
      <c r="F15" s="57"/>
      <c r="G15" s="57"/>
      <c r="H15" s="57"/>
      <c r="I15" s="56"/>
    </row>
    <row r="16" spans="3:9" x14ac:dyDescent="0.2">
      <c r="C16" s="58" t="s">
        <v>19</v>
      </c>
      <c r="D16" s="59" t="s">
        <v>117</v>
      </c>
      <c r="E16" s="60" t="s">
        <v>118</v>
      </c>
      <c r="F16" s="60" t="s">
        <v>119</v>
      </c>
      <c r="G16" s="59" t="s">
        <v>120</v>
      </c>
      <c r="H16" s="61" t="s">
        <v>121</v>
      </c>
      <c r="I16" s="62" t="s">
        <v>21</v>
      </c>
    </row>
    <row r="17" spans="3:9" x14ac:dyDescent="0.2">
      <c r="C17" s="88"/>
      <c r="D17" s="189"/>
      <c r="E17" s="63"/>
      <c r="F17" s="63"/>
      <c r="G17" s="63"/>
      <c r="H17" s="64"/>
      <c r="I17" s="72"/>
    </row>
    <row r="18" spans="3:9" x14ac:dyDescent="0.2">
      <c r="C18" s="54"/>
      <c r="D18" s="57"/>
      <c r="E18" s="57"/>
      <c r="F18" s="57"/>
      <c r="G18" s="57"/>
      <c r="H18" s="57"/>
      <c r="I18" s="66" t="s">
        <v>22</v>
      </c>
    </row>
    <row r="19" spans="3:9" ht="15.75" x14ac:dyDescent="0.25">
      <c r="C19" s="67"/>
      <c r="D19" s="57"/>
      <c r="E19" s="57"/>
      <c r="F19" s="57"/>
      <c r="G19" s="68" t="s">
        <v>146</v>
      </c>
      <c r="H19" s="69">
        <f>SUM(Sprat4[Neto površina])</f>
        <v>0</v>
      </c>
      <c r="I19" s="56"/>
    </row>
    <row r="20" spans="3:9" x14ac:dyDescent="0.2">
      <c r="C20" s="54"/>
      <c r="D20" s="57"/>
      <c r="E20" s="57"/>
      <c r="F20" s="57"/>
      <c r="G20" s="57"/>
      <c r="H20" s="57"/>
      <c r="I20" s="56"/>
    </row>
    <row r="21" spans="3:9" ht="15.75" x14ac:dyDescent="0.25">
      <c r="C21" s="54"/>
      <c r="D21" s="57"/>
      <c r="E21" s="57"/>
      <c r="F21" s="57"/>
      <c r="G21" s="68" t="s">
        <v>147</v>
      </c>
      <c r="H21" s="69">
        <f>SUM(Sprat4[Neto površina])*0.97</f>
        <v>0</v>
      </c>
      <c r="I21" s="56"/>
    </row>
    <row r="22" spans="3:9" x14ac:dyDescent="0.2">
      <c r="C22" s="54"/>
      <c r="D22" s="57"/>
      <c r="E22" s="57"/>
      <c r="F22" s="57"/>
      <c r="G22" s="57"/>
      <c r="H22" s="57"/>
      <c r="I22" s="56"/>
    </row>
    <row r="23" spans="3:9" ht="15.75" x14ac:dyDescent="0.25">
      <c r="C23" s="36"/>
      <c r="D23" s="57"/>
      <c r="E23" s="57"/>
      <c r="F23" s="57"/>
      <c r="G23" s="68" t="s">
        <v>148</v>
      </c>
      <c r="H23" s="69">
        <f>UkupnaBrutoPovrsinaS4</f>
        <v>0</v>
      </c>
      <c r="I23" s="56"/>
    </row>
    <row r="24" spans="3:9" x14ac:dyDescent="0.2">
      <c r="C24" s="54"/>
      <c r="D24" s="70"/>
      <c r="E24" s="70"/>
      <c r="F24" s="70"/>
      <c r="G24" s="70"/>
      <c r="H24" s="70"/>
      <c r="I24" s="56"/>
    </row>
    <row r="25" spans="3:9" ht="15" customHeight="1" x14ac:dyDescent="0.2">
      <c r="C25" s="71"/>
      <c r="D25" s="71"/>
      <c r="E25" s="71"/>
      <c r="F25" s="71"/>
      <c r="G25" s="71"/>
      <c r="H25" s="71"/>
      <c r="I25" s="71"/>
    </row>
    <row r="26" spans="3:9" ht="15" customHeight="1" x14ac:dyDescent="0.2">
      <c r="I26" s="35"/>
    </row>
    <row r="27" spans="3:9" ht="15" customHeight="1" x14ac:dyDescent="0.2"/>
    <row r="28" spans="3:9" ht="15" customHeight="1" x14ac:dyDescent="0.2"/>
    <row r="29" spans="3:9" ht="15" customHeight="1" x14ac:dyDescent="0.2"/>
    <row r="30" spans="3:9" ht="15" customHeight="1" x14ac:dyDescent="0.2"/>
    <row r="31" spans="3:9" ht="15" customHeight="1" x14ac:dyDescent="0.2"/>
    <row r="32" spans="3:9" ht="15" customHeight="1" x14ac:dyDescent="0.2"/>
    <row r="33" ht="15" customHeight="1" x14ac:dyDescent="0.2"/>
    <row r="34" ht="15" customHeight="1" x14ac:dyDescent="0.2"/>
    <row r="35" ht="15" customHeight="1" x14ac:dyDescent="0.2"/>
    <row r="36" ht="15" customHeight="1" x14ac:dyDescent="0.2"/>
    <row r="37" ht="15" customHeight="1" x14ac:dyDescent="0.2"/>
    <row r="38" ht="15" customHeight="1" x14ac:dyDescent="0.2"/>
    <row r="39" ht="15" customHeight="1" x14ac:dyDescent="0.2"/>
    <row r="40" ht="15" customHeight="1" x14ac:dyDescent="0.2"/>
    <row r="41" ht="15" customHeight="1" x14ac:dyDescent="0.2"/>
    <row r="42" ht="15" customHeight="1" x14ac:dyDescent="0.2"/>
    <row r="43" ht="15" customHeight="1" x14ac:dyDescent="0.2"/>
    <row r="44" ht="15" customHeight="1" x14ac:dyDescent="0.2"/>
    <row r="45" ht="15" customHeight="1" x14ac:dyDescent="0.2"/>
    <row r="46" ht="15" customHeight="1" x14ac:dyDescent="0.2"/>
    <row r="47" ht="15" customHeight="1" x14ac:dyDescent="0.2"/>
    <row r="48" ht="15" customHeight="1" x14ac:dyDescent="0.2"/>
    <row r="49" ht="15" customHeight="1" x14ac:dyDescent="0.2"/>
    <row r="50" ht="15" customHeight="1" x14ac:dyDescent="0.2"/>
    <row r="51" ht="15" customHeight="1" x14ac:dyDescent="0.2"/>
    <row r="52" ht="15" customHeight="1" x14ac:dyDescent="0.2"/>
    <row r="100" ht="15.75" customHeight="1" x14ac:dyDescent="0.2"/>
    <row r="121" ht="15" customHeight="1" x14ac:dyDescent="0.2"/>
  </sheetData>
  <mergeCells count="3">
    <mergeCell ref="C1:I1"/>
    <mergeCell ref="D10:H10"/>
    <mergeCell ref="D14:H14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  <tableParts count="1">
    <tablePart r:id="rId4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C1:I121"/>
  <sheetViews>
    <sheetView showGridLine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2" width="2.21875" style="19" customWidth="1"/>
    <col min="3" max="3" width="2.21875" style="51" customWidth="1"/>
    <col min="4" max="4" width="8" style="51" customWidth="1"/>
    <col min="5" max="5" width="28.6640625" style="51" customWidth="1"/>
    <col min="6" max="7" width="9.44140625" style="51" customWidth="1"/>
    <col min="8" max="8" width="13.5546875" style="51" customWidth="1"/>
    <col min="9" max="9" width="2.21875" style="51" customWidth="1"/>
    <col min="10" max="184" width="2.21875" style="19" customWidth="1"/>
    <col min="185" max="16384" width="8.88671875" style="19"/>
  </cols>
  <sheetData>
    <row r="1" spans="3:9" s="18" customFormat="1" ht="30" customHeight="1" thickBot="1" x14ac:dyDescent="0.25">
      <c r="C1" s="208"/>
      <c r="D1" s="208"/>
      <c r="E1" s="208"/>
      <c r="F1" s="208"/>
      <c r="G1" s="208"/>
      <c r="H1" s="208"/>
      <c r="I1" s="208"/>
    </row>
    <row r="2" spans="3:9" ht="15.75" thickTop="1" x14ac:dyDescent="0.2"/>
    <row r="6" spans="3:9" x14ac:dyDescent="0.2">
      <c r="C6" s="52"/>
      <c r="D6" s="52"/>
      <c r="E6" s="52"/>
      <c r="F6" s="52"/>
      <c r="G6" s="52"/>
      <c r="H6" s="52"/>
      <c r="I6" s="53"/>
    </row>
    <row r="7" spans="3:9" x14ac:dyDescent="0.2">
      <c r="C7" s="54"/>
      <c r="D7" s="55"/>
      <c r="E7" s="55"/>
      <c r="F7" s="55"/>
      <c r="G7" s="55"/>
      <c r="H7" s="55"/>
      <c r="I7" s="56"/>
    </row>
    <row r="8" spans="3:9" hidden="1" x14ac:dyDescent="0.2">
      <c r="C8" s="54"/>
      <c r="D8" s="57"/>
      <c r="E8" s="57"/>
      <c r="F8" s="57"/>
      <c r="G8" s="57"/>
      <c r="H8" s="57"/>
      <c r="I8" s="56"/>
    </row>
    <row r="9" spans="3:9" hidden="1" x14ac:dyDescent="0.2">
      <c r="C9" s="54"/>
      <c r="E9" s="57"/>
      <c r="F9" s="57"/>
      <c r="G9" s="57"/>
      <c r="H9" s="57"/>
      <c r="I9" s="56"/>
    </row>
    <row r="10" spans="3:9" ht="15.75" hidden="1" x14ac:dyDescent="0.25">
      <c r="C10" s="54"/>
      <c r="D10" s="209" t="s">
        <v>178</v>
      </c>
      <c r="E10" s="209"/>
      <c r="F10" s="209"/>
      <c r="G10" s="209"/>
      <c r="H10" s="209"/>
      <c r="I10" s="56"/>
    </row>
    <row r="11" spans="3:9" hidden="1" x14ac:dyDescent="0.2">
      <c r="C11" s="54"/>
      <c r="D11" s="57"/>
      <c r="E11" s="57"/>
      <c r="F11" s="57"/>
      <c r="G11" s="57"/>
      <c r="H11" s="57"/>
      <c r="I11" s="56"/>
    </row>
    <row r="12" spans="3:9" x14ac:dyDescent="0.2">
      <c r="C12" s="54"/>
      <c r="D12" s="57"/>
      <c r="E12" s="57"/>
      <c r="F12" s="57"/>
      <c r="G12" s="57"/>
      <c r="H12" s="57"/>
      <c r="I12" s="56"/>
    </row>
    <row r="13" spans="3:9" x14ac:dyDescent="0.2">
      <c r="C13" s="54"/>
      <c r="D13" s="57"/>
      <c r="E13" s="57"/>
      <c r="F13" s="57"/>
      <c r="G13" s="57"/>
      <c r="H13" s="57"/>
      <c r="I13" s="56"/>
    </row>
    <row r="14" spans="3:9" ht="15.75" x14ac:dyDescent="0.25">
      <c r="C14" s="54"/>
      <c r="D14" s="210" t="s">
        <v>149</v>
      </c>
      <c r="E14" s="210"/>
      <c r="F14" s="210"/>
      <c r="G14" s="210"/>
      <c r="H14" s="210"/>
      <c r="I14" s="56"/>
    </row>
    <row r="15" spans="3:9" x14ac:dyDescent="0.2">
      <c r="C15" s="54"/>
      <c r="D15" s="57"/>
      <c r="E15" s="57"/>
      <c r="F15" s="57"/>
      <c r="G15" s="57"/>
      <c r="H15" s="57"/>
      <c r="I15" s="56"/>
    </row>
    <row r="16" spans="3:9" x14ac:dyDescent="0.2">
      <c r="C16" s="58" t="s">
        <v>19</v>
      </c>
      <c r="D16" s="59" t="s">
        <v>117</v>
      </c>
      <c r="E16" s="60" t="s">
        <v>118</v>
      </c>
      <c r="F16" s="60" t="s">
        <v>119</v>
      </c>
      <c r="G16" s="59" t="s">
        <v>120</v>
      </c>
      <c r="H16" s="61" t="s">
        <v>121</v>
      </c>
      <c r="I16" s="62" t="s">
        <v>21</v>
      </c>
    </row>
    <row r="17" spans="3:9" x14ac:dyDescent="0.2">
      <c r="C17" s="88"/>
      <c r="D17" s="189"/>
      <c r="E17" s="63"/>
      <c r="F17" s="63"/>
      <c r="G17" s="63"/>
      <c r="H17" s="64"/>
      <c r="I17" s="72"/>
    </row>
    <row r="18" spans="3:9" x14ac:dyDescent="0.2">
      <c r="C18" s="54"/>
      <c r="D18" s="57"/>
      <c r="E18" s="57"/>
      <c r="F18" s="57"/>
      <c r="G18" s="57"/>
      <c r="H18" s="57"/>
      <c r="I18" s="66" t="s">
        <v>22</v>
      </c>
    </row>
    <row r="19" spans="3:9" ht="15.75" x14ac:dyDescent="0.25">
      <c r="C19" s="67"/>
      <c r="D19" s="57"/>
      <c r="E19" s="57"/>
      <c r="F19" s="57"/>
      <c r="G19" s="68" t="s">
        <v>150</v>
      </c>
      <c r="H19" s="69">
        <f>SUM(Sprat5[Neto površina])</f>
        <v>0</v>
      </c>
      <c r="I19" s="56"/>
    </row>
    <row r="20" spans="3:9" x14ac:dyDescent="0.2">
      <c r="C20" s="54"/>
      <c r="D20" s="57"/>
      <c r="E20" s="57"/>
      <c r="F20" s="57"/>
      <c r="G20" s="57"/>
      <c r="H20" s="57"/>
      <c r="I20" s="56"/>
    </row>
    <row r="21" spans="3:9" ht="15.75" x14ac:dyDescent="0.25">
      <c r="C21" s="54"/>
      <c r="D21" s="57"/>
      <c r="E21" s="57"/>
      <c r="F21" s="57"/>
      <c r="G21" s="68" t="s">
        <v>151</v>
      </c>
      <c r="H21" s="69">
        <f>SUM(Sprat5[Neto površina])*0.97</f>
        <v>0</v>
      </c>
      <c r="I21" s="56"/>
    </row>
    <row r="22" spans="3:9" x14ac:dyDescent="0.2">
      <c r="C22" s="54"/>
      <c r="D22" s="57"/>
      <c r="E22" s="57"/>
      <c r="F22" s="57"/>
      <c r="G22" s="57"/>
      <c r="H22" s="57"/>
      <c r="I22" s="56"/>
    </row>
    <row r="23" spans="3:9" ht="15.75" x14ac:dyDescent="0.25">
      <c r="C23" s="36"/>
      <c r="D23" s="57"/>
      <c r="E23" s="57"/>
      <c r="F23" s="57"/>
      <c r="G23" s="68" t="s">
        <v>152</v>
      </c>
      <c r="H23" s="69">
        <f>UkupnaBrutoPovrsinaS5</f>
        <v>0</v>
      </c>
      <c r="I23" s="56"/>
    </row>
    <row r="24" spans="3:9" x14ac:dyDescent="0.2">
      <c r="C24" s="54"/>
      <c r="D24" s="70"/>
      <c r="E24" s="70"/>
      <c r="F24" s="70"/>
      <c r="G24" s="70"/>
      <c r="H24" s="70"/>
      <c r="I24" s="56"/>
    </row>
    <row r="25" spans="3:9" ht="15" customHeight="1" x14ac:dyDescent="0.2">
      <c r="C25" s="71"/>
      <c r="D25" s="71"/>
      <c r="E25" s="71"/>
      <c r="F25" s="71"/>
      <c r="G25" s="71"/>
      <c r="H25" s="71"/>
      <c r="I25" s="71"/>
    </row>
    <row r="26" spans="3:9" ht="15" customHeight="1" x14ac:dyDescent="0.2">
      <c r="I26" s="35"/>
    </row>
    <row r="27" spans="3:9" ht="15" customHeight="1" x14ac:dyDescent="0.2"/>
    <row r="28" spans="3:9" ht="15" customHeight="1" x14ac:dyDescent="0.2"/>
    <row r="29" spans="3:9" ht="15" customHeight="1" x14ac:dyDescent="0.2"/>
    <row r="30" spans="3:9" ht="15" customHeight="1" x14ac:dyDescent="0.2"/>
    <row r="31" spans="3:9" ht="15" customHeight="1" x14ac:dyDescent="0.2"/>
    <row r="32" spans="3:9" ht="15" customHeight="1" x14ac:dyDescent="0.2"/>
    <row r="33" ht="15" customHeight="1" x14ac:dyDescent="0.2"/>
    <row r="34" ht="15" customHeight="1" x14ac:dyDescent="0.2"/>
    <row r="35" ht="15" customHeight="1" x14ac:dyDescent="0.2"/>
    <row r="36" ht="15" customHeight="1" x14ac:dyDescent="0.2"/>
    <row r="37" ht="15" customHeight="1" x14ac:dyDescent="0.2"/>
    <row r="38" ht="15" customHeight="1" x14ac:dyDescent="0.2"/>
    <row r="39" ht="15" customHeight="1" x14ac:dyDescent="0.2"/>
    <row r="40" ht="15" customHeight="1" x14ac:dyDescent="0.2"/>
    <row r="41" ht="15" customHeight="1" x14ac:dyDescent="0.2"/>
    <row r="42" ht="15" customHeight="1" x14ac:dyDescent="0.2"/>
    <row r="43" ht="15" customHeight="1" x14ac:dyDescent="0.2"/>
    <row r="44" ht="15" customHeight="1" x14ac:dyDescent="0.2"/>
    <row r="45" ht="15" customHeight="1" x14ac:dyDescent="0.2"/>
    <row r="46" ht="15" customHeight="1" x14ac:dyDescent="0.2"/>
    <row r="47" ht="15" customHeight="1" x14ac:dyDescent="0.2"/>
    <row r="48" ht="15" customHeight="1" x14ac:dyDescent="0.2"/>
    <row r="49" ht="15" customHeight="1" x14ac:dyDescent="0.2"/>
    <row r="50" ht="15" customHeight="1" x14ac:dyDescent="0.2"/>
    <row r="51" ht="15" customHeight="1" x14ac:dyDescent="0.2"/>
    <row r="52" ht="15" customHeight="1" x14ac:dyDescent="0.2"/>
    <row r="100" ht="15.75" customHeight="1" x14ac:dyDescent="0.2"/>
    <row r="121" ht="15" customHeight="1" x14ac:dyDescent="0.2"/>
  </sheetData>
  <mergeCells count="3">
    <mergeCell ref="C1:I1"/>
    <mergeCell ref="D10:H10"/>
    <mergeCell ref="D14:H14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  <tableParts count="1">
    <tablePart r:id="rId4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C1:I111"/>
  <sheetViews>
    <sheetView showGridLine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2" width="2.21875" style="19" customWidth="1"/>
    <col min="3" max="3" width="2.21875" style="51" customWidth="1"/>
    <col min="4" max="4" width="8" style="51" customWidth="1"/>
    <col min="5" max="5" width="28.6640625" style="51" customWidth="1"/>
    <col min="6" max="7" width="9.44140625" style="51" customWidth="1"/>
    <col min="8" max="8" width="13.5546875" style="51" customWidth="1"/>
    <col min="9" max="9" width="2.21875" style="51" customWidth="1"/>
    <col min="10" max="184" width="2.21875" style="19" customWidth="1"/>
    <col min="185" max="16384" width="8.88671875" style="19"/>
  </cols>
  <sheetData>
    <row r="1" spans="3:9" s="18" customFormat="1" ht="30" customHeight="1" thickBot="1" x14ac:dyDescent="0.25">
      <c r="C1" s="208"/>
      <c r="D1" s="208"/>
      <c r="E1" s="208"/>
      <c r="F1" s="208"/>
      <c r="G1" s="208"/>
      <c r="H1" s="208"/>
      <c r="I1" s="208"/>
    </row>
    <row r="2" spans="3:9" ht="15.75" thickTop="1" x14ac:dyDescent="0.2"/>
    <row r="6" spans="3:9" x14ac:dyDescent="0.2">
      <c r="C6" s="52"/>
      <c r="D6" s="52"/>
      <c r="E6" s="52"/>
      <c r="F6" s="52"/>
      <c r="G6" s="52"/>
      <c r="H6" s="52"/>
      <c r="I6" s="53"/>
    </row>
    <row r="7" spans="3:9" x14ac:dyDescent="0.2">
      <c r="C7" s="54"/>
      <c r="D7" s="55"/>
      <c r="E7" s="55"/>
      <c r="F7" s="55"/>
      <c r="G7" s="55"/>
      <c r="H7" s="55"/>
      <c r="I7" s="56"/>
    </row>
    <row r="8" spans="3:9" hidden="1" x14ac:dyDescent="0.2">
      <c r="C8" s="54"/>
      <c r="D8" s="57"/>
      <c r="E8" s="57"/>
      <c r="F8" s="57"/>
      <c r="G8" s="57"/>
      <c r="H8" s="57"/>
      <c r="I8" s="56"/>
    </row>
    <row r="9" spans="3:9" hidden="1" x14ac:dyDescent="0.2">
      <c r="C9" s="54"/>
      <c r="E9" s="57"/>
      <c r="F9" s="57"/>
      <c r="G9" s="57"/>
      <c r="H9" s="57"/>
      <c r="I9" s="56"/>
    </row>
    <row r="10" spans="3:9" ht="15.75" hidden="1" x14ac:dyDescent="0.25">
      <c r="C10" s="54"/>
      <c r="D10" s="209" t="s">
        <v>178</v>
      </c>
      <c r="E10" s="209"/>
      <c r="F10" s="209"/>
      <c r="G10" s="209"/>
      <c r="H10" s="209"/>
      <c r="I10" s="56"/>
    </row>
    <row r="11" spans="3:9" hidden="1" x14ac:dyDescent="0.2">
      <c r="C11" s="54"/>
      <c r="D11" s="57"/>
      <c r="E11" s="57"/>
      <c r="F11" s="57"/>
      <c r="G11" s="57"/>
      <c r="H11" s="57"/>
      <c r="I11" s="56"/>
    </row>
    <row r="12" spans="3:9" x14ac:dyDescent="0.2">
      <c r="C12" s="54"/>
      <c r="D12" s="57"/>
      <c r="E12" s="57"/>
      <c r="F12" s="57"/>
      <c r="G12" s="57"/>
      <c r="H12" s="57"/>
      <c r="I12" s="56"/>
    </row>
    <row r="13" spans="3:9" x14ac:dyDescent="0.2">
      <c r="C13" s="54"/>
      <c r="D13" s="57"/>
      <c r="E13" s="57"/>
      <c r="F13" s="57"/>
      <c r="G13" s="57"/>
      <c r="H13" s="57"/>
      <c r="I13" s="56"/>
    </row>
    <row r="14" spans="3:9" ht="15.75" x14ac:dyDescent="0.25">
      <c r="C14" s="54"/>
      <c r="D14" s="210" t="s">
        <v>153</v>
      </c>
      <c r="E14" s="210"/>
      <c r="F14" s="210"/>
      <c r="G14" s="210"/>
      <c r="H14" s="210"/>
      <c r="I14" s="56"/>
    </row>
    <row r="15" spans="3:9" x14ac:dyDescent="0.2">
      <c r="C15" s="54"/>
      <c r="D15" s="57"/>
      <c r="E15" s="57"/>
      <c r="F15" s="57"/>
      <c r="G15" s="57"/>
      <c r="H15" s="57"/>
      <c r="I15" s="56"/>
    </row>
    <row r="16" spans="3:9" x14ac:dyDescent="0.2">
      <c r="C16" s="58" t="s">
        <v>19</v>
      </c>
      <c r="D16" s="59" t="s">
        <v>117</v>
      </c>
      <c r="E16" s="60" t="s">
        <v>118</v>
      </c>
      <c r="F16" s="60" t="s">
        <v>119</v>
      </c>
      <c r="G16" s="59" t="s">
        <v>120</v>
      </c>
      <c r="H16" s="61" t="s">
        <v>121</v>
      </c>
      <c r="I16" s="62" t="s">
        <v>21</v>
      </c>
    </row>
    <row r="17" spans="3:9" x14ac:dyDescent="0.2">
      <c r="C17" s="95"/>
      <c r="D17" s="190"/>
      <c r="E17" s="180"/>
      <c r="F17" s="180"/>
      <c r="G17" s="195"/>
      <c r="H17" s="181"/>
      <c r="I17" s="182"/>
    </row>
    <row r="18" spans="3:9" x14ac:dyDescent="0.2">
      <c r="C18" s="54"/>
      <c r="D18" s="57"/>
      <c r="E18" s="57"/>
      <c r="F18" s="57"/>
      <c r="G18" s="57"/>
      <c r="H18" s="57"/>
      <c r="I18" s="66" t="s">
        <v>22</v>
      </c>
    </row>
    <row r="19" spans="3:9" ht="15.75" x14ac:dyDescent="0.25">
      <c r="C19" s="67"/>
      <c r="D19" s="57"/>
      <c r="E19" s="57"/>
      <c r="F19" s="57"/>
      <c r="G19" s="68" t="s">
        <v>154</v>
      </c>
      <c r="H19" s="69">
        <f>SUM(Pk[Neto površina])</f>
        <v>0</v>
      </c>
      <c r="I19" s="56"/>
    </row>
    <row r="20" spans="3:9" x14ac:dyDescent="0.2">
      <c r="C20" s="54"/>
      <c r="D20" s="57"/>
      <c r="E20" s="57"/>
      <c r="F20" s="57"/>
      <c r="G20" s="57"/>
      <c r="H20" s="57"/>
      <c r="I20" s="56"/>
    </row>
    <row r="21" spans="3:9" ht="15.75" x14ac:dyDescent="0.25">
      <c r="C21" s="54"/>
      <c r="D21" s="57"/>
      <c r="E21" s="57"/>
      <c r="F21" s="57"/>
      <c r="G21" s="68" t="s">
        <v>155</v>
      </c>
      <c r="H21" s="69">
        <f>SUM(Pk[Neto površina])*0.97</f>
        <v>0</v>
      </c>
      <c r="I21" s="56"/>
    </row>
    <row r="22" spans="3:9" x14ac:dyDescent="0.2">
      <c r="C22" s="54"/>
      <c r="D22" s="57"/>
      <c r="E22" s="57"/>
      <c r="F22" s="57"/>
      <c r="G22" s="57"/>
      <c r="H22" s="57"/>
      <c r="I22" s="56"/>
    </row>
    <row r="23" spans="3:9" ht="15.75" x14ac:dyDescent="0.25">
      <c r="C23" s="36"/>
      <c r="D23" s="57"/>
      <c r="E23" s="57"/>
      <c r="F23" s="57"/>
      <c r="G23" s="68" t="s">
        <v>156</v>
      </c>
      <c r="H23" s="69">
        <f>UkupnaBrutoPovrsinaPk</f>
        <v>0</v>
      </c>
      <c r="I23" s="56"/>
    </row>
    <row r="24" spans="3:9" x14ac:dyDescent="0.2">
      <c r="C24" s="54"/>
      <c r="D24" s="70"/>
      <c r="E24" s="70"/>
      <c r="F24" s="70"/>
      <c r="G24" s="70"/>
      <c r="H24" s="70"/>
      <c r="I24" s="56"/>
    </row>
    <row r="25" spans="3:9" ht="15" customHeight="1" x14ac:dyDescent="0.2">
      <c r="C25" s="71"/>
      <c r="D25" s="71"/>
      <c r="E25" s="71"/>
      <c r="F25" s="71"/>
      <c r="G25" s="71"/>
      <c r="H25" s="71"/>
      <c r="I25" s="71"/>
    </row>
    <row r="26" spans="3:9" ht="15" customHeight="1" x14ac:dyDescent="0.2">
      <c r="I26" s="35"/>
    </row>
    <row r="27" spans="3:9" ht="15" customHeight="1" x14ac:dyDescent="0.2"/>
    <row r="28" spans="3:9" ht="15" customHeight="1" x14ac:dyDescent="0.2"/>
    <row r="29" spans="3:9" ht="15" customHeight="1" x14ac:dyDescent="0.2"/>
    <row r="30" spans="3:9" ht="15" customHeight="1" x14ac:dyDescent="0.2"/>
    <row r="31" spans="3:9" ht="15" customHeight="1" x14ac:dyDescent="0.2"/>
    <row r="32" spans="3:9" ht="15" customHeight="1" x14ac:dyDescent="0.2"/>
    <row r="33" ht="15" customHeight="1" x14ac:dyDescent="0.2"/>
    <row r="34" ht="15" customHeight="1" x14ac:dyDescent="0.2"/>
    <row r="35" ht="15" customHeight="1" x14ac:dyDescent="0.2"/>
    <row r="36" ht="15" customHeight="1" x14ac:dyDescent="0.2"/>
    <row r="37" ht="15" customHeight="1" x14ac:dyDescent="0.2"/>
    <row r="38" ht="15" customHeight="1" x14ac:dyDescent="0.2"/>
    <row r="39" ht="15" customHeight="1" x14ac:dyDescent="0.2"/>
    <row r="40" ht="15" customHeight="1" x14ac:dyDescent="0.2"/>
    <row r="41" ht="15" customHeight="1" x14ac:dyDescent="0.2"/>
    <row r="42" ht="15" customHeight="1" x14ac:dyDescent="0.2"/>
    <row r="90" ht="15.75" customHeight="1" x14ac:dyDescent="0.2"/>
    <row r="111" ht="15" customHeight="1" x14ac:dyDescent="0.2"/>
  </sheetData>
  <mergeCells count="3">
    <mergeCell ref="C1:I1"/>
    <mergeCell ref="D10:H10"/>
    <mergeCell ref="D14:H14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  <tableParts count="1">
    <tablePart r:id="rId4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C1:H200"/>
  <sheetViews>
    <sheetView showGridLines="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3" width="2.21875" style="19" customWidth="1"/>
    <col min="4" max="4" width="28.5546875" style="19" customWidth="1"/>
    <col min="5" max="7" width="13.5546875" style="19" customWidth="1"/>
    <col min="8" max="189" width="2.21875" style="19" customWidth="1"/>
    <col min="190" max="16384" width="8.88671875" style="19"/>
  </cols>
  <sheetData>
    <row r="1" spans="3:8" s="18" customFormat="1" ht="30" customHeight="1" thickBot="1" x14ac:dyDescent="0.25">
      <c r="C1" s="203"/>
      <c r="D1" s="203"/>
      <c r="E1" s="203"/>
      <c r="F1" s="203"/>
      <c r="G1" s="203"/>
      <c r="H1" s="203"/>
    </row>
    <row r="2" spans="3:8" ht="15.75" thickTop="1" x14ac:dyDescent="0.2"/>
    <row r="6" spans="3:8" x14ac:dyDescent="0.2">
      <c r="C6" s="3"/>
      <c r="D6" s="3"/>
      <c r="E6" s="3"/>
      <c r="F6" s="3"/>
      <c r="G6" s="3"/>
      <c r="H6" s="73"/>
    </row>
    <row r="7" spans="3:8" x14ac:dyDescent="0.2">
      <c r="C7" s="36"/>
      <c r="D7" s="4"/>
      <c r="E7" s="4"/>
      <c r="F7" s="4"/>
      <c r="G7" s="4"/>
      <c r="H7" s="74"/>
    </row>
    <row r="8" spans="3:8" x14ac:dyDescent="0.2">
      <c r="C8" s="36"/>
      <c r="D8" s="6"/>
      <c r="E8" s="6"/>
      <c r="F8" s="6"/>
      <c r="G8" s="6"/>
      <c r="H8" s="74"/>
    </row>
    <row r="9" spans="3:8" x14ac:dyDescent="0.2">
      <c r="C9" s="36"/>
      <c r="D9" s="6"/>
      <c r="E9" s="6"/>
      <c r="F9" s="6"/>
      <c r="G9" s="6"/>
      <c r="H9" s="74"/>
    </row>
    <row r="10" spans="3:8" ht="15.75" x14ac:dyDescent="0.25">
      <c r="C10" s="36"/>
      <c r="D10" s="211" t="s">
        <v>157</v>
      </c>
      <c r="E10" s="211"/>
      <c r="F10" s="211"/>
      <c r="G10" s="211"/>
      <c r="H10" s="74"/>
    </row>
    <row r="11" spans="3:8" x14ac:dyDescent="0.2">
      <c r="C11" s="36"/>
      <c r="D11" s="6"/>
      <c r="E11" s="6"/>
      <c r="F11" s="6"/>
      <c r="G11" s="6"/>
      <c r="H11" s="74"/>
    </row>
    <row r="12" spans="3:8" ht="22.5" x14ac:dyDescent="0.2">
      <c r="C12" s="36"/>
      <c r="D12" s="75" t="s">
        <v>158</v>
      </c>
      <c r="E12" s="76" t="s">
        <v>121</v>
      </c>
      <c r="F12" s="77" t="s">
        <v>159</v>
      </c>
      <c r="G12" s="78" t="s">
        <v>160</v>
      </c>
      <c r="H12" s="74"/>
    </row>
    <row r="13" spans="3:8" x14ac:dyDescent="0.2">
      <c r="C13" s="36"/>
      <c r="D13" s="79" t="str">
        <f>IF(EtazaPo=0,"/","Podrum (Po)")</f>
        <v>/</v>
      </c>
      <c r="E13" s="80">
        <f>IF(EtazaPo=0,0,SUM(Po[Neto površina]))</f>
        <v>0</v>
      </c>
      <c r="F13" s="80">
        <f>IF(EtazaPo=0,0,SUM(Po[Neto površina])*0.97)</f>
        <v>0</v>
      </c>
      <c r="G13" s="80">
        <f>IF(EtazaPo=0,0,UkupnaBrutoPovrsinaPo)</f>
        <v>0</v>
      </c>
      <c r="H13" s="74"/>
    </row>
    <row r="14" spans="3:8" x14ac:dyDescent="0.2">
      <c r="C14" s="36"/>
      <c r="D14" s="79" t="str">
        <f>IF(EtazaSu=0,"/","Suteren (Su)")</f>
        <v>/</v>
      </c>
      <c r="E14" s="80">
        <f>IF(EtazaSu=0,0,SUM(Su[Neto površina]))</f>
        <v>0</v>
      </c>
      <c r="F14" s="80">
        <f>IF(EtazaSu=0,0,SUM(Su[Neto površina])*0.97)</f>
        <v>0</v>
      </c>
      <c r="G14" s="80">
        <f>IF(EtazaSu=0,0,UkupnaBrutoPovrsinaSu)</f>
        <v>0</v>
      </c>
      <c r="H14" s="74"/>
    </row>
    <row r="15" spans="3:8" x14ac:dyDescent="0.2">
      <c r="C15" s="36"/>
      <c r="D15" s="79" t="str">
        <f>IF(EtazaPr=0,"/","Prizemlje (Pr)")</f>
        <v>/</v>
      </c>
      <c r="E15" s="80">
        <f>IF(EtazaPr=0,0,SUM(Pr[Neto površina]))</f>
        <v>0</v>
      </c>
      <c r="F15" s="80">
        <f>IF(EtazaPr=0,0,SUM(Pr[Neto površina])*0.97)</f>
        <v>0</v>
      </c>
      <c r="G15" s="80">
        <f>IF(EtazaPr=0,0,UkupnaBrutoPovrsinaPr)</f>
        <v>0</v>
      </c>
      <c r="H15" s="74"/>
    </row>
    <row r="16" spans="3:8" x14ac:dyDescent="0.2">
      <c r="C16" s="36"/>
      <c r="D16" s="79" t="str">
        <f>IF(EtazaS1=0,"/","Prvi sprat (1)")</f>
        <v>/</v>
      </c>
      <c r="E16" s="80">
        <f>IF(EtazaS1=0,0,SUM(Sprat1[Neto površina]))</f>
        <v>0</v>
      </c>
      <c r="F16" s="80">
        <f>IF(EtazaS1=0,0,SUM(Sprat1[Neto površina])*0.97)</f>
        <v>0</v>
      </c>
      <c r="G16" s="80">
        <f>IF(EtazaS1=0,0,UkupnaBrutoPovrsinaS1)</f>
        <v>0</v>
      </c>
      <c r="H16" s="74"/>
    </row>
    <row r="17" spans="3:8" x14ac:dyDescent="0.2">
      <c r="C17" s="36"/>
      <c r="D17" s="79" t="str">
        <f>IF(EtazaS2=0,"/","Drugi sprat (2)")</f>
        <v>/</v>
      </c>
      <c r="E17" s="80">
        <f>IF(EtazaS2=0,0,SUM(Sprat2[Neto površina]))</f>
        <v>0</v>
      </c>
      <c r="F17" s="80">
        <f>IF(EtazaS2=0,0,SUM(Sprat2[Neto površina])*0.97)</f>
        <v>0</v>
      </c>
      <c r="G17" s="80">
        <f>IF(EtazaS2=0,0,UkupnaBrutoPovrsinaS2)</f>
        <v>0</v>
      </c>
      <c r="H17" s="74"/>
    </row>
    <row r="18" spans="3:8" x14ac:dyDescent="0.2">
      <c r="C18" s="36"/>
      <c r="D18" s="79" t="str">
        <f>IF(EtazaS3=0,"/","Treći sprat (3)")</f>
        <v>/</v>
      </c>
      <c r="E18" s="80">
        <f>IF(EtazaS3=0,0,SUM(Sprat3[Neto površina]))</f>
        <v>0</v>
      </c>
      <c r="F18" s="80">
        <f>IF(EtazaS3=0,0,SUM(Sprat3[Neto površina])*0.97)</f>
        <v>0</v>
      </c>
      <c r="G18" s="80">
        <f>IF(EtazaS3=0,0,UkupnaBrutoPovrsinaS3)</f>
        <v>0</v>
      </c>
      <c r="H18" s="74"/>
    </row>
    <row r="19" spans="3:8" x14ac:dyDescent="0.2">
      <c r="C19" s="36"/>
      <c r="D19" s="79" t="str">
        <f>IF(EtazaS4=0,"/","Četvrti sprat (4)")</f>
        <v>/</v>
      </c>
      <c r="E19" s="80">
        <f>IF(EtazaS4=0,0,SUM(Sprat4[Neto površina]))</f>
        <v>0</v>
      </c>
      <c r="F19" s="80">
        <f>IF(EtazaS4=0,0,SUM(Sprat4[Neto površina])*0.97)</f>
        <v>0</v>
      </c>
      <c r="G19" s="80">
        <f>IF(EtazaS4=0,0,UkupnaBrutoPovrsinaS4)</f>
        <v>0</v>
      </c>
      <c r="H19" s="74"/>
    </row>
    <row r="20" spans="3:8" x14ac:dyDescent="0.2">
      <c r="C20" s="36"/>
      <c r="D20" s="79" t="str">
        <f>IF(EtazaS5=0,"/","Peti sprat (5)")</f>
        <v>/</v>
      </c>
      <c r="E20" s="80">
        <f>IF(EtazaS5=0,0,SUM(Sprat5[Neto površina]))</f>
        <v>0</v>
      </c>
      <c r="F20" s="80">
        <f>IF(EtazaS5=0,0,SUM(Sprat5[Neto površina])*0.97)</f>
        <v>0</v>
      </c>
      <c r="G20" s="80">
        <f>IF(EtazaS5=0,0,UkupnaBrutoPovrsinaS5)</f>
        <v>0</v>
      </c>
      <c r="H20" s="74"/>
    </row>
    <row r="21" spans="3:8" x14ac:dyDescent="0.2">
      <c r="C21" s="36"/>
      <c r="D21" s="79" t="str">
        <f>IF(EtazaPk=0,"/","Potkrovlje (Pk)")</f>
        <v>/</v>
      </c>
      <c r="E21" s="82">
        <f>IF(Pk[]=0,0,SUM(Pk[Neto površina]))</f>
        <v>0</v>
      </c>
      <c r="F21" s="82">
        <f>IF(Pk[]=0,0,SUM(Pk[Neto površina])*0.97)</f>
        <v>0</v>
      </c>
      <c r="G21" s="80">
        <f>IF(EtazaPk=0,0,UkupnaBrutoPovrsinaPk)</f>
        <v>0</v>
      </c>
      <c r="H21" s="74"/>
    </row>
    <row r="22" spans="3:8" x14ac:dyDescent="0.2">
      <c r="C22" s="36"/>
      <c r="D22" s="175"/>
      <c r="E22" s="6"/>
      <c r="F22" s="6"/>
      <c r="G22" s="175"/>
      <c r="H22" s="74"/>
    </row>
    <row r="23" spans="3:8" ht="15.75" x14ac:dyDescent="0.25">
      <c r="C23" s="36"/>
      <c r="D23" s="6"/>
      <c r="E23" s="6"/>
      <c r="F23" s="83" t="s">
        <v>170</v>
      </c>
      <c r="G23" s="84">
        <f>SUM(E13:E21)</f>
        <v>0</v>
      </c>
      <c r="H23" s="74"/>
    </row>
    <row r="24" spans="3:8" x14ac:dyDescent="0.2">
      <c r="C24" s="36"/>
      <c r="D24" s="6"/>
      <c r="E24" s="6"/>
      <c r="F24" s="6"/>
      <c r="G24" s="6"/>
      <c r="H24" s="74"/>
    </row>
    <row r="25" spans="3:8" ht="15.75" x14ac:dyDescent="0.25">
      <c r="C25" s="36"/>
      <c r="D25" s="6"/>
      <c r="E25" s="6"/>
      <c r="F25" s="83" t="s">
        <v>171</v>
      </c>
      <c r="G25" s="84">
        <f>SUM(F13:F21)</f>
        <v>0</v>
      </c>
      <c r="H25" s="74"/>
    </row>
    <row r="26" spans="3:8" x14ac:dyDescent="0.2">
      <c r="C26" s="36"/>
      <c r="D26" s="6"/>
      <c r="E26" s="6"/>
      <c r="F26" s="6"/>
      <c r="G26" s="6"/>
      <c r="H26" s="74"/>
    </row>
    <row r="27" spans="3:8" ht="15.75" x14ac:dyDescent="0.25">
      <c r="C27" s="36"/>
      <c r="D27" s="6"/>
      <c r="E27" s="6"/>
      <c r="F27" s="83" t="s">
        <v>172</v>
      </c>
      <c r="G27" s="84">
        <f>SUM(G13:G21)</f>
        <v>0</v>
      </c>
      <c r="H27" s="74"/>
    </row>
    <row r="28" spans="3:8" ht="15.75" x14ac:dyDescent="0.25">
      <c r="C28" s="36"/>
      <c r="D28" s="85"/>
      <c r="E28" s="85"/>
      <c r="F28" s="86"/>
      <c r="G28" s="87"/>
      <c r="H28" s="74"/>
    </row>
    <row r="29" spans="3:8" x14ac:dyDescent="0.2">
      <c r="C29" s="36"/>
      <c r="D29" s="205" t="str">
        <f>IF(ProjektnaOrganizacija=0,"...",ProjektnaOrganizacija)</f>
        <v>...</v>
      </c>
      <c r="E29" s="205"/>
      <c r="F29" s="205"/>
      <c r="G29" s="205"/>
      <c r="H29" s="74"/>
    </row>
    <row r="30" spans="3:8" x14ac:dyDescent="0.2">
      <c r="C30" s="36"/>
      <c r="D30" s="206" t="s">
        <v>10</v>
      </c>
      <c r="E30" s="206"/>
      <c r="F30" s="206"/>
      <c r="G30" s="206"/>
      <c r="H30" s="74"/>
    </row>
    <row r="31" spans="3:8" ht="15.75" x14ac:dyDescent="0.25">
      <c r="C31" s="36"/>
      <c r="D31" s="6"/>
      <c r="E31" s="6"/>
      <c r="F31" s="83"/>
      <c r="G31" s="84"/>
      <c r="H31" s="74"/>
    </row>
    <row r="32" spans="3:8" ht="15.75" x14ac:dyDescent="0.25">
      <c r="C32" s="36"/>
      <c r="D32" s="6"/>
      <c r="E32" s="6"/>
      <c r="F32" s="83"/>
      <c r="G32" s="84"/>
      <c r="H32" s="74"/>
    </row>
    <row r="33" spans="3:8" ht="15.75" x14ac:dyDescent="0.25">
      <c r="C33" s="36"/>
      <c r="D33" s="6"/>
      <c r="E33" s="6"/>
      <c r="F33" s="83"/>
      <c r="G33" s="84"/>
      <c r="H33" s="74"/>
    </row>
    <row r="34" spans="3:8" ht="15.75" x14ac:dyDescent="0.25">
      <c r="C34" s="36"/>
      <c r="D34" s="6"/>
      <c r="E34" s="6"/>
      <c r="F34" s="83"/>
      <c r="G34" s="84"/>
      <c r="H34" s="74"/>
    </row>
    <row r="35" spans="3:8" x14ac:dyDescent="0.2">
      <c r="C35" s="36"/>
      <c r="D35" s="207" t="str">
        <f>IF(OdgovorniProjektant=0,"...",OdgovorniProjektant)</f>
        <v>...</v>
      </c>
      <c r="E35" s="207"/>
      <c r="F35" s="207"/>
      <c r="G35" s="207"/>
      <c r="H35" s="74"/>
    </row>
    <row r="36" spans="3:8" x14ac:dyDescent="0.2">
      <c r="C36" s="36"/>
      <c r="D36" s="202" t="s">
        <v>12</v>
      </c>
      <c r="E36" s="202"/>
      <c r="F36" s="202"/>
      <c r="G36" s="202"/>
      <c r="H36" s="74"/>
    </row>
    <row r="37" spans="3:8" ht="15.75" x14ac:dyDescent="0.25">
      <c r="C37" s="36"/>
      <c r="D37" s="6"/>
      <c r="E37" s="6"/>
      <c r="F37" s="83"/>
      <c r="G37" s="84"/>
      <c r="H37" s="74"/>
    </row>
    <row r="38" spans="3:8" x14ac:dyDescent="0.2">
      <c r="C38" s="14"/>
      <c r="D38" s="14"/>
      <c r="E38" s="14"/>
      <c r="F38" s="14"/>
      <c r="G38" s="14"/>
      <c r="H38" s="14"/>
    </row>
    <row r="39" spans="3:8" x14ac:dyDescent="0.2">
      <c r="H39" s="89"/>
    </row>
    <row r="97" ht="15" customHeight="1" x14ac:dyDescent="0.2"/>
    <row r="179" ht="15.75" customHeight="1" x14ac:dyDescent="0.2"/>
    <row r="200" ht="15" customHeight="1" x14ac:dyDescent="0.2"/>
  </sheetData>
  <mergeCells count="6">
    <mergeCell ref="D36:G36"/>
    <mergeCell ref="C1:H1"/>
    <mergeCell ref="D10:G10"/>
    <mergeCell ref="D29:G29"/>
    <mergeCell ref="D30:G30"/>
    <mergeCell ref="D35:G35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C1:E121"/>
  <sheetViews>
    <sheetView showGridLines="0"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"/>
  <cols>
    <col min="1" max="3" width="2.21875" style="19" customWidth="1"/>
    <col min="4" max="4" width="69.77734375" style="19" customWidth="1"/>
    <col min="5" max="187" width="2.21875" style="19" customWidth="1"/>
    <col min="188" max="16384" width="8.88671875" style="19"/>
  </cols>
  <sheetData>
    <row r="1" spans="3:5" s="18" customFormat="1" ht="30" customHeight="1" thickBot="1" x14ac:dyDescent="0.25">
      <c r="C1" s="197"/>
      <c r="D1" s="197"/>
      <c r="E1" s="197"/>
    </row>
    <row r="2" spans="3:5" ht="15.75" thickTop="1" x14ac:dyDescent="0.2"/>
    <row r="6" spans="3:5" x14ac:dyDescent="0.2">
      <c r="C6" s="3"/>
      <c r="D6" s="3"/>
      <c r="E6" s="3"/>
    </row>
    <row r="7" spans="3:5" x14ac:dyDescent="0.2">
      <c r="C7" s="5"/>
      <c r="D7" s="4"/>
      <c r="E7" s="5"/>
    </row>
    <row r="8" spans="3:5" x14ac:dyDescent="0.2">
      <c r="C8" s="5"/>
      <c r="D8" s="200" t="s">
        <v>56</v>
      </c>
      <c r="E8" s="5"/>
    </row>
    <row r="9" spans="3:5" x14ac:dyDescent="0.2">
      <c r="C9" s="5"/>
      <c r="D9" s="201"/>
      <c r="E9" s="5"/>
    </row>
    <row r="10" spans="3:5" x14ac:dyDescent="0.2">
      <c r="C10" s="5"/>
      <c r="D10" s="201"/>
      <c r="E10" s="5"/>
    </row>
    <row r="11" spans="3:5" x14ac:dyDescent="0.2">
      <c r="C11" s="5"/>
      <c r="D11" s="201"/>
      <c r="E11" s="5"/>
    </row>
    <row r="12" spans="3:5" x14ac:dyDescent="0.2">
      <c r="C12" s="5"/>
      <c r="D12" s="201"/>
      <c r="E12" s="5"/>
    </row>
    <row r="13" spans="3:5" x14ac:dyDescent="0.2">
      <c r="C13" s="5"/>
      <c r="D13" s="201"/>
      <c r="E13" s="5"/>
    </row>
    <row r="14" spans="3:5" x14ac:dyDescent="0.2">
      <c r="C14" s="5"/>
      <c r="D14" s="201"/>
      <c r="E14" s="5"/>
    </row>
    <row r="15" spans="3:5" x14ac:dyDescent="0.2">
      <c r="C15" s="5"/>
      <c r="D15" s="201"/>
      <c r="E15" s="5"/>
    </row>
    <row r="16" spans="3:5" x14ac:dyDescent="0.2">
      <c r="C16" s="5"/>
      <c r="D16" s="201"/>
      <c r="E16" s="5"/>
    </row>
    <row r="17" spans="3:5" x14ac:dyDescent="0.2">
      <c r="C17" s="5"/>
      <c r="D17" s="201"/>
      <c r="E17" s="5"/>
    </row>
    <row r="18" spans="3:5" x14ac:dyDescent="0.2">
      <c r="C18" s="5"/>
      <c r="D18" s="201"/>
      <c r="E18" s="5"/>
    </row>
    <row r="19" spans="3:5" x14ac:dyDescent="0.2">
      <c r="C19" s="5"/>
      <c r="D19" s="201"/>
      <c r="E19" s="5"/>
    </row>
    <row r="20" spans="3:5" x14ac:dyDescent="0.2">
      <c r="C20" s="5"/>
      <c r="D20" s="201"/>
      <c r="E20" s="5"/>
    </row>
    <row r="21" spans="3:5" x14ac:dyDescent="0.2">
      <c r="C21" s="5"/>
      <c r="D21" s="201"/>
      <c r="E21" s="5"/>
    </row>
    <row r="22" spans="3:5" x14ac:dyDescent="0.2">
      <c r="C22" s="5"/>
      <c r="D22" s="201"/>
      <c r="E22" s="5"/>
    </row>
    <row r="23" spans="3:5" x14ac:dyDescent="0.2">
      <c r="C23" s="5"/>
      <c r="D23" s="201"/>
      <c r="E23" s="5"/>
    </row>
    <row r="24" spans="3:5" x14ac:dyDescent="0.2">
      <c r="C24" s="5"/>
      <c r="D24" s="201"/>
      <c r="E24" s="5"/>
    </row>
    <row r="25" spans="3:5" x14ac:dyDescent="0.2">
      <c r="C25" s="5"/>
      <c r="D25" s="201"/>
      <c r="E25" s="5"/>
    </row>
    <row r="26" spans="3:5" x14ac:dyDescent="0.2">
      <c r="C26" s="5"/>
      <c r="D26" s="201"/>
      <c r="E26" s="5"/>
    </row>
    <row r="27" spans="3:5" x14ac:dyDescent="0.2">
      <c r="C27" s="5"/>
      <c r="D27" s="201"/>
      <c r="E27" s="5"/>
    </row>
    <row r="28" spans="3:5" x14ac:dyDescent="0.2">
      <c r="C28" s="5"/>
      <c r="D28" s="201"/>
      <c r="E28" s="5"/>
    </row>
    <row r="29" spans="3:5" x14ac:dyDescent="0.2">
      <c r="C29" s="5"/>
      <c r="D29" s="201"/>
      <c r="E29" s="5"/>
    </row>
    <row r="30" spans="3:5" x14ac:dyDescent="0.2">
      <c r="C30" s="5"/>
      <c r="D30" s="201"/>
      <c r="E30" s="5"/>
    </row>
    <row r="31" spans="3:5" x14ac:dyDescent="0.2">
      <c r="C31" s="5"/>
      <c r="D31" s="201"/>
      <c r="E31" s="5"/>
    </row>
    <row r="32" spans="3:5" x14ac:dyDescent="0.2">
      <c r="C32" s="5"/>
      <c r="D32" s="201"/>
      <c r="E32" s="5"/>
    </row>
    <row r="33" spans="3:5" x14ac:dyDescent="0.2">
      <c r="C33" s="5"/>
      <c r="D33" s="201"/>
      <c r="E33" s="5"/>
    </row>
    <row r="34" spans="3:5" x14ac:dyDescent="0.2">
      <c r="C34" s="5"/>
      <c r="D34" s="201"/>
      <c r="E34" s="5"/>
    </row>
    <row r="35" spans="3:5" x14ac:dyDescent="0.2">
      <c r="C35" s="5"/>
      <c r="D35" s="201"/>
      <c r="E35" s="5"/>
    </row>
    <row r="36" spans="3:5" x14ac:dyDescent="0.2">
      <c r="C36" s="5"/>
      <c r="D36" s="201"/>
      <c r="E36" s="5"/>
    </row>
    <row r="37" spans="3:5" x14ac:dyDescent="0.2">
      <c r="C37" s="5"/>
      <c r="D37" s="201"/>
      <c r="E37" s="5"/>
    </row>
    <row r="38" spans="3:5" x14ac:dyDescent="0.2">
      <c r="C38" s="5"/>
      <c r="D38" s="201"/>
      <c r="E38" s="5"/>
    </row>
    <row r="39" spans="3:5" x14ac:dyDescent="0.2">
      <c r="C39" s="5"/>
      <c r="D39" s="201"/>
      <c r="E39" s="5"/>
    </row>
    <row r="40" spans="3:5" x14ac:dyDescent="0.2">
      <c r="C40" s="5"/>
      <c r="D40" s="201"/>
      <c r="E40" s="5"/>
    </row>
    <row r="41" spans="3:5" x14ac:dyDescent="0.2">
      <c r="C41" s="5"/>
      <c r="D41" s="201"/>
      <c r="E41" s="5"/>
    </row>
    <row r="42" spans="3:5" x14ac:dyDescent="0.2">
      <c r="C42" s="5"/>
      <c r="D42" s="201"/>
      <c r="E42" s="5"/>
    </row>
    <row r="43" spans="3:5" x14ac:dyDescent="0.2">
      <c r="C43" s="5"/>
      <c r="D43" s="201"/>
      <c r="E43" s="5"/>
    </row>
    <row r="44" spans="3:5" x14ac:dyDescent="0.2">
      <c r="C44" s="5"/>
      <c r="D44" s="201"/>
      <c r="E44" s="5"/>
    </row>
    <row r="45" spans="3:5" x14ac:dyDescent="0.2">
      <c r="C45" s="5"/>
      <c r="D45" s="201"/>
      <c r="E45" s="5"/>
    </row>
    <row r="46" spans="3:5" x14ac:dyDescent="0.2">
      <c r="C46" s="5"/>
      <c r="D46" s="201"/>
      <c r="E46" s="5"/>
    </row>
    <row r="47" spans="3:5" x14ac:dyDescent="0.2">
      <c r="C47" s="5"/>
      <c r="D47" s="201"/>
      <c r="E47" s="5"/>
    </row>
    <row r="48" spans="3:5" x14ac:dyDescent="0.2">
      <c r="C48" s="5"/>
      <c r="D48" s="201"/>
      <c r="E48" s="5"/>
    </row>
    <row r="49" spans="3:5" x14ac:dyDescent="0.2">
      <c r="C49" s="5"/>
      <c r="D49" s="201"/>
      <c r="E49" s="5"/>
    </row>
    <row r="50" spans="3:5" x14ac:dyDescent="0.2">
      <c r="C50" s="5"/>
      <c r="D50" s="201"/>
      <c r="E50" s="5"/>
    </row>
    <row r="51" spans="3:5" x14ac:dyDescent="0.2">
      <c r="C51" s="5"/>
      <c r="D51" s="201"/>
      <c r="E51" s="5"/>
    </row>
    <row r="52" spans="3:5" x14ac:dyDescent="0.2">
      <c r="C52" s="5"/>
      <c r="D52" s="201"/>
      <c r="E52" s="5"/>
    </row>
    <row r="53" spans="3:5" x14ac:dyDescent="0.2">
      <c r="C53" s="14"/>
      <c r="D53" s="14"/>
      <c r="E53" s="14"/>
    </row>
    <row r="100" ht="15.75" customHeight="1" x14ac:dyDescent="0.2"/>
    <row r="121" ht="15" customHeight="1" x14ac:dyDescent="0.2"/>
  </sheetData>
  <mergeCells count="2">
    <mergeCell ref="C1:E1"/>
    <mergeCell ref="D8:D52"/>
  </mergeCells>
  <pageMargins left="1.3779527559055118" right="0.39370078740157483" top="1.1811023622047245" bottom="1.1811023622047245" header="0" footer="0"/>
  <pageSetup paperSize="151" orientation="portrait" r:id="rId1"/>
  <headerFooter scaleWithDoc="0">
    <oddHeader>&amp;C&amp;G</oddHeader>
    <oddFooter xml:space="preserve">&amp;C&amp;G&amp;R&amp;"Brush Script MT,Regular"
Strana &amp;P od &amp;N&amp;10
</oddFooter>
  </headerFooter>
  <drawing r:id="rId2"/>
  <legacyDrawingHF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24</vt:i4>
      </vt:variant>
      <vt:variant>
        <vt:lpstr>Named Ranges</vt:lpstr>
      </vt:variant>
      <vt:variant>
        <vt:i4>101</vt:i4>
      </vt:variant>
    </vt:vector>
  </HeadingPairs>
  <TitlesOfParts>
    <vt:vector size="125" baseType="lpstr">
      <vt:lpstr>Index</vt:lpstr>
      <vt:lpstr>10</vt:lpstr>
      <vt:lpstr>20</vt:lpstr>
      <vt:lpstr>41</vt:lpstr>
      <vt:lpstr>42</vt:lpstr>
      <vt:lpstr>43</vt:lpstr>
      <vt:lpstr>44</vt:lpstr>
      <vt:lpstr>450</vt:lpstr>
      <vt:lpstr>451</vt:lpstr>
      <vt:lpstr>452</vt:lpstr>
      <vt:lpstr>453</vt:lpstr>
      <vt:lpstr>460</vt:lpstr>
      <vt:lpstr>461</vt:lpstr>
      <vt:lpstr>Po</vt:lpstr>
      <vt:lpstr>Su</vt:lpstr>
      <vt:lpstr>Pr</vt:lpstr>
      <vt:lpstr>S1</vt:lpstr>
      <vt:lpstr>S2</vt:lpstr>
      <vt:lpstr>S3</vt:lpstr>
      <vt:lpstr>S4</vt:lpstr>
      <vt:lpstr>S5</vt:lpstr>
      <vt:lpstr>Pk</vt:lpstr>
      <vt:lpstr>Rekapitulacija</vt:lpstr>
      <vt:lpstr>470</vt:lpstr>
      <vt:lpstr>BrojFunkcionalnihJedinica</vt:lpstr>
      <vt:lpstr>BrojParkingMesta</vt:lpstr>
      <vt:lpstr>CenaPoM2</vt:lpstr>
      <vt:lpstr>Datum</vt:lpstr>
      <vt:lpstr>EtazaPk</vt:lpstr>
      <vt:lpstr>EtazaPo</vt:lpstr>
      <vt:lpstr>EtazaPr</vt:lpstr>
      <vt:lpstr>EtazaS1</vt:lpstr>
      <vt:lpstr>EtazaS2</vt:lpstr>
      <vt:lpstr>EtazaS3</vt:lpstr>
      <vt:lpstr>EtazaS4</vt:lpstr>
      <vt:lpstr>EtazaS5</vt:lpstr>
      <vt:lpstr>EtazaSu</vt:lpstr>
      <vt:lpstr>EvidencioniBroj</vt:lpstr>
      <vt:lpstr>IndeksIzgradjenosti</vt:lpstr>
      <vt:lpstr>IndeksZauzetosti</vt:lpstr>
      <vt:lpstr>Investitor</vt:lpstr>
      <vt:lpstr>InvestitorIzKonteksta</vt:lpstr>
      <vt:lpstr>InvestitorovaDokumentacija</vt:lpstr>
      <vt:lpstr>KatastarskeParcele</vt:lpstr>
      <vt:lpstr>KategorijaObjekta</vt:lpstr>
      <vt:lpstr>Mesto</vt:lpstr>
      <vt:lpstr>NagibKrova</vt:lpstr>
      <vt:lpstr>Pk!Naslov</vt:lpstr>
      <vt:lpstr>Po!Naslov</vt:lpstr>
      <vt:lpstr>Pr!Naslov</vt:lpstr>
      <vt:lpstr>'S1'!Naslov</vt:lpstr>
      <vt:lpstr>'S2'!Naslov</vt:lpstr>
      <vt:lpstr>'S3'!Naslov</vt:lpstr>
      <vt:lpstr>'S4'!Naslov</vt:lpstr>
      <vt:lpstr>'S5'!Naslov</vt:lpstr>
      <vt:lpstr>Su!Naslov</vt:lpstr>
      <vt:lpstr>Objekat</vt:lpstr>
      <vt:lpstr>ObjekatIzKonteksta</vt:lpstr>
      <vt:lpstr>ObradaFasade</vt:lpstr>
      <vt:lpstr>ObradaKrova</vt:lpstr>
      <vt:lpstr>OdgovorniProjektant</vt:lpstr>
      <vt:lpstr>OdgovornoLice</vt:lpstr>
      <vt:lpstr>OdgovornoLiceProjektneOrganizacije</vt:lpstr>
      <vt:lpstr>OrjentacijaSlemena</vt:lpstr>
      <vt:lpstr>Pilot</vt:lpstr>
      <vt:lpstr>PovrsinaParcele</vt:lpstr>
      <vt:lpstr>PovrsinaPr</vt:lpstr>
      <vt:lpstr>PrikljucakNaKanalizaciju</vt:lpstr>
      <vt:lpstr>PrikljucakNaStruju</vt:lpstr>
      <vt:lpstr>PrikljucakNaVodovod</vt:lpstr>
      <vt:lpstr>'10'!Print_Area</vt:lpstr>
      <vt:lpstr>'20'!Print_Area</vt:lpstr>
      <vt:lpstr>'41'!Print_Area</vt:lpstr>
      <vt:lpstr>'42'!Print_Area</vt:lpstr>
      <vt:lpstr>'43'!Print_Area</vt:lpstr>
      <vt:lpstr>'44'!Print_Area</vt:lpstr>
      <vt:lpstr>'450'!Print_Area</vt:lpstr>
      <vt:lpstr>'451'!Print_Area</vt:lpstr>
      <vt:lpstr>'452'!Print_Area</vt:lpstr>
      <vt:lpstr>'453'!Print_Area</vt:lpstr>
      <vt:lpstr>'460'!Print_Area</vt:lpstr>
      <vt:lpstr>'461'!Print_Area</vt:lpstr>
      <vt:lpstr>'470'!Print_Area</vt:lpstr>
      <vt:lpstr>Index!Print_Area</vt:lpstr>
      <vt:lpstr>Pk!Print_Area</vt:lpstr>
      <vt:lpstr>Po!Print_Area</vt:lpstr>
      <vt:lpstr>Pr!Print_Area</vt:lpstr>
      <vt:lpstr>Rekapitulacija!Print_Area</vt:lpstr>
      <vt:lpstr>'S1'!Print_Area</vt:lpstr>
      <vt:lpstr>'S2'!Print_Area</vt:lpstr>
      <vt:lpstr>'S3'!Print_Area</vt:lpstr>
      <vt:lpstr>'S4'!Print_Area</vt:lpstr>
      <vt:lpstr>'S5'!Print_Area</vt:lpstr>
      <vt:lpstr>Su!Print_Area</vt:lpstr>
      <vt:lpstr>ProcenatZelenihPovrsina</vt:lpstr>
      <vt:lpstr>ProjektnaOrganizacija</vt:lpstr>
      <vt:lpstr>PutanjaBaze</vt:lpstr>
      <vt:lpstr>SpratnaVisninaPk</vt:lpstr>
      <vt:lpstr>SpratnaVisninaPo</vt:lpstr>
      <vt:lpstr>SpratnaVisninaPr</vt:lpstr>
      <vt:lpstr>SpratnaVisninaS1</vt:lpstr>
      <vt:lpstr>SpratnaVisninaS2</vt:lpstr>
      <vt:lpstr>SpratnaVisninaS3</vt:lpstr>
      <vt:lpstr>SpratnaVisninaS4</vt:lpstr>
      <vt:lpstr>SpratnaVisninaS5</vt:lpstr>
      <vt:lpstr>SpratnaVisninaSu</vt:lpstr>
      <vt:lpstr>Spratnost</vt:lpstr>
      <vt:lpstr>TipObjekta</vt:lpstr>
      <vt:lpstr>UcescePovrsinaKlasifikacija</vt:lpstr>
      <vt:lpstr>UkupnaBruto</vt:lpstr>
      <vt:lpstr>UkupnaBrutoNadzemno</vt:lpstr>
      <vt:lpstr>UkupnaBrutoPovrsinaPk</vt:lpstr>
      <vt:lpstr>UkupnaBrutoPovrsinaPo</vt:lpstr>
      <vt:lpstr>UkupnaBrutoPovrsinaPr</vt:lpstr>
      <vt:lpstr>UkupnaBrutoPovrsinaS1</vt:lpstr>
      <vt:lpstr>UkupnaBrutoPovrsinaS2</vt:lpstr>
      <vt:lpstr>UkupnaBrutoPovrsinaS3</vt:lpstr>
      <vt:lpstr>UkupnaBrutoPovrsinaS4</vt:lpstr>
      <vt:lpstr>UkupnaBrutoPovrsinaS5</vt:lpstr>
      <vt:lpstr>UkupnaBrutoPovrsinaSu</vt:lpstr>
      <vt:lpstr>UkupnaNeto</vt:lpstr>
      <vt:lpstr>UrbanistickiPlan</vt:lpstr>
      <vt:lpstr>VisinaSlemena</vt:lpstr>
      <vt:lpstr>VisinaVenca</vt:lpstr>
      <vt:lpstr>Zauzetost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Masina</dc:creator>
  <cp:lastModifiedBy>Vuk Stojanovic</cp:lastModifiedBy>
  <cp:lastPrinted>2017-12-05T10:50:38Z</cp:lastPrinted>
  <dcterms:created xsi:type="dcterms:W3CDTF">2015-09-10T18:25:48Z</dcterms:created>
  <dcterms:modified xsi:type="dcterms:W3CDTF">2017-12-15T16:56:03Z</dcterms:modified>
</cp:coreProperties>
</file>