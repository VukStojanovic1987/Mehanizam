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tables/table3.xml" ContentType="application/vnd.openxmlformats-officedocument.spreadsheetml.table+xml"/>
  <Override PartName="/xl/drawings/drawing10.xml" ContentType="application/vnd.openxmlformats-officedocument.drawing+xml"/>
  <Override PartName="/xl/tables/table4.xml" ContentType="application/vnd.openxmlformats-officedocument.spreadsheetml.table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drawings/drawing15.xml" ContentType="application/vnd.openxmlformats-officedocument.drawing+xml"/>
  <Override PartName="/xl/tables/table9.xml" ContentType="application/vnd.openxmlformats-officedocument.spreadsheetml.table+xml"/>
  <Override PartName="/xl/drawings/drawing16.xml" ContentType="application/vnd.openxmlformats-officedocument.drawing+xml"/>
  <Override PartName="/xl/tables/table10.xml" ContentType="application/vnd.openxmlformats-officedocument.spreadsheetml.table+xml"/>
  <Override PartName="/xl/drawings/drawing17.xml" ContentType="application/vnd.openxmlformats-officedocument.drawing+xml"/>
  <Override PartName="/xl/tables/table11.xml" ContentType="application/vnd.openxmlformats-officedocument.spreadsheetml.table+xml"/>
  <Override PartName="/xl/drawings/drawing18.xml" ContentType="application/vnd.openxmlformats-officedocument.drawing+xml"/>
  <Override PartName="/xl/tables/table12.xml" ContentType="application/vnd.openxmlformats-officedocument.spreadsheetml.table+xml"/>
  <Override PartName="/xl/drawings/drawing19.xml" ContentType="application/vnd.openxmlformats-officedocument.drawing+xml"/>
  <Override PartName="/xl/tables/table13.xml" ContentType="application/vnd.openxmlformats-officedocument.spreadsheetml.table+xml"/>
  <Override PartName="/xl/drawings/drawing20.xml" ContentType="application/vnd.openxmlformats-officedocument.drawing+xml"/>
  <Override PartName="/xl/tables/table14.xml" ContentType="application/vnd.openxmlformats-officedocument.spreadsheetml.table+xml"/>
  <Override PartName="/xl/drawings/drawing21.xml" ContentType="application/vnd.openxmlformats-officedocument.drawing+xml"/>
  <Override PartName="/xl/tables/table15.xml" ContentType="application/vnd.openxmlformats-officedocument.spreadsheetml.tab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ukst\Dropbox\Mehanizam\Mehanizam\Resources\"/>
    </mc:Choice>
  </mc:AlternateContent>
  <bookViews>
    <workbookView xWindow="0" yWindow="0" windowWidth="28800" windowHeight="12300" tabRatio="722"/>
  </bookViews>
  <sheets>
    <sheet name="11" sheetId="2" r:id="rId1"/>
    <sheet name="12" sheetId="5" r:id="rId2"/>
    <sheet name="13" sheetId="6" r:id="rId3"/>
    <sheet name="14" sheetId="7" r:id="rId4"/>
    <sheet name="15" sheetId="8" r:id="rId5"/>
    <sheet name="151" sheetId="9" r:id="rId6"/>
    <sheet name="16" sheetId="10" r:id="rId7"/>
    <sheet name="Po" sheetId="18" state="hidden" r:id="rId8"/>
    <sheet name="Su" sheetId="20" state="hidden" r:id="rId9"/>
    <sheet name="Pr" sheetId="21" state="hidden" r:id="rId10"/>
    <sheet name="S1" sheetId="22" state="hidden" r:id="rId11"/>
    <sheet name="S2" sheetId="23" state="hidden" r:id="rId12"/>
    <sheet name="S3" sheetId="24" state="hidden" r:id="rId13"/>
    <sheet name="S4" sheetId="25" state="hidden" r:id="rId14"/>
    <sheet name="S5" sheetId="26" state="hidden" r:id="rId15"/>
    <sheet name="S6" sheetId="27" state="hidden" r:id="rId16"/>
    <sheet name="S7" sheetId="28" state="hidden" r:id="rId17"/>
    <sheet name="S8" sheetId="29" state="hidden" r:id="rId18"/>
    <sheet name="S9" sheetId="30" state="hidden" r:id="rId19"/>
    <sheet name="S10" sheetId="31" state="hidden" r:id="rId20"/>
    <sheet name="Pk" sheetId="32" state="hidden" r:id="rId21"/>
    <sheet name="Rekapitulacija" sheetId="19" r:id="rId22"/>
    <sheet name="17" sheetId="12" r:id="rId23"/>
    <sheet name="Podesavanja" sheetId="4" state="hidden" r:id="rId24"/>
    <sheet name="Vrste tehnicke dokumentacije" sheetId="17" state="hidden" r:id="rId25"/>
  </sheets>
  <definedNames>
    <definedName name="IDP" localSheetId="24">'Vrste tehnicke dokumentacije'!$G$8</definedName>
    <definedName name="IDR" localSheetId="24">'Vrste tehnicke dokumentacije'!$G$7</definedName>
    <definedName name="InformacijePutanjaBaze" localSheetId="23">Podesavanja!$E$7</definedName>
    <definedName name="Investitor" localSheetId="23">Podesavanja!$E$14</definedName>
    <definedName name="InvestitorIzKonteksta" localSheetId="23">Podesavanja!$E$15</definedName>
    <definedName name="LicaPutanjaDirektorijuma" localSheetId="23">Podesavanja!$E$8</definedName>
    <definedName name="Naslov" localSheetId="20">Pk!$D$9:$H$12</definedName>
    <definedName name="Naslov" localSheetId="7">Po!$D$9:$H$12</definedName>
    <definedName name="Naslov" localSheetId="9">Pr!$D$9:$H$12</definedName>
    <definedName name="Naslov" localSheetId="10">'S1'!$D$9:$H$12</definedName>
    <definedName name="Naslov" localSheetId="19">'S10'!$D$9:$H$12</definedName>
    <definedName name="Naslov" localSheetId="11">'S2'!$D$9:$H$12</definedName>
    <definedName name="Naslov" localSheetId="12">'S3'!$D$9:$H$12</definedName>
    <definedName name="Naslov" localSheetId="13">'S4'!$D$9:$H$12</definedName>
    <definedName name="Naslov" localSheetId="14">'S5'!$D$9:$H$12</definedName>
    <definedName name="Naslov" localSheetId="15">'S6'!$D$9:$H$12</definedName>
    <definedName name="Naslov" localSheetId="16">'S7'!$D$9:$H$12</definedName>
    <definedName name="Naslov" localSheetId="17">'S8'!$D$9:$H$12</definedName>
    <definedName name="Naslov" localSheetId="18">'S9'!$D$9:$H$12</definedName>
    <definedName name="Naslov" localSheetId="8">Su!$D$9:$H$12</definedName>
    <definedName name="Objekat" localSheetId="23">Podesavanja!$E$20</definedName>
    <definedName name="ObjekatIzKonteksta" localSheetId="23">Podesavanja!$E$21</definedName>
    <definedName name="OdgovorniProjektant" localSheetId="23">Podesavanja!$E$38</definedName>
    <definedName name="OdgovorniProjektantPotpisPecat" localSheetId="0">'11'!$D$39</definedName>
    <definedName name="OdgovorniProjektantPotpisPecat" localSheetId="3">'14'!$D$41</definedName>
    <definedName name="OdgovorniProjektantPotpisPecat" localSheetId="5">'151'!$D$37</definedName>
    <definedName name="OdgovorniProjektantPotpisPecat" localSheetId="21">Rekapitulacija!$D$41</definedName>
    <definedName name="OdgovornoLice" localSheetId="23">Podesavanja!$E$33</definedName>
    <definedName name="PGD" localSheetId="24">'Vrste tehnicke dokumentacije'!$G$9</definedName>
    <definedName name="Pk" localSheetId="23">Podesavanja!$E$56</definedName>
    <definedName name="Pk" localSheetId="21">Rekapitulacija!$D$27:$G$27</definedName>
    <definedName name="Po" localSheetId="23">Podesavanja!$E$43</definedName>
    <definedName name="Po" localSheetId="21">Rekapitulacija!$D$14:$G$14</definedName>
    <definedName name="Pr" localSheetId="23">Podesavanja!$E$45</definedName>
    <definedName name="Pr" localSheetId="21">Rekapitulacija!$D$16:$G$16</definedName>
    <definedName name="_xlnm.Print_Area" localSheetId="0">'11'!$D$9:$D$46</definedName>
    <definedName name="_xlnm.Print_Area" localSheetId="1">'12'!$D$9:$E$33</definedName>
    <definedName name="_xlnm.Print_Area" localSheetId="2">'13'!$D$9:$D$40</definedName>
    <definedName name="_xlnm.Print_Area" localSheetId="3">'14'!$D$9:$D$43</definedName>
    <definedName name="_xlnm.Print_Area" localSheetId="4">'15'!$D$9:$D$53</definedName>
    <definedName name="_xlnm.Print_Area" localSheetId="5">'151'!$D$9:$D$39</definedName>
    <definedName name="_xlnm.Print_Area" localSheetId="6">'16'!$D$9:$D$53</definedName>
    <definedName name="_xlnm.Print_Area" localSheetId="22">'17'!$D$9:$D$53</definedName>
    <definedName name="_xlnm.Print_Area" localSheetId="20">Pk!$D$9:$H$25</definedName>
    <definedName name="_xlnm.Print_Area" localSheetId="7">Po!$D$9:$H$25</definedName>
    <definedName name="_xlnm.Print_Area" localSheetId="9">Pr!$D$9:$H$25</definedName>
    <definedName name="_xlnm.Print_Area" localSheetId="21">Rekapitulacija!$D$9:$G$43</definedName>
    <definedName name="_xlnm.Print_Area" localSheetId="10">'S1'!$D$9:$H$25</definedName>
    <definedName name="_xlnm.Print_Area" localSheetId="19">'S10'!$D$9:$H$25</definedName>
    <definedName name="_xlnm.Print_Area" localSheetId="11">'S2'!$D$9:$H$25</definedName>
    <definedName name="_xlnm.Print_Area" localSheetId="12">'S3'!$D$9:$H$25</definedName>
    <definedName name="_xlnm.Print_Area" localSheetId="13">'S4'!$D$9:$H$25</definedName>
    <definedName name="_xlnm.Print_Area" localSheetId="14">'S5'!$D$9:$H$25</definedName>
    <definedName name="_xlnm.Print_Area" localSheetId="15">'S6'!$D$9:$H$25</definedName>
    <definedName name="_xlnm.Print_Area" localSheetId="16">'S7'!$D$9:$H$25</definedName>
    <definedName name="_xlnm.Print_Area" localSheetId="17">'S8'!$D$9:$H$25</definedName>
    <definedName name="_xlnm.Print_Area" localSheetId="18">'S9'!$D$9:$H$25</definedName>
    <definedName name="_xlnm.Print_Area" localSheetId="8">Su!$D$9:$H$25</definedName>
    <definedName name="ProjektatiPutanjaDirektorijumaA" localSheetId="23">Podesavanja!$E$9</definedName>
    <definedName name="ProjektnaOrganizacija" localSheetId="23">Podesavanja!$E$32</definedName>
    <definedName name="ProjektnaOrganizacijaPotpisPecat" localSheetId="0">'11'!$D$31</definedName>
    <definedName name="ProjektnaOrganizacijaPotpisPecat" localSheetId="2">'13'!$D$38</definedName>
    <definedName name="PZI" localSheetId="24">'Vrste tehnicke dokumentacije'!$G$10</definedName>
    <definedName name="Sprat1" localSheetId="23">Podesavanja!$E$46</definedName>
    <definedName name="Sprat1" localSheetId="21">Rekapitulacija!$D$17:$G$17</definedName>
    <definedName name="Sprat10" localSheetId="23">Podesavanja!$E$55</definedName>
    <definedName name="Sprat10" localSheetId="21">Rekapitulacija!$D$26:$G$26</definedName>
    <definedName name="Sprat2" localSheetId="23">Podesavanja!$E$47</definedName>
    <definedName name="Sprat2" localSheetId="21">Rekapitulacija!$D$18:$G$18</definedName>
    <definedName name="Sprat3" localSheetId="23">Podesavanja!$E$48</definedName>
    <definedName name="Sprat3" localSheetId="21">Rekapitulacija!$D$19:$G$19</definedName>
    <definedName name="Sprat4" localSheetId="23">Podesavanja!$E$49</definedName>
    <definedName name="Sprat4" localSheetId="21">Rekapitulacija!$D$20:$G$20</definedName>
    <definedName name="Sprat5" localSheetId="23">Podesavanja!$E$50</definedName>
    <definedName name="Sprat5" localSheetId="21">Rekapitulacija!$D$21:$G$21</definedName>
    <definedName name="Sprat6" localSheetId="23">Podesavanja!$E$51</definedName>
    <definedName name="Sprat6" localSheetId="21">Rekapitulacija!$D$22:$G$22</definedName>
    <definedName name="Sprat7" localSheetId="23">Podesavanja!$E$52</definedName>
    <definedName name="Sprat7" localSheetId="21">Rekapitulacija!$D$23:$G$23</definedName>
    <definedName name="Sprat8" localSheetId="23">Podesavanja!$E$53</definedName>
    <definedName name="Sprat8" localSheetId="21">Rekapitulacija!$D$24:$G$24</definedName>
    <definedName name="Sprat9" localSheetId="23">Podesavanja!$E$54</definedName>
    <definedName name="Sprat9" localSheetId="21">Rekapitulacija!$D$25:$G$25</definedName>
    <definedName name="Su" localSheetId="23">Podesavanja!$E$44</definedName>
    <definedName name="Su" localSheetId="21">Rekapitulacija!$D$15:$G$15</definedName>
    <definedName name="tblVrsteTehnickeDokumentacije" localSheetId="24">'Vrste tehnicke dokumentacije'!$G$7:$N$10</definedName>
    <definedName name="UkupnaBrutoPovrsina" localSheetId="20">Pk!$H$24</definedName>
    <definedName name="UkupnaBrutoPovrsina" localSheetId="7">Po!$H$24</definedName>
    <definedName name="UkupnaBrutoPovrsina" localSheetId="9">Pr!$H$24</definedName>
    <definedName name="UkupnaBrutoPovrsina" localSheetId="10">'S1'!$H$24</definedName>
    <definedName name="UkupnaBrutoPovrsina" localSheetId="19">'S10'!$H$24</definedName>
    <definedName name="UkupnaBrutoPovrsina" localSheetId="11">'S2'!$H$24</definedName>
    <definedName name="UkupnaBrutoPovrsina" localSheetId="12">'S3'!$H$24</definedName>
    <definedName name="UkupnaBrutoPovrsina" localSheetId="13">'S4'!$H$24</definedName>
    <definedName name="UkupnaBrutoPovrsina" localSheetId="14">'S5'!$H$24</definedName>
    <definedName name="UkupnaBrutoPovrsina" localSheetId="15">'S6'!$H$24</definedName>
    <definedName name="UkupnaBrutoPovrsina" localSheetId="16">'S7'!$H$24</definedName>
    <definedName name="UkupnaBrutoPovrsina" localSheetId="17">'S8'!$H$24</definedName>
    <definedName name="UkupnaBrutoPovrsina" localSheetId="18">'S9'!$H$24</definedName>
    <definedName name="UkupnaBrutoPovrsina" localSheetId="8">Su!$H$24</definedName>
    <definedName name="VrstaRadova" localSheetId="23">Podesavanja!$E$26</definedName>
    <definedName name="VrstaRadovaIzKonteksta" localSheetId="23">Podesavanja!$E$27</definedName>
    <definedName name="VrstaTehnickeDokumentacije" localSheetId="24">'Vrste tehnicke dokumentacije'!$E$7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9" l="1"/>
  <c r="D41" i="19"/>
  <c r="D35" i="19"/>
  <c r="C35" i="19" s="1"/>
  <c r="D31" i="9"/>
  <c r="C31" i="9" s="1"/>
  <c r="D37" i="9"/>
  <c r="D35" i="7"/>
  <c r="D32" i="6"/>
  <c r="D41" i="7"/>
  <c r="D19" i="7"/>
  <c r="D15" i="7"/>
  <c r="D23" i="6"/>
  <c r="D45" i="2"/>
  <c r="D43" i="2"/>
  <c r="D39" i="2"/>
  <c r="D31" i="2"/>
  <c r="D25" i="2"/>
  <c r="D23" i="2"/>
  <c r="D19" i="2"/>
  <c r="D17" i="2"/>
  <c r="D15" i="2"/>
  <c r="C35" i="7" l="1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H22" i="32"/>
  <c r="H20" i="32"/>
  <c r="H22" i="31"/>
  <c r="H20" i="31"/>
  <c r="H22" i="30"/>
  <c r="H20" i="30"/>
  <c r="H22" i="29"/>
  <c r="H20" i="29"/>
  <c r="H22" i="28"/>
  <c r="H20" i="28"/>
  <c r="H22" i="27"/>
  <c r="H20" i="27"/>
  <c r="H22" i="26"/>
  <c r="H20" i="26"/>
  <c r="H22" i="25"/>
  <c r="H20" i="25"/>
  <c r="H22" i="24"/>
  <c r="H20" i="24"/>
  <c r="H22" i="23"/>
  <c r="H20" i="23"/>
  <c r="H22" i="22"/>
  <c r="H20" i="22"/>
  <c r="H22" i="21"/>
  <c r="H20" i="21"/>
  <c r="H22" i="20"/>
  <c r="H20" i="20"/>
  <c r="C41" i="19" l="1"/>
  <c r="C37" i="9"/>
  <c r="C17" i="9"/>
  <c r="C41" i="7"/>
  <c r="C15" i="7"/>
  <c r="C19" i="7"/>
  <c r="C38" i="6"/>
  <c r="C32" i="6"/>
  <c r="C27" i="6"/>
  <c r="C23" i="6"/>
  <c r="C45" i="2"/>
  <c r="C43" i="2"/>
  <c r="C39" i="2"/>
  <c r="C31" i="2"/>
  <c r="C25" i="2"/>
  <c r="C23" i="2"/>
  <c r="C19" i="2"/>
  <c r="C17" i="2"/>
  <c r="C15" i="2"/>
  <c r="G33" i="19" l="1"/>
  <c r="H22" i="18"/>
  <c r="H20" i="18"/>
  <c r="G29" i="19" l="1"/>
  <c r="G31" i="19"/>
</calcChain>
</file>

<file path=xl/connections.xml><?xml version="1.0" encoding="utf-8"?>
<connections xmlns="http://schemas.openxmlformats.org/spreadsheetml/2006/main">
  <connection id="1" name="proba" type="4" refreshedVersion="0" background="1">
    <webPr xml="1" sourceData="1" url="C:\Users\vukst\Dropbox\STOING (DOO)\Piloti\Projektovanje\proba.xml" htmlTables="1" htmlFormat="all"/>
  </connection>
</connections>
</file>

<file path=xl/sharedStrings.xml><?xml version="1.0" encoding="utf-8"?>
<sst xmlns="http://schemas.openxmlformats.org/spreadsheetml/2006/main" count="404" uniqueCount="196">
  <si>
    <t>Investitor</t>
  </si>
  <si>
    <t>Objekat</t>
  </si>
  <si>
    <t>Vrsta tehničke dokumentacije</t>
  </si>
  <si>
    <t>Naziv i oznaka dela projekta</t>
  </si>
  <si>
    <t>Za gradjenje / izvodjenje radova</t>
  </si>
  <si>
    <t>Projektant</t>
  </si>
  <si>
    <t>Odgovorno lice</t>
  </si>
  <si>
    <t>Broj tehničke dokumentacije</t>
  </si>
  <si>
    <t>Mesto i datum</t>
  </si>
  <si>
    <t>1.1. NASLOVNA STRANA PROJEKTA ARHITEKTURE</t>
  </si>
  <si>
    <t>1. Projekat arhitekture</t>
  </si>
  <si>
    <t>Naziv</t>
  </si>
  <si>
    <t>Tip pdatka</t>
  </si>
  <si>
    <t>Vrednost</t>
  </si>
  <si>
    <t>String</t>
  </si>
  <si>
    <t>IDR</t>
  </si>
  <si>
    <t>INVESTITOR</t>
  </si>
  <si>
    <t>InvestitorIzKonteksta</t>
  </si>
  <si>
    <t>VrstaTehnickeDokumentacije</t>
  </si>
  <si>
    <t>OBJEKAT</t>
  </si>
  <si>
    <t>ObjekatIzKonteksta</t>
  </si>
  <si>
    <t>VRSTA RADOVA</t>
  </si>
  <si>
    <t>VrstaRadova</t>
  </si>
  <si>
    <t>VrstaRadovaIzKonteksta</t>
  </si>
  <si>
    <t>1.2. SADRŽAJ PROJEKTA ARHITEKTURE</t>
  </si>
  <si>
    <t>1.1.</t>
  </si>
  <si>
    <t>Naslovna strana projekta arhitekture</t>
  </si>
  <si>
    <t>1.2.</t>
  </si>
  <si>
    <t>Sadržaj projekta arhitekture</t>
  </si>
  <si>
    <t>1.3.</t>
  </si>
  <si>
    <t>Rešenje o određivanju odgovornog projektanta projekta arhitekture</t>
  </si>
  <si>
    <t>1.4.</t>
  </si>
  <si>
    <t>Izjava odgovornog projektanta projekta arhitekture</t>
  </si>
  <si>
    <t>1.5.</t>
  </si>
  <si>
    <t>Tekstualna dokumentacija</t>
  </si>
  <si>
    <t>1.5.1.</t>
  </si>
  <si>
    <t>Tehnički opis projekta arhitekture</t>
  </si>
  <si>
    <t>1.6.</t>
  </si>
  <si>
    <t>Numerička dokumentacija</t>
  </si>
  <si>
    <t>1.6.1.</t>
  </si>
  <si>
    <t>Tabelarni prikaz površina</t>
  </si>
  <si>
    <t>1.7.</t>
  </si>
  <si>
    <t>Grafička dokumentacija</t>
  </si>
  <si>
    <t>...</t>
  </si>
  <si>
    <t>1.3. REŠENJE O ODREĐIVANJU ODGOVORNOG PROJEKTANTA_x000D_
PROJEKTA ARHITEKTURE</t>
  </si>
  <si>
    <t>Na osnovu člana 128a. Zakona o planiranju i izgradnji (Službeni glasnik RS, br. 72/09, 81/09-ispravka, 64/10 odluka US, 24/11 i 121/12, 42/13-odluka US, 50/2013-odluka US, 98/2013-odluka US, 132/14 i 145/14) i odredbi Pravilnika o sadržini, načinu i postupku izrade i način vršenja kontrole tehničke dokumentacije prema klasi i nameni objekata (Službeni glasnik RS, br. XX/2015.) kao:</t>
  </si>
  <si>
    <t>ODGOVORNI PROJEKTANT</t>
  </si>
  <si>
    <t>Ime i prezime, stručni naziv i broj licnce IKS</t>
  </si>
  <si>
    <t>1.4. IZJAVA ODGOVORNOG PROJEKTANTA PROJEKTA ARHITEKTURE</t>
  </si>
  <si>
    <t>IZJAVLJUJEM</t>
  </si>
  <si>
    <t>1. da je projekat izrađen u skladu sa Zakonom o planiranju i izgradnji, propisima, standardima i normativima iz oblasti izgradnje objekata i pravilima struke;</t>
  </si>
  <si>
    <t>2. da su pri izradi projekta poštovane sve propisne i utvrđene mere i preporuke za ispunjenje osnovnih zahteva za objekat i da je projekat izrađen u skladu sa merama i preporukama kojima se dokazuje ispunjenost osnovnih zahteva.</t>
  </si>
  <si>
    <t>Tekstualna
dokumentacija</t>
  </si>
  <si>
    <t>1.5.1. TEHNIČKI OPIS PROJEKTA ARHITEKTURE</t>
  </si>
  <si>
    <t>OPŠTI DEO</t>
  </si>
  <si>
    <t>ARHITEKTONSKO REŠENJE</t>
  </si>
  <si>
    <t>KONSTRUKCIJA</t>
  </si>
  <si>
    <t>Odgovorni projektant</t>
  </si>
  <si>
    <t>Numericka
dokumentacija</t>
  </si>
  <si>
    <t>Graficka
dokumentacija</t>
  </si>
  <si>
    <t>PROJEKTA ORGANIZACIJA</t>
  </si>
  <si>
    <t>VRSTA TEHNIČKE DOKUMENTACIJE</t>
  </si>
  <si>
    <t>Evidencioni broj</t>
  </si>
  <si>
    <t>Idejno rešenje (IDR)</t>
  </si>
  <si>
    <t>Idejnog rešenja (IDR)</t>
  </si>
  <si>
    <t>IDP</t>
  </si>
  <si>
    <t>Idejni projekat (IDP)</t>
  </si>
  <si>
    <t>Idejnog projekta (IDP)</t>
  </si>
  <si>
    <t>PGD</t>
  </si>
  <si>
    <t>Projekat za građevinsku dozvolu (PGD)</t>
  </si>
  <si>
    <t>Projekta za građevinsku dozvolu (PGD)</t>
  </si>
  <si>
    <t>PZI</t>
  </si>
  <si>
    <t>Projekat za izvođenje (PZI)</t>
  </si>
  <si>
    <t>Projekta za izvođenje (PZI)</t>
  </si>
  <si>
    <t>1.6.1. TABELARNI PRIKAZ POVRŠINA</t>
  </si>
  <si>
    <t>PODRUM (Po)</t>
  </si>
  <si>
    <t>a</t>
  </si>
  <si>
    <t>Naziv prostorije</t>
  </si>
  <si>
    <t>Obrada zida</t>
  </si>
  <si>
    <t>Obrada poda</t>
  </si>
  <si>
    <t>Neto površina</t>
  </si>
  <si>
    <t>b</t>
  </si>
  <si>
    <t>gr</t>
  </si>
  <si>
    <t>UKUPNA NETO POVRŠINA PODRUMA (Po):</t>
  </si>
  <si>
    <t>UKUPNA NETO POVRŠINA PODRUMA (Po) PO SRS-e:</t>
  </si>
  <si>
    <t>UKUPNA BRUTO POVRŠINA PODRUMA (Po):</t>
  </si>
  <si>
    <t>REKAPITULACIJA</t>
  </si>
  <si>
    <t>Naziv etaže</t>
  </si>
  <si>
    <t>Neto površina
po SRS-e</t>
  </si>
  <si>
    <t>Bruto površina</t>
  </si>
  <si>
    <t>Podrum (Po)</t>
  </si>
  <si>
    <t>Suteren (Su)</t>
  </si>
  <si>
    <t>Prizemlje (Pr)</t>
  </si>
  <si>
    <t>Prvi sprat (1)</t>
  </si>
  <si>
    <t>Drugi sprat (2)</t>
  </si>
  <si>
    <t>Treći sprat (3)</t>
  </si>
  <si>
    <t>Četvrti sprat (4)</t>
  </si>
  <si>
    <t>Peti sprat (5)</t>
  </si>
  <si>
    <t>Šesti sprat (6)</t>
  </si>
  <si>
    <t>Sedmi sprat (7)</t>
  </si>
  <si>
    <t>Osmi sprat (8)</t>
  </si>
  <si>
    <t>Deveti sprat (9)</t>
  </si>
  <si>
    <t>Deseti sprat (10)</t>
  </si>
  <si>
    <t>Potkrovlje (Pk)</t>
  </si>
  <si>
    <t>UKUPNA NETO POVRŠINA OBJEKTA:</t>
  </si>
  <si>
    <t>UKUPNA NETO POVRŠINA OBJEKTA PO SRS-e:</t>
  </si>
  <si>
    <t>UKUPNA BRUTO POVRŠINA OBJEKTA:</t>
  </si>
  <si>
    <t>PITLOT</t>
  </si>
  <si>
    <t>InformacijePutanjaBaze</t>
  </si>
  <si>
    <t>ProjektatiPutanjaDirektorijumaA</t>
  </si>
  <si>
    <t>Projekat arhitekture - Pilot</t>
  </si>
  <si>
    <t>ETAŽE</t>
  </si>
  <si>
    <t>Po</t>
  </si>
  <si>
    <t>Su</t>
  </si>
  <si>
    <t>Pr</t>
  </si>
  <si>
    <t>Sprat1</t>
  </si>
  <si>
    <t>Sprat2</t>
  </si>
  <si>
    <t>Sprat3</t>
  </si>
  <si>
    <t>Sprat4</t>
  </si>
  <si>
    <t>Sprat5</t>
  </si>
  <si>
    <t>Sprat6</t>
  </si>
  <si>
    <t>Sprat7</t>
  </si>
  <si>
    <t>Sprat8</t>
  </si>
  <si>
    <t>Sprat9</t>
  </si>
  <si>
    <t>Sprat10</t>
  </si>
  <si>
    <t>Pk</t>
  </si>
  <si>
    <t>Boolean</t>
  </si>
  <si>
    <t>Tip podatka</t>
  </si>
  <si>
    <t>SUTEREN (Su)</t>
  </si>
  <si>
    <t>UKUPNA NETO POVRŠINA SURETENA (Su):</t>
  </si>
  <si>
    <t>UKUPNA NETO POVRŠINA SUTERENA (Su) PO SRS-e:</t>
  </si>
  <si>
    <t>UKUPNA BRUTO POVRŠINA SUTERENA (Su):</t>
  </si>
  <si>
    <t>PRIZEMLJE (Pr)</t>
  </si>
  <si>
    <t>UKUPNA NETO POVRŠINA PRIZEMLJA (Pr):</t>
  </si>
  <si>
    <t>UKUPNA NETO POVRŠINA PRIZEMLJA (Pr) PO SRS-e:</t>
  </si>
  <si>
    <t>UKUPNA BRUTO POVRŠINA PRIZEMLJA (Pr):</t>
  </si>
  <si>
    <t>PRVI SPRAT (1)</t>
  </si>
  <si>
    <t>UKUPNA NETO POVRŠINA PRVOG SPRATA (1):</t>
  </si>
  <si>
    <t>UKUPNA NETO POVRŠINA PRVOG SPRATA (1) PO SRS-e:</t>
  </si>
  <si>
    <t>UKUPNA BRUTO POVRŠINA PRVOG SPRATA (1):</t>
  </si>
  <si>
    <t>DRUGI SPRAT (2)</t>
  </si>
  <si>
    <t>UKUPNA NETO POVRŠINA DRUGOG SPRATA (2):</t>
  </si>
  <si>
    <t>UKUPNA NETO POVRŠINA DRUGOG SPRATA (2) PO SRS-e:</t>
  </si>
  <si>
    <t>UKUPNA BRUTO POVRŠINA DRUGOG SPRATA (2):</t>
  </si>
  <si>
    <t>TREĆI SPRAT (3)</t>
  </si>
  <si>
    <t>UKUPNA NETO POVRŠINA TREĆEG SPRATA (3):</t>
  </si>
  <si>
    <t>UKUPNA NETO POVRŠINA TREĆEG SPRATA (3) PO SRS-e:</t>
  </si>
  <si>
    <t>UKUPNA BRUTO POVRŠINA TREĆEG SPRATA (3):</t>
  </si>
  <si>
    <t>ČETVRTI SPRAT (4)</t>
  </si>
  <si>
    <t>UKUPNA NETO POVRŠINA ČETVRTOG SPRATA (4):</t>
  </si>
  <si>
    <t>UKUPNA NETO POVRŠINA ČETVRTOG SPRATA (4) PO SRS-e:</t>
  </si>
  <si>
    <t>UKUPNA BRUTO POVRŠINA ČETVRTOG SPRATA (4):</t>
  </si>
  <si>
    <t>PETI SPRAT (5)</t>
  </si>
  <si>
    <t>UKUPNA NETO POVRŠINA PETOG SPRATA (5):</t>
  </si>
  <si>
    <t>UKUPNA NETO POVRŠINA PETOG SPRATA (5) PO SRS-e:</t>
  </si>
  <si>
    <t>UKUPNA BRUTO POVRŠINA PETOG SPRATA (5):</t>
  </si>
  <si>
    <t>ŠETI SPRAT (6)</t>
  </si>
  <si>
    <t>UKUPNA NETO POVRŠINA ŠESTOG SPRATA (6):</t>
  </si>
  <si>
    <t>UKUPNA NETO POVRŠINA ŠESTOG SPRATA (6) PO SRS-e:</t>
  </si>
  <si>
    <t>UKUPNA BRUTO POVRŠINA ŠESTOG SPRATA (6):</t>
  </si>
  <si>
    <t>SEDMI SPRAT (7)</t>
  </si>
  <si>
    <t>UKUPNA NETO POVRŠINA SEDMOG SPRATA (7):</t>
  </si>
  <si>
    <t>UKUPNA NETO POVRŠINA SEDMOG SPRATA (7) PO SRS-e:</t>
  </si>
  <si>
    <t>UKUPNA BRUTO POVRŠINA SEDMOG SPRATA (7):</t>
  </si>
  <si>
    <t>OSMI SPRAT (8)</t>
  </si>
  <si>
    <t>UKUPNA NETO POVRŠINA OSMOG SPRATA (8):</t>
  </si>
  <si>
    <t>UKUPNA NETO POVRŠINA OSMOG SPRATA (8) PO SRS-e:</t>
  </si>
  <si>
    <t>UKUPNA BRUTO POVRŠINA OSMOG SPRATA (8):</t>
  </si>
  <si>
    <t>DEVETI SPRAT (9)</t>
  </si>
  <si>
    <t>UKUPNA NETO POVRŠINA DEVETOG SPRATA (9):</t>
  </si>
  <si>
    <t>UKUPNA NETO POVRŠINA DEVETOG SPRATA (9) PO SRS-e:</t>
  </si>
  <si>
    <t>UKUPNA BRUTO POVRŠINA DEVETOG SPRATA (9):</t>
  </si>
  <si>
    <t>DESETI SPRAT (10)</t>
  </si>
  <si>
    <t>UKUPNA NETO POVRŠINA DESETEOG SPRATA (10):</t>
  </si>
  <si>
    <t>UKUPNA NETO POVRŠINA DESETOG SPRATA (10) PO SRS-e:</t>
  </si>
  <si>
    <t>UKUPNA BRUTO POVRŠINA DESETOG SPRATA (10):</t>
  </si>
  <si>
    <t>POTKROVLJE (Pk)</t>
  </si>
  <si>
    <t>UKUPNA NETO POVRŠINA POTKROVLJA (Pk):</t>
  </si>
  <si>
    <t>UKUPNA NETO POVRŠINA POTKROVLJA (Pk) PO SRS-e:</t>
  </si>
  <si>
    <t>UKUPNA BRUTO POVRŠINA POTKROVLJA (Pk):</t>
  </si>
  <si>
    <t>ProjektnaOrganizacija</t>
  </si>
  <si>
    <t>OdgovornoLice</t>
  </si>
  <si>
    <t>OdgovorniProjektant</t>
  </si>
  <si>
    <t>Redni broj</t>
  </si>
  <si>
    <t>LicaPutanjaDirektorijuma</t>
  </si>
  <si>
    <t>C:\Users\vukst\Dropbox\STOING (DOO)\Programi\Klasika\Mehanizam\Mehanizam\Resources\Informacije.accdb</t>
  </si>
  <si>
    <t>C:\Users\vukst\Desktop\Arhiva_radna\Potpisi i pečati\Lica</t>
  </si>
  <si>
    <t>C:\Users\vukst\Desktop\Arhiva_radna\Potpisi i pečati\Projektanti arhitekture</t>
  </si>
  <si>
    <t>Prilog 11 (podnaslov)</t>
  </si>
  <si>
    <t>Prilog 151 (kontekst)</t>
  </si>
  <si>
    <t>Prilog 13,14 i 151 (kontekst)</t>
  </si>
  <si>
    <t>i na osnovu lokacijskih uslova</t>
  </si>
  <si>
    <t>i na osnovu informacija o lokaciji</t>
  </si>
  <si>
    <t>i na osnovu građevinske dozvole</t>
  </si>
  <si>
    <t>Prilog 151 (Dokumentacija iz urbanizma broj)</t>
  </si>
  <si>
    <t>Prilog 151 (Dokumentacija iz urbanizma datum)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</si>
</sst>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8"/>
      <color theme="1" tint="0.24994659260841701"/>
      <name val="Arial"/>
      <family val="2"/>
      <charset val="238"/>
    </font>
    <font>
      <sz val="12"/>
      <color theme="0" tint="-0.24994659260841701"/>
      <name val="Arial"/>
      <family val="2"/>
    </font>
    <font>
      <sz val="58"/>
      <color theme="1"/>
      <name val="Brush Script MT"/>
      <family val="4"/>
    </font>
    <font>
      <b/>
      <sz val="12"/>
      <name val="Arial"/>
      <family val="2"/>
      <charset val="238"/>
    </font>
    <font>
      <sz val="12"/>
      <color rgb="FFFF000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 tint="0.499984740745262"/>
      <name val="Arial"/>
      <family val="2"/>
      <charset val="238"/>
    </font>
    <font>
      <i/>
      <sz val="8"/>
      <color theme="1"/>
      <name val="Arial"/>
      <family val="2"/>
      <charset val="238"/>
    </font>
    <font>
      <sz val="9"/>
      <color theme="1" tint="0.249977111117893"/>
      <name val="Forte"/>
      <family val="4"/>
    </font>
    <font>
      <sz val="10"/>
      <color theme="1" tint="0.249977111117893"/>
      <name val="Arial"/>
      <family val="2"/>
      <charset val="238"/>
    </font>
    <font>
      <i/>
      <sz val="8"/>
      <color theme="0" tint="-0.14996795556505021"/>
      <name val="Arial"/>
      <family val="2"/>
      <charset val="238"/>
    </font>
    <font>
      <sz val="12"/>
      <color theme="0" tint="-0.249977111117893"/>
      <name val="Arial"/>
      <family val="2"/>
    </font>
    <font>
      <sz val="12"/>
      <color theme="0" tint="-0.249977111117893"/>
      <name val="Arial"/>
      <family val="2"/>
      <charset val="238"/>
    </font>
    <font>
      <sz val="12"/>
      <color theme="5" tint="-0.249977111117893"/>
      <name val="Arial"/>
      <family val="2"/>
    </font>
    <font>
      <sz val="8"/>
      <color theme="1" tint="0.499984740745262"/>
      <name val="Arial"/>
      <family val="2"/>
      <charset val="238"/>
    </font>
    <font>
      <sz val="12"/>
      <color theme="1" tint="0.499984740745262"/>
      <name val="Arial"/>
      <family val="2"/>
      <charset val="238"/>
    </font>
    <font>
      <sz val="12"/>
      <color theme="1"/>
      <name val="Arial"/>
    </font>
  </fonts>
  <fills count="10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/>
      <bottom style="thick">
        <color theme="0" tint="-0.249977111117893"/>
      </bottom>
      <diagonal/>
    </border>
    <border>
      <left style="thin">
        <color theme="0" tint="-0.24994659260841701"/>
      </left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1" tint="0.499984740745262"/>
      </bottom>
      <diagonal/>
    </border>
  </borders>
  <cellStyleXfs count="3">
    <xf numFmtId="0" fontId="0" fillId="0" borderId="0"/>
    <xf numFmtId="0" fontId="2" fillId="0" borderId="0"/>
    <xf numFmtId="0" fontId="11" fillId="0" borderId="0"/>
  </cellStyleXfs>
  <cellXfs count="114">
    <xf numFmtId="0" fontId="0" fillId="0" borderId="0" xfId="0"/>
    <xf numFmtId="0" fontId="2" fillId="2" borderId="0" xfId="1" applyFill="1"/>
    <xf numFmtId="0" fontId="2" fillId="2" borderId="1" xfId="1" applyFill="1" applyBorder="1"/>
    <xf numFmtId="0" fontId="2" fillId="0" borderId="0" xfId="1"/>
    <xf numFmtId="0" fontId="2" fillId="3" borderId="0" xfId="1" applyFont="1" applyFill="1" applyAlignment="1">
      <alignment horizontal="justify"/>
    </xf>
    <xf numFmtId="0" fontId="2" fillId="4" borderId="0" xfId="1" applyFont="1" applyFill="1" applyAlignment="1">
      <alignment horizontal="justify"/>
    </xf>
    <xf numFmtId="0" fontId="2" fillId="5" borderId="0" xfId="1" applyFont="1" applyFill="1" applyAlignment="1">
      <alignment horizontal="justify"/>
    </xf>
    <xf numFmtId="0" fontId="2" fillId="0" borderId="0" xfId="1" applyFont="1" applyAlignment="1">
      <alignment horizontal="justify"/>
    </xf>
    <xf numFmtId="0" fontId="1" fillId="0" borderId="0" xfId="1" applyFont="1" applyAlignment="1">
      <alignment horizontal="center"/>
    </xf>
    <xf numFmtId="0" fontId="3" fillId="0" borderId="2" xfId="1" applyFont="1" applyBorder="1" applyAlignment="1">
      <alignment horizontal="justify" wrapText="1"/>
    </xf>
    <xf numFmtId="0" fontId="2" fillId="0" borderId="0" xfId="1" applyAlignment="1">
      <alignment horizontal="justify"/>
    </xf>
    <xf numFmtId="0" fontId="4" fillId="0" borderId="0" xfId="1" applyFont="1" applyAlignment="1">
      <alignment horizontal="left" vertical="top"/>
    </xf>
    <xf numFmtId="0" fontId="3" fillId="0" borderId="0" xfId="1" applyFont="1" applyAlignment="1">
      <alignment horizontal="justify" wrapText="1"/>
    </xf>
    <xf numFmtId="0" fontId="3" fillId="0" borderId="0" xfId="1" applyFont="1" applyAlignment="1">
      <alignment horizontal="justify"/>
    </xf>
    <xf numFmtId="0" fontId="4" fillId="0" borderId="3" xfId="1" applyFont="1" applyBorder="1" applyAlignment="1">
      <alignment horizontal="left" vertical="top"/>
    </xf>
    <xf numFmtId="0" fontId="2" fillId="2" borderId="0" xfId="1" applyFont="1" applyFill="1" applyAlignment="1">
      <alignment horizontal="justify"/>
    </xf>
    <xf numFmtId="0" fontId="0" fillId="6" borderId="0" xfId="0" applyFill="1"/>
    <xf numFmtId="0" fontId="0" fillId="6" borderId="4" xfId="0" applyFill="1" applyBorder="1"/>
    <xf numFmtId="0" fontId="5" fillId="0" borderId="0" xfId="0" applyFont="1" applyAlignment="1">
      <alignment horizontal="left" vertical="center"/>
    </xf>
    <xf numFmtId="0" fontId="6" fillId="7" borderId="0" xfId="0" applyFont="1" applyFill="1" applyBorder="1" applyAlignment="1">
      <alignment horizontal="left" vertical="center"/>
    </xf>
    <xf numFmtId="0" fontId="6" fillId="7" borderId="5" xfId="0" applyFont="1" applyFill="1" applyBorder="1" applyAlignment="1">
      <alignment horizontal="left" vertical="center"/>
    </xf>
    <xf numFmtId="0" fontId="7" fillId="8" borderId="6" xfId="0" applyFont="1" applyFill="1" applyBorder="1"/>
    <xf numFmtId="0" fontId="7" fillId="8" borderId="7" xfId="0" applyFont="1" applyFill="1" applyBorder="1"/>
    <xf numFmtId="0" fontId="3" fillId="2" borderId="0" xfId="1" applyFont="1" applyFill="1" applyBorder="1"/>
    <xf numFmtId="0" fontId="3" fillId="2" borderId="1" xfId="1" applyFont="1" applyFill="1" applyBorder="1"/>
    <xf numFmtId="0" fontId="3" fillId="0" borderId="0" xfId="1" applyFont="1"/>
    <xf numFmtId="0" fontId="0" fillId="0" borderId="0" xfId="0" applyFont="1" applyFill="1" applyAlignment="1">
      <alignment horizontal="justify"/>
    </xf>
    <xf numFmtId="0" fontId="0" fillId="0" borderId="0" xfId="0" applyFont="1" applyAlignment="1">
      <alignment horizontal="justify"/>
    </xf>
    <xf numFmtId="0" fontId="1" fillId="0" borderId="0" xfId="0" applyFont="1" applyAlignment="1">
      <alignment horizontal="justify"/>
    </xf>
    <xf numFmtId="0" fontId="0" fillId="4" borderId="0" xfId="0" applyFill="1"/>
    <xf numFmtId="0" fontId="3" fillId="2" borderId="0" xfId="1" applyFont="1" applyFill="1"/>
    <xf numFmtId="0" fontId="1" fillId="0" borderId="0" xfId="1" applyFont="1" applyAlignment="1">
      <alignment horizontal="center" wrapText="1"/>
    </xf>
    <xf numFmtId="0" fontId="2" fillId="0" borderId="0" xfId="1" applyFont="1" applyAlignment="1">
      <alignment horizontal="center"/>
    </xf>
    <xf numFmtId="0" fontId="4" fillId="0" borderId="0" xfId="1" applyFont="1" applyAlignment="1">
      <alignment horizontal="center" vertical="top"/>
    </xf>
    <xf numFmtId="0" fontId="2" fillId="0" borderId="2" xfId="1" applyFont="1" applyBorder="1" applyAlignment="1">
      <alignment horizontal="justify"/>
    </xf>
    <xf numFmtId="0" fontId="9" fillId="0" borderId="0" xfId="1" applyFont="1" applyAlignment="1">
      <alignment horizontal="left"/>
    </xf>
    <xf numFmtId="0" fontId="2" fillId="0" borderId="0" xfId="1" applyFont="1" applyAlignment="1">
      <alignment horizontal="justify" wrapText="1"/>
    </xf>
    <xf numFmtId="0" fontId="10" fillId="0" borderId="0" xfId="1" applyFont="1" applyAlignment="1">
      <alignment horizontal="justify"/>
    </xf>
    <xf numFmtId="0" fontId="2" fillId="5" borderId="0" xfId="1" applyFont="1" applyFill="1" applyAlignment="1">
      <alignment horizontal="center" vertical="center"/>
    </xf>
    <xf numFmtId="0" fontId="3" fillId="6" borderId="0" xfId="1" applyFont="1" applyFill="1" applyBorder="1"/>
    <xf numFmtId="0" fontId="3" fillId="6" borderId="4" xfId="1" applyFont="1" applyFill="1" applyBorder="1"/>
    <xf numFmtId="0" fontId="5" fillId="0" borderId="0" xfId="2" applyFont="1" applyAlignment="1">
      <alignment horizontal="left" vertical="center"/>
    </xf>
    <xf numFmtId="0" fontId="11" fillId="0" borderId="0" xfId="2"/>
    <xf numFmtId="0" fontId="6" fillId="7" borderId="0" xfId="2" applyFont="1" applyFill="1" applyBorder="1" applyAlignment="1">
      <alignment horizontal="left" vertical="center"/>
    </xf>
    <xf numFmtId="0" fontId="6" fillId="7" borderId="5" xfId="2" applyFont="1" applyFill="1" applyBorder="1" applyAlignment="1">
      <alignment horizontal="left" vertical="center"/>
    </xf>
    <xf numFmtId="0" fontId="7" fillId="8" borderId="6" xfId="2" applyFont="1" applyFill="1" applyBorder="1"/>
    <xf numFmtId="0" fontId="7" fillId="8" borderId="7" xfId="2" applyFont="1" applyFill="1" applyBorder="1"/>
    <xf numFmtId="0" fontId="7" fillId="8" borderId="7" xfId="2" applyFont="1" applyFill="1" applyBorder="1" applyAlignment="1">
      <alignment horizontal="left"/>
    </xf>
    <xf numFmtId="0" fontId="3" fillId="0" borderId="0" xfId="0" applyFont="1"/>
    <xf numFmtId="0" fontId="0" fillId="3" borderId="0" xfId="0" applyFont="1" applyFill="1" applyAlignment="1">
      <alignment horizontal="justify"/>
    </xf>
    <xf numFmtId="0" fontId="0" fillId="3" borderId="0" xfId="0" applyFill="1"/>
    <xf numFmtId="0" fontId="0" fillId="5" borderId="0" xfId="0" applyFont="1" applyFill="1" applyAlignment="1">
      <alignment horizontal="justify"/>
    </xf>
    <xf numFmtId="0" fontId="0" fillId="4" borderId="0" xfId="0" applyFont="1" applyFill="1" applyAlignment="1">
      <alignment horizontal="justify"/>
    </xf>
    <xf numFmtId="0" fontId="12" fillId="0" borderId="8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Border="1" applyAlignment="1">
      <alignment horizontal="right" vertical="center"/>
    </xf>
    <xf numFmtId="0" fontId="12" fillId="0" borderId="0" xfId="0" applyFont="1" applyBorder="1" applyAlignment="1">
      <alignment horizontal="center" vertical="center"/>
    </xf>
    <xf numFmtId="0" fontId="14" fillId="4" borderId="0" xfId="0" applyFont="1" applyFill="1" applyAlignment="1">
      <alignment horizontal="center" vertical="top"/>
    </xf>
    <xf numFmtId="0" fontId="3" fillId="4" borderId="0" xfId="0" applyFont="1" applyFill="1"/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0" fontId="0" fillId="2" borderId="0" xfId="0" applyFont="1" applyFill="1" applyAlignment="1">
      <alignment horizontal="justify"/>
    </xf>
    <xf numFmtId="0" fontId="15" fillId="0" borderId="0" xfId="0" applyFont="1" applyAlignment="1">
      <alignment horizontal="right" vertical="center"/>
    </xf>
    <xf numFmtId="0" fontId="2" fillId="3" borderId="0" xfId="1" applyFill="1"/>
    <xf numFmtId="0" fontId="2" fillId="4" borderId="0" xfId="1" applyFill="1"/>
    <xf numFmtId="0" fontId="16" fillId="9" borderId="10" xfId="1" applyFont="1" applyFill="1" applyBorder="1" applyAlignment="1">
      <alignment horizontal="left" vertical="center"/>
    </xf>
    <xf numFmtId="0" fontId="16" fillId="9" borderId="11" xfId="1" applyFont="1" applyFill="1" applyBorder="1" applyAlignment="1">
      <alignment horizontal="right" vertical="center"/>
    </xf>
    <xf numFmtId="0" fontId="16" fillId="9" borderId="11" xfId="1" applyFont="1" applyFill="1" applyBorder="1" applyAlignment="1">
      <alignment horizontal="right" vertical="center" wrapText="1"/>
    </xf>
    <xf numFmtId="0" fontId="16" fillId="9" borderId="12" xfId="1" applyFont="1" applyFill="1" applyBorder="1" applyAlignment="1">
      <alignment horizontal="right" vertical="center"/>
    </xf>
    <xf numFmtId="0" fontId="3" fillId="0" borderId="11" xfId="1" applyFont="1" applyFill="1" applyBorder="1" applyAlignment="1">
      <alignment horizontal="justify"/>
    </xf>
    <xf numFmtId="4" fontId="3" fillId="0" borderId="11" xfId="1" applyNumberFormat="1" applyFont="1" applyFill="1" applyBorder="1" applyAlignment="1">
      <alignment horizontal="right"/>
    </xf>
    <xf numFmtId="0" fontId="3" fillId="0" borderId="9" xfId="1" applyFont="1" applyFill="1" applyBorder="1" applyAlignment="1">
      <alignment horizontal="justify"/>
    </xf>
    <xf numFmtId="4" fontId="3" fillId="0" borderId="9" xfId="1" applyNumberFormat="1" applyFont="1" applyFill="1" applyBorder="1" applyAlignment="1">
      <alignment horizontal="right"/>
    </xf>
    <xf numFmtId="0" fontId="3" fillId="4" borderId="0" xfId="1" applyFont="1" applyFill="1"/>
    <xf numFmtId="0" fontId="1" fillId="0" borderId="0" xfId="1" applyFont="1" applyAlignment="1">
      <alignment horizontal="right"/>
    </xf>
    <xf numFmtId="4" fontId="1" fillId="0" borderId="0" xfId="1" applyNumberFormat="1" applyFont="1" applyAlignment="1">
      <alignment horizontal="right"/>
    </xf>
    <xf numFmtId="0" fontId="2" fillId="0" borderId="13" xfId="1" applyFont="1" applyBorder="1" applyAlignment="1">
      <alignment horizontal="justify"/>
    </xf>
    <xf numFmtId="0" fontId="1" fillId="0" borderId="13" xfId="1" applyFont="1" applyBorder="1" applyAlignment="1">
      <alignment horizontal="right"/>
    </xf>
    <xf numFmtId="4" fontId="1" fillId="0" borderId="13" xfId="1" applyNumberFormat="1" applyFont="1" applyBorder="1" applyAlignment="1">
      <alignment horizontal="right"/>
    </xf>
    <xf numFmtId="0" fontId="15" fillId="0" borderId="0" xfId="1" applyFont="1" applyAlignment="1">
      <alignment horizontal="right" vertical="center"/>
    </xf>
    <xf numFmtId="0" fontId="19" fillId="4" borderId="0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left" vertical="center"/>
    </xf>
    <xf numFmtId="0" fontId="12" fillId="4" borderId="0" xfId="0" applyFont="1" applyFill="1" applyBorder="1" applyAlignment="1">
      <alignment horizontal="center"/>
    </xf>
    <xf numFmtId="0" fontId="0" fillId="0" borderId="0" xfId="0" quotePrefix="1" applyFont="1" applyBorder="1" applyAlignment="1">
      <alignment horizontal="left"/>
    </xf>
    <xf numFmtId="0" fontId="0" fillId="0" borderId="0" xfId="0" applyFont="1" applyBorder="1" applyAlignment="1">
      <alignment horizontal="justify"/>
    </xf>
    <xf numFmtId="4" fontId="0" fillId="0" borderId="0" xfId="0" applyNumberFormat="1" applyFont="1" applyBorder="1" applyAlignment="1">
      <alignment horizontal="right"/>
    </xf>
    <xf numFmtId="0" fontId="20" fillId="4" borderId="0" xfId="0" applyFont="1" applyFill="1" applyBorder="1" applyAlignment="1">
      <alignment horizontal="left" vertical="center"/>
    </xf>
    <xf numFmtId="0" fontId="20" fillId="4" borderId="0" xfId="0" applyFont="1" applyFill="1" applyBorder="1" applyAlignment="1">
      <alignment horizontal="center"/>
    </xf>
    <xf numFmtId="0" fontId="21" fillId="4" borderId="0" xfId="0" applyFont="1" applyFill="1" applyBorder="1" applyAlignment="1">
      <alignment horizontal="center"/>
    </xf>
    <xf numFmtId="0" fontId="21" fillId="4" borderId="0" xfId="0" applyFont="1" applyFill="1" applyBorder="1" applyAlignment="1">
      <alignment horizontal="left" vertical="center"/>
    </xf>
    <xf numFmtId="0" fontId="3" fillId="0" borderId="0" xfId="1" applyFont="1" applyAlignment="1">
      <alignment horizontal="center"/>
    </xf>
    <xf numFmtId="0" fontId="14" fillId="4" borderId="0" xfId="0" applyFont="1" applyFill="1" applyAlignment="1">
      <alignment horizontal="center" vertical="center"/>
    </xf>
    <xf numFmtId="0" fontId="14" fillId="5" borderId="0" xfId="1" applyFont="1" applyFill="1" applyAlignment="1">
      <alignment horizontal="center" vertical="center"/>
    </xf>
    <xf numFmtId="0" fontId="22" fillId="0" borderId="0" xfId="0" applyFont="1" applyBorder="1" applyAlignment="1">
      <alignment horizontal="justify"/>
    </xf>
    <xf numFmtId="4" fontId="22" fillId="0" borderId="0" xfId="0" applyNumberFormat="1" applyFont="1" applyBorder="1" applyAlignment="1">
      <alignment horizontal="right"/>
    </xf>
    <xf numFmtId="0" fontId="22" fillId="0" borderId="0" xfId="0" quotePrefix="1" applyFont="1" applyBorder="1" applyAlignment="1">
      <alignment horizontal="left"/>
    </xf>
    <xf numFmtId="0" fontId="22" fillId="5" borderId="0" xfId="1" applyFont="1" applyFill="1" applyAlignment="1">
      <alignment horizontal="justify"/>
    </xf>
    <xf numFmtId="0" fontId="22" fillId="0" borderId="0" xfId="0" quotePrefix="1" applyFont="1" applyAlignment="1">
      <alignment horizontal="justify"/>
    </xf>
    <xf numFmtId="0" fontId="17" fillId="2" borderId="0" xfId="0" applyFont="1" applyFill="1" applyAlignment="1">
      <alignment horizontal="left" vertical="center"/>
    </xf>
    <xf numFmtId="0" fontId="17" fillId="2" borderId="1" xfId="0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7" fillId="2" borderId="0" xfId="1" applyFont="1" applyFill="1" applyBorder="1" applyAlignment="1">
      <alignment horizontal="left" vertical="center"/>
    </xf>
    <xf numFmtId="0" fontId="17" fillId="2" borderId="1" xfId="1" applyFont="1" applyFill="1" applyBorder="1" applyAlignment="1">
      <alignment horizontal="left" vertical="center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1" applyFont="1" applyAlignment="1">
      <alignment horizontal="left"/>
    </xf>
    <xf numFmtId="0" fontId="2" fillId="0" borderId="0" xfId="1" applyFont="1" applyAlignment="1">
      <alignment horizontal="left"/>
    </xf>
    <xf numFmtId="0" fontId="12" fillId="0" borderId="13" xfId="1" applyFont="1" applyBorder="1" applyAlignment="1">
      <alignment horizontal="left" vertical="top"/>
    </xf>
    <xf numFmtId="0" fontId="18" fillId="2" borderId="0" xfId="1" applyFont="1" applyFill="1" applyBorder="1" applyAlignment="1">
      <alignment horizontal="left" vertical="center"/>
    </xf>
    <xf numFmtId="0" fontId="18" fillId="2" borderId="1" xfId="1" applyFont="1" applyFill="1" applyBorder="1" applyAlignment="1">
      <alignment horizontal="left" vertical="center"/>
    </xf>
    <xf numFmtId="0" fontId="2" fillId="0" borderId="0" xfId="1" applyFont="1" applyAlignment="1">
      <alignment horizontal="justify"/>
    </xf>
    <xf numFmtId="0" fontId="12" fillId="0" borderId="0" xfId="1" applyFont="1" applyBorder="1" applyAlignment="1">
      <alignment horizontal="left" vertical="top"/>
    </xf>
  </cellXfs>
  <cellStyles count="3">
    <cellStyle name="Normal" xfId="0" builtinId="0"/>
    <cellStyle name="Normal 2" xfId="1"/>
    <cellStyle name="Normal 3" xfId="2"/>
  </cellStyles>
  <dxfs count="125"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 val="0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C0C0C0"/>
        </patternFill>
      </fill>
      <alignment horizontal="justify" vertical="bottom" textRotation="0" wrapText="0" indent="0" justifyLastLine="0" shrinkToFit="0" readingOrder="0"/>
    </dxf>
    <dxf>
      <font>
        <b val="0"/>
        <i val="0"/>
        <color theme="0" tint="-0.14996795556505021"/>
      </font>
      <fill>
        <patternFill>
          <bgColor theme="0" tint="-0.49998474074526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 style="thin">
          <color theme="0" tint="-0.499984740745262"/>
        </bottom>
        <vertical/>
        <horizontal style="thin">
          <color theme="0" tint="-0.499984740745262"/>
        </horizontal>
      </border>
    </dxf>
  </dxfs>
  <tableStyles count="2" defaultTableStyle="TableStyleMedium2" defaultPivotStyle="PivotStyleLight16">
    <tableStyle name="Graficka dokumentacija" pivot="0" count="0"/>
    <tableStyle name="Mehanizam2" pivot="0" count="2">
      <tableStyleElement type="wholeTable" dxfId="124"/>
      <tableStyleElement type="headerRow" dxfId="1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7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63500" dir="2700000" algn="tl" rotWithShape="0">
                  <a:schemeClr val="tx1"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8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  <xdr:twoCellAnchor>
    <xdr:from>
      <xdr:col>2</xdr:col>
      <xdr:colOff>1</xdr:colOff>
      <xdr:row>0</xdr:row>
      <xdr:rowOff>0</xdr:rowOff>
    </xdr:from>
    <xdr:to>
      <xdr:col>5</xdr:col>
      <xdr:colOff>0</xdr:colOff>
      <xdr:row>2</xdr:row>
      <xdr:rowOff>0</xdr:rowOff>
    </xdr:to>
    <xdr:sp macro="" textlink="">
      <xdr:nvSpPr>
        <xdr:cNvPr id="4" name="Naslov"/>
        <xdr:cNvSpPr/>
      </xdr:nvSpPr>
      <xdr:spPr>
        <a:xfrm>
          <a:off x="381001" y="0"/>
          <a:ext cx="7248524" cy="390525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63500" dir="2700000" algn="tl" rotWithShape="0">
                  <a:schemeClr val="tx1">
                    <a:lumMod val="65000"/>
                    <a:lumOff val="35000"/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Tekstualna dokumentacija, 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4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5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3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4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3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4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4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3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3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4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3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4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3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4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3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3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3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3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3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3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3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3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3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3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3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3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3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3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4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3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190500</xdr:colOff>
      <xdr:row>5</xdr:row>
      <xdr:rowOff>0</xdr:rowOff>
    </xdr:to>
    <xdr:sp macro="[0]!frmIndexPrikazi" textlink="">
      <xdr:nvSpPr>
        <xdr:cNvPr id="4" name="btnUredi"/>
        <xdr:cNvSpPr/>
      </xdr:nvSpPr>
      <xdr:spPr>
        <a:xfrm>
          <a:off x="381000" y="590550"/>
          <a:ext cx="381000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000">
              <a:solidFill>
                <a:schemeClr val="tx1">
                  <a:lumMod val="50000"/>
                  <a:lumOff val="50000"/>
                </a:schemeClr>
              </a:solidFill>
              <a:effectLst>
                <a:outerShdw blurRad="50800" dist="63500" dir="2700000" algn="tl" rotWithShape="0">
                  <a:schemeClr val="tx1">
                    <a:lumMod val="75000"/>
                    <a:lumOff val="25000"/>
                    <a:alpha val="40000"/>
                  </a:schemeClr>
                </a:outerShdw>
              </a:effectLst>
              <a:latin typeface="Stoing, symbol" panose="020B0603050302020204" pitchFamily="34" charset="2"/>
            </a:rPr>
            <a:t>2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,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7" name="tblGrafickiPrilozi" displayName="tblGrafickiPrilozi" ref="C31:F32" insertRow="1" totalsRowShown="0">
  <autoFilter ref="C31:F32">
    <filterColumn colId="0" hiddenButton="1"/>
    <filterColumn colId="1" hiddenButton="1"/>
    <filterColumn colId="2" hiddenButton="1"/>
    <filterColumn colId="3" hiddenButton="1"/>
  </autoFilter>
  <tableColumns count="4">
    <tableColumn id="1" name="a" dataDxfId="122" dataCellStyle="Normal 2"/>
    <tableColumn id="2" name="1.7." dataDxfId="121"/>
    <tableColumn id="3" name="Grafička dokumentacija" dataDxfId="120"/>
    <tableColumn id="4" name="b" dataDxfId="119"/>
  </tableColumns>
  <tableStyleInfo name="Graficka dokumentacija" showFirstColumn="0" showLastColumn="0" showRowStripes="1" showColumnStripes="0"/>
</table>
</file>

<file path=xl/tables/table2.xml><?xml version="1.0" encoding="utf-8"?>
<table xmlns="http://schemas.openxmlformats.org/spreadsheetml/2006/main" id="1" name="tblPo" displayName="tblPo" ref="C17:I18" insertRow="1" headerRowDxfId="118">
  <autoFilter ref="C17:I18"/>
  <tableColumns count="7">
    <tableColumn id="7" name="a" dataDxfId="117"/>
    <tableColumn id="1" name="Redni broj" totalsRowLabel="Total" dataDxfId="116"/>
    <tableColumn id="2" name="Naziv prostorije" dataDxfId="115"/>
    <tableColumn id="3" name="Obrada zida" dataDxfId="114"/>
    <tableColumn id="4" name="Obrada poda" dataDxfId="113"/>
    <tableColumn id="5" name="Neto površina" totalsRowFunction="sum" dataDxfId="112"/>
    <tableColumn id="6" name="b" dataDxfId="111"/>
  </tableColumns>
  <tableStyleInfo name="Mehanizam2" showFirstColumn="0" showLastColumn="0" showRowStripes="1" showColumnStripes="0"/>
</table>
</file>

<file path=xl/tables/table3.xml><?xml version="1.0" encoding="utf-8"?>
<table xmlns="http://schemas.openxmlformats.org/spreadsheetml/2006/main" id="8" name="tblSu" displayName="tblSu" ref="C17:I18" insertRow="1" headerRowDxfId="110">
  <autoFilter ref="C17:I18"/>
  <tableColumns count="7">
    <tableColumn id="7" name="a" dataDxfId="109"/>
    <tableColumn id="1" name="Redni broj" totalsRowLabel="Total" dataDxfId="108"/>
    <tableColumn id="2" name="Naziv prostorije" dataDxfId="107"/>
    <tableColumn id="3" name="Obrada zida" dataDxfId="106"/>
    <tableColumn id="4" name="Obrada poda" dataDxfId="105"/>
    <tableColumn id="5" name="Neto površina" totalsRowFunction="sum" dataDxfId="104"/>
    <tableColumn id="6" name="b" dataDxfId="103"/>
  </tableColumns>
  <tableStyleInfo name="Mehanizam2" showFirstColumn="0" showLastColumn="0" showRowStripes="1" showColumnStripes="0"/>
</table>
</file>

<file path=xl/tables/table4.xml><?xml version="1.0" encoding="utf-8"?>
<table xmlns="http://schemas.openxmlformats.org/spreadsheetml/2006/main" id="9" name="tblPr" displayName="tblPr" ref="C17:I18" insertRow="1" headerRowDxfId="102">
  <autoFilter ref="C17:I18"/>
  <tableColumns count="7">
    <tableColumn id="7" name="a" dataDxfId="101"/>
    <tableColumn id="1" name="Redni broj" totalsRowLabel="Total" dataDxfId="100"/>
    <tableColumn id="2" name="Naziv prostorije" dataDxfId="99"/>
    <tableColumn id="3" name="Obrada zida" dataDxfId="98"/>
    <tableColumn id="4" name="Obrada poda" dataDxfId="97"/>
    <tableColumn id="5" name="Neto površina" totalsRowFunction="sum" dataDxfId="96"/>
    <tableColumn id="6" name="b" dataDxfId="95"/>
  </tableColumns>
  <tableStyleInfo name="Mehanizam2" showFirstColumn="0" showLastColumn="0" showRowStripes="1" showColumnStripes="0"/>
</table>
</file>

<file path=xl/tables/table5.xml><?xml version="1.0" encoding="utf-8"?>
<table xmlns="http://schemas.openxmlformats.org/spreadsheetml/2006/main" id="10" name="tblS1" displayName="tblS1" ref="C17:I18" insertRow="1" headerRowDxfId="94">
  <autoFilter ref="C17:I18"/>
  <tableColumns count="7">
    <tableColumn id="7" name="a" dataDxfId="93"/>
    <tableColumn id="1" name="Redni broj" totalsRowLabel="Total" dataDxfId="92"/>
    <tableColumn id="2" name="Naziv prostorije" dataDxfId="91"/>
    <tableColumn id="3" name="Obrada zida" dataDxfId="90"/>
    <tableColumn id="4" name="Obrada poda" dataDxfId="89"/>
    <tableColumn id="5" name="Neto površina" totalsRowFunction="sum" dataDxfId="88"/>
    <tableColumn id="6" name="b" dataDxfId="87"/>
  </tableColumns>
  <tableStyleInfo name="Mehanizam2" showFirstColumn="0" showLastColumn="0" showRowStripes="1" showColumnStripes="0"/>
</table>
</file>

<file path=xl/tables/table6.xml><?xml version="1.0" encoding="utf-8"?>
<table xmlns="http://schemas.openxmlformats.org/spreadsheetml/2006/main" id="11" name="tblS2" displayName="tblS2" ref="C17:I18" insertRow="1" headerRowDxfId="86">
  <autoFilter ref="C17:I18"/>
  <tableColumns count="7">
    <tableColumn id="7" name="a" dataDxfId="85"/>
    <tableColumn id="1" name="Redni broj" totalsRowLabel="Total" dataDxfId="84"/>
    <tableColumn id="2" name="Naziv prostorije" dataDxfId="83"/>
    <tableColumn id="3" name="Obrada zida" dataDxfId="82"/>
    <tableColumn id="4" name="Obrada poda" dataDxfId="81"/>
    <tableColumn id="5" name="Neto površina" totalsRowFunction="sum" dataDxfId="80"/>
    <tableColumn id="6" name="b" dataDxfId="79"/>
  </tableColumns>
  <tableStyleInfo name="Mehanizam2" showFirstColumn="0" showLastColumn="0" showRowStripes="1" showColumnStripes="0"/>
</table>
</file>

<file path=xl/tables/table7.xml><?xml version="1.0" encoding="utf-8"?>
<table xmlns="http://schemas.openxmlformats.org/spreadsheetml/2006/main" id="12" name="tblS3" displayName="tblS3" ref="C17:I18" insertRow="1" headerRowDxfId="78">
  <autoFilter ref="C17:I18"/>
  <tableColumns count="7">
    <tableColumn id="7" name="a" dataDxfId="77"/>
    <tableColumn id="1" name="Redni broj" totalsRowLabel="Total" dataDxfId="76"/>
    <tableColumn id="2" name="Naziv prostorije" dataDxfId="75"/>
    <tableColumn id="3" name="Obrada zida" dataDxfId="74"/>
    <tableColumn id="4" name="Obrada poda" dataDxfId="73"/>
    <tableColumn id="5" name="Neto površina" totalsRowFunction="sum" dataDxfId="72"/>
    <tableColumn id="6" name="b" dataDxfId="71"/>
  </tableColumns>
  <tableStyleInfo name="Mehanizam2" showFirstColumn="0" showLastColumn="0" showRowStripes="1" showColumnStripes="0"/>
</table>
</file>

<file path=xl/tables/table8.xml><?xml version="1.0" encoding="utf-8"?>
<table xmlns="http://schemas.openxmlformats.org/spreadsheetml/2006/main" id="13" name="tblS4" displayName="tblS4" ref="C17:I18" insertRow="1" headerRowDxfId="70">
  <autoFilter ref="C17:I18"/>
  <tableColumns count="7">
    <tableColumn id="7" name="a" dataDxfId="69"/>
    <tableColumn id="1" name="Redni broj" totalsRowLabel="Total" dataDxfId="68"/>
    <tableColumn id="2" name="Naziv prostorije" dataDxfId="67"/>
    <tableColumn id="3" name="Obrada zida" dataDxfId="66"/>
    <tableColumn id="4" name="Obrada poda" dataDxfId="65"/>
    <tableColumn id="5" name="Neto površina" totalsRowFunction="sum" dataDxfId="64"/>
    <tableColumn id="6" name="b" dataDxfId="63"/>
  </tableColumns>
  <tableStyleInfo name="Mehanizam2" showFirstColumn="0" showLastColumn="0" showRowStripes="1" showColumnStripes="0"/>
</table>
</file>

<file path=xl/tables/table9.xml><?xml version="1.0" encoding="utf-8"?>
<table xmlns="http://schemas.openxmlformats.org/spreadsheetml/2006/main" id="14" name="tblS5" displayName="tblS5" ref="C17:I18" insertRow="1" headerRowDxfId="62" dataDxfId="61">
  <autoFilter ref="C17:I18"/>
  <tableColumns count="7">
    <tableColumn id="7" name="a" dataDxfId="60"/>
    <tableColumn id="1" name="Redni broj" totalsRowLabel="Total" dataDxfId="59"/>
    <tableColumn id="2" name="Naziv prostorije" dataDxfId="58"/>
    <tableColumn id="3" name="Obrada zida" dataDxfId="57"/>
    <tableColumn id="4" name="Obrada poda" dataDxfId="56"/>
    <tableColumn id="5" name="Neto površina" totalsRowFunction="sum" dataDxfId="55"/>
    <tableColumn id="6" name="b" dataDxfId="54"/>
  </tableColumns>
  <tableStyleInfo name="Mehanizam2" showFirstColumn="0" showLastColumn="0" showRowStripes="1" showColumnStripes="0"/>
</table>
</file>

<file path=xl/tables/table10.xml><?xml version="1.0" encoding="utf-8"?>
<table xmlns="http://schemas.openxmlformats.org/spreadsheetml/2006/main" id="15" name="tblS6" displayName="tblS6" ref="C17:I18" insertRow="1" headerRowDxfId="53" dataDxfId="52">
  <autoFilter ref="C17:I18"/>
  <tableColumns count="7">
    <tableColumn id="7" name="a" dataDxfId="51"/>
    <tableColumn id="1" name="Redni broj" totalsRowLabel="Total" dataDxfId="50"/>
    <tableColumn id="2" name="Naziv prostorije" dataDxfId="49"/>
    <tableColumn id="3" name="Obrada zida" dataDxfId="48"/>
    <tableColumn id="4" name="Obrada poda" dataDxfId="47"/>
    <tableColumn id="5" name="Neto površina" totalsRowFunction="sum" dataDxfId="46"/>
    <tableColumn id="6" name="b" dataDxfId="45"/>
  </tableColumns>
  <tableStyleInfo name="Mehanizam2" showFirstColumn="0" showLastColumn="0" showRowStripes="1" showColumnStripes="0"/>
</table>
</file>

<file path=xl/tables/table11.xml><?xml version="1.0" encoding="utf-8"?>
<table xmlns="http://schemas.openxmlformats.org/spreadsheetml/2006/main" id="16" name="tblS7" displayName="tblS7" ref="C17:I18" insertRow="1" headerRowDxfId="44" dataDxfId="43">
  <autoFilter ref="C17:I18"/>
  <tableColumns count="7">
    <tableColumn id="7" name="a" dataDxfId="42"/>
    <tableColumn id="1" name="Redni broj" totalsRowLabel="Total" dataDxfId="41"/>
    <tableColumn id="2" name="Naziv prostorije" dataDxfId="40"/>
    <tableColumn id="3" name="Obrada zida" dataDxfId="39"/>
    <tableColumn id="4" name="Obrada poda" dataDxfId="38"/>
    <tableColumn id="5" name="Neto površina" totalsRowFunction="sum" dataDxfId="37"/>
    <tableColumn id="6" name="b" dataDxfId="36"/>
  </tableColumns>
  <tableStyleInfo name="Mehanizam2" showFirstColumn="0" showLastColumn="0" showRowStripes="1" showColumnStripes="0"/>
</table>
</file>

<file path=xl/tables/table12.xml><?xml version="1.0" encoding="utf-8"?>
<table xmlns="http://schemas.openxmlformats.org/spreadsheetml/2006/main" id="17" name="tblS8" displayName="tblS8" ref="C17:I18" insertRow="1" headerRowDxfId="35" dataDxfId="34">
  <autoFilter ref="C17:I18"/>
  <tableColumns count="7">
    <tableColumn id="7" name="a" dataDxfId="33"/>
    <tableColumn id="1" name="Redni broj" totalsRowLabel="Total" dataDxfId="32"/>
    <tableColumn id="2" name="Naziv prostorije" dataDxfId="31"/>
    <tableColumn id="3" name="Obrada zida" dataDxfId="30"/>
    <tableColumn id="4" name="Obrada poda" dataDxfId="29"/>
    <tableColumn id="5" name="Neto površina" totalsRowFunction="sum" dataDxfId="28"/>
    <tableColumn id="6" name="b" dataDxfId="27"/>
  </tableColumns>
  <tableStyleInfo name="Mehanizam2" showFirstColumn="0" showLastColumn="0" showRowStripes="1" showColumnStripes="0"/>
</table>
</file>

<file path=xl/tables/table13.xml><?xml version="1.0" encoding="utf-8"?>
<table xmlns="http://schemas.openxmlformats.org/spreadsheetml/2006/main" id="18" name="tblS9" displayName="tblS9" ref="C17:I18" insertRow="1" headerRowDxfId="26" dataDxfId="25">
  <autoFilter ref="C17:I18"/>
  <tableColumns count="7">
    <tableColumn id="7" name="a" dataDxfId="24"/>
    <tableColumn id="1" name="Redni broj" totalsRowLabel="Total" dataDxfId="23"/>
    <tableColumn id="2" name="Naziv prostorije" dataDxfId="22"/>
    <tableColumn id="3" name="Obrada zida" dataDxfId="21"/>
    <tableColumn id="4" name="Obrada poda" dataDxfId="20"/>
    <tableColumn id="5" name="Neto površina" totalsRowFunction="sum" dataDxfId="19"/>
    <tableColumn id="6" name="b" dataDxfId="18"/>
  </tableColumns>
  <tableStyleInfo name="Mehanizam2" showFirstColumn="0" showLastColumn="0" showRowStripes="1" showColumnStripes="0"/>
</table>
</file>

<file path=xl/tables/table14.xml><?xml version="1.0" encoding="utf-8"?>
<table xmlns="http://schemas.openxmlformats.org/spreadsheetml/2006/main" id="19" name="tblS10" displayName="tblS10" ref="C17:I18" insertRow="1" headerRowDxfId="17" dataDxfId="16">
  <autoFilter ref="C17:I18"/>
  <tableColumns count="7">
    <tableColumn id="7" name="a" dataDxfId="15"/>
    <tableColumn id="1" name="Redni broj" totalsRowLabel="Total" dataDxfId="14"/>
    <tableColumn id="2" name="Naziv prostorije" dataDxfId="13"/>
    <tableColumn id="3" name="Obrada zida" dataDxfId="12"/>
    <tableColumn id="4" name="Obrada poda" dataDxfId="11"/>
    <tableColumn id="5" name="Neto površina" totalsRowFunction="sum" dataDxfId="10"/>
    <tableColumn id="6" name="b" dataDxfId="9"/>
  </tableColumns>
  <tableStyleInfo name="Mehanizam2" showFirstColumn="0" showLastColumn="0" showRowStripes="1" showColumnStripes="0"/>
</table>
</file>

<file path=xl/tables/table15.xml><?xml version="1.0" encoding="utf-8"?>
<table xmlns="http://schemas.openxmlformats.org/spreadsheetml/2006/main" id="20" name="tblPk" displayName="tblPk" ref="C17:I18" insertRow="1" headerRowDxfId="8" dataDxfId="7">
  <autoFilter ref="C17:I18"/>
  <tableColumns count="7">
    <tableColumn id="7" name="a" dataDxfId="6"/>
    <tableColumn id="1" name="Redni broj" totalsRowLabel="Total" dataDxfId="5"/>
    <tableColumn id="2" name="Naziv prostorije" dataDxfId="4"/>
    <tableColumn id="3" name="Obrada zida" dataDxfId="3"/>
    <tableColumn id="4" name="Obrada poda" dataDxfId="2"/>
    <tableColumn id="5" name="Neto površina" totalsRowFunction="sum" dataDxfId="1"/>
    <tableColumn id="6" name="b" dataDxfId="0"/>
  </tableColumns>
  <tableStyleInfo name="Mehaniza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table" Target="../tables/table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E199"/>
  <sheetViews>
    <sheetView showGridLines="0" showRowColHeaders="0" tabSelected="1" zoomScaleNormal="100" workbookViewId="0">
      <selection activeCell="A3" sqref="A3"/>
    </sheetView>
  </sheetViews>
  <sheetFormatPr defaultRowHeight="15" x14ac:dyDescent="0.2"/>
  <cols>
    <col min="1" max="3" width="2.21875" style="3" customWidth="1"/>
    <col min="4" max="4" width="80.109375" style="3" customWidth="1"/>
    <col min="5" max="191" width="2.21875" style="3" customWidth="1"/>
    <col min="192" max="16384" width="8.88671875" style="3"/>
  </cols>
  <sheetData>
    <row r="1" spans="3:5" s="1" customFormat="1" x14ac:dyDescent="0.2">
      <c r="C1" s="99"/>
      <c r="D1" s="99"/>
      <c r="E1" s="99"/>
    </row>
    <row r="2" spans="3:5" s="2" customFormat="1" ht="15.75" customHeight="1" thickBot="1" x14ac:dyDescent="0.25">
      <c r="C2" s="100"/>
      <c r="D2" s="100"/>
      <c r="E2" s="100"/>
    </row>
    <row r="3" spans="3:5" ht="15.75" thickTop="1" x14ac:dyDescent="0.2"/>
    <row r="7" spans="3:5" x14ac:dyDescent="0.2">
      <c r="C7" s="4"/>
      <c r="D7" s="4"/>
      <c r="E7" s="4"/>
    </row>
    <row r="8" spans="3:5" x14ac:dyDescent="0.2">
      <c r="C8" s="5"/>
      <c r="D8" s="5"/>
      <c r="E8" s="5"/>
    </row>
    <row r="9" spans="3:5" x14ac:dyDescent="0.2">
      <c r="C9" s="6"/>
      <c r="D9" s="7"/>
      <c r="E9" s="6"/>
    </row>
    <row r="10" spans="3:5" x14ac:dyDescent="0.2">
      <c r="C10" s="6"/>
      <c r="D10" s="7"/>
      <c r="E10" s="6"/>
    </row>
    <row r="11" spans="3:5" ht="15.75" x14ac:dyDescent="0.25">
      <c r="C11" s="6"/>
      <c r="D11" s="8" t="s">
        <v>9</v>
      </c>
      <c r="E11" s="6"/>
    </row>
    <row r="12" spans="3:5" x14ac:dyDescent="0.2">
      <c r="C12" s="6"/>
      <c r="D12" s="7"/>
      <c r="E12" s="6"/>
    </row>
    <row r="13" spans="3:5" x14ac:dyDescent="0.2">
      <c r="C13" s="6"/>
      <c r="D13" s="7"/>
      <c r="E13" s="6"/>
    </row>
    <row r="14" spans="3:5" x14ac:dyDescent="0.2">
      <c r="C14" s="6"/>
      <c r="D14" s="7"/>
      <c r="E14" s="6"/>
    </row>
    <row r="15" spans="3:5" s="10" customFormat="1" x14ac:dyDescent="0.2">
      <c r="C15" s="81" t="str">
        <f>IF(D15="...","*","")</f>
        <v>*</v>
      </c>
      <c r="D15" s="9" t="str">
        <f>IF(Podesavanja!Investitor=0,"...",Podesavanja!Investitor)</f>
        <v>...</v>
      </c>
      <c r="E15" s="6"/>
    </row>
    <row r="16" spans="3:5" x14ac:dyDescent="0.2">
      <c r="C16" s="6"/>
      <c r="D16" s="11" t="s">
        <v>0</v>
      </c>
      <c r="E16" s="6"/>
    </row>
    <row r="17" spans="3:5" x14ac:dyDescent="0.2">
      <c r="C17" s="81" t="str">
        <f>IF(D17="...","*","")</f>
        <v>*</v>
      </c>
      <c r="D17" s="12" t="str">
        <f>IF(Podesavanja!Objekat=0,"...",Podesavanja!Objekat)</f>
        <v>...</v>
      </c>
      <c r="E17" s="6"/>
    </row>
    <row r="18" spans="3:5" x14ac:dyDescent="0.2">
      <c r="C18" s="6"/>
      <c r="D18" s="11" t="s">
        <v>1</v>
      </c>
      <c r="E18" s="6"/>
    </row>
    <row r="19" spans="3:5" x14ac:dyDescent="0.2">
      <c r="C19" s="81" t="str">
        <f>IF(D19="...","*","")</f>
        <v/>
      </c>
      <c r="D19" s="7" t="str">
        <f>VLOOKUP('Vrste tehnicke dokumentacije'!VrstaTehnickeDokumentacije,'Vrste tehnicke dokumentacije'!tblVrsteTehnickeDokumentacije,4,FALSE)</f>
        <v>Idejno rešenje (IDR)</v>
      </c>
      <c r="E19" s="6"/>
    </row>
    <row r="20" spans="3:5" x14ac:dyDescent="0.2">
      <c r="C20" s="6"/>
      <c r="D20" s="11" t="s">
        <v>2</v>
      </c>
      <c r="E20" s="6"/>
    </row>
    <row r="21" spans="3:5" x14ac:dyDescent="0.2">
      <c r="C21" s="6"/>
      <c r="D21" s="7" t="s">
        <v>10</v>
      </c>
      <c r="E21" s="6"/>
    </row>
    <row r="22" spans="3:5" x14ac:dyDescent="0.2">
      <c r="C22" s="6"/>
      <c r="D22" s="11" t="s">
        <v>3</v>
      </c>
      <c r="E22" s="6"/>
    </row>
    <row r="23" spans="3:5" x14ac:dyDescent="0.2">
      <c r="C23" s="81" t="str">
        <f>IF(D23="...","*","")</f>
        <v>*</v>
      </c>
      <c r="D23" s="13" t="str">
        <f>IF(Podesavanja!VrstaRadova=0,"...",Podesavanja!VrstaRadova)</f>
        <v>...</v>
      </c>
      <c r="E23" s="6"/>
    </row>
    <row r="24" spans="3:5" x14ac:dyDescent="0.2">
      <c r="C24" s="6"/>
      <c r="D24" s="14" t="s">
        <v>4</v>
      </c>
      <c r="E24" s="6"/>
    </row>
    <row r="25" spans="3:5" x14ac:dyDescent="0.2">
      <c r="C25" s="81" t="str">
        <f>IF(D25="...","*","")</f>
        <v>*</v>
      </c>
      <c r="D25" s="13" t="str">
        <f>IF(Podesavanja!ProjektnaOrganizacija=0,"...",Podesavanja!ProjektnaOrganizacija)</f>
        <v>...</v>
      </c>
      <c r="E25" s="6"/>
    </row>
    <row r="26" spans="3:5" x14ac:dyDescent="0.2">
      <c r="C26" s="6"/>
      <c r="D26" s="11" t="s">
        <v>5</v>
      </c>
      <c r="E26" s="6"/>
    </row>
    <row r="27" spans="3:5" x14ac:dyDescent="0.2">
      <c r="C27" s="6"/>
      <c r="D27" s="7"/>
      <c r="E27" s="6"/>
    </row>
    <row r="28" spans="3:5" x14ac:dyDescent="0.2">
      <c r="C28" s="6"/>
      <c r="D28" s="7"/>
      <c r="E28" s="6"/>
    </row>
    <row r="29" spans="3:5" x14ac:dyDescent="0.2">
      <c r="C29" s="6"/>
      <c r="D29" s="7"/>
      <c r="E29" s="6"/>
    </row>
    <row r="30" spans="3:5" x14ac:dyDescent="0.2">
      <c r="C30" s="6"/>
      <c r="D30" s="7"/>
      <c r="E30" s="6"/>
    </row>
    <row r="31" spans="3:5" x14ac:dyDescent="0.2">
      <c r="C31" s="81" t="str">
        <f>IF(D31="...","*","")</f>
        <v>*</v>
      </c>
      <c r="D31" s="13" t="str">
        <f>IF(Podesavanja!OdgovornoLice=0,"...",Podesavanja!OdgovornoLice)</f>
        <v>...</v>
      </c>
      <c r="E31" s="6"/>
    </row>
    <row r="32" spans="3:5" x14ac:dyDescent="0.2">
      <c r="C32" s="6"/>
      <c r="D32" s="14" t="s">
        <v>6</v>
      </c>
      <c r="E32" s="6"/>
    </row>
    <row r="33" spans="3:5" x14ac:dyDescent="0.2">
      <c r="C33" s="6"/>
      <c r="D33" s="7"/>
      <c r="E33" s="6"/>
    </row>
    <row r="34" spans="3:5" x14ac:dyDescent="0.2">
      <c r="C34" s="6"/>
      <c r="D34" s="7"/>
      <c r="E34" s="6"/>
    </row>
    <row r="35" spans="3:5" x14ac:dyDescent="0.2">
      <c r="C35" s="6"/>
      <c r="D35" s="7"/>
      <c r="E35" s="6"/>
    </row>
    <row r="36" spans="3:5" x14ac:dyDescent="0.2">
      <c r="C36" s="6"/>
      <c r="D36" s="7"/>
      <c r="E36" s="6"/>
    </row>
    <row r="37" spans="3:5" x14ac:dyDescent="0.2">
      <c r="C37" s="6"/>
      <c r="D37" s="7"/>
      <c r="E37" s="6"/>
    </row>
    <row r="38" spans="3:5" x14ac:dyDescent="0.2">
      <c r="C38" s="6"/>
      <c r="D38" s="7"/>
      <c r="E38" s="6"/>
    </row>
    <row r="39" spans="3:5" x14ac:dyDescent="0.2">
      <c r="C39" s="81" t="str">
        <f>IF(D39="...","*","")</f>
        <v>*</v>
      </c>
      <c r="D39" s="13" t="str">
        <f>IF(Podesavanja!OdgovorniProjektant=0,"...",Podesavanja!OdgovorniProjektant)</f>
        <v>...</v>
      </c>
      <c r="E39" s="6"/>
    </row>
    <row r="40" spans="3:5" x14ac:dyDescent="0.2">
      <c r="C40" s="6"/>
      <c r="D40" s="14" t="s">
        <v>57</v>
      </c>
      <c r="E40" s="6"/>
    </row>
    <row r="41" spans="3:5" x14ac:dyDescent="0.2">
      <c r="C41" s="6"/>
      <c r="D41" s="7"/>
      <c r="E41" s="6"/>
    </row>
    <row r="42" spans="3:5" x14ac:dyDescent="0.2">
      <c r="C42" s="6"/>
      <c r="D42" s="7"/>
      <c r="E42" s="6"/>
    </row>
    <row r="43" spans="3:5" x14ac:dyDescent="0.2">
      <c r="C43" s="81" t="str">
        <f>IF(D43="...","*","")</f>
        <v>*</v>
      </c>
      <c r="D43" s="13" t="str">
        <f>IF(VLOOKUP('Vrste tehnicke dokumentacije'!VrstaTehnickeDokumentacije,'Vrste tehnicke dokumentacije'!tblVrsteTehnickeDokumentacije,2,FALSE)=0,"...",VLOOKUP('Vrste tehnicke dokumentacije'!VrstaTehnickeDokumentacije,'Vrste tehnicke dokumentacije'!tblVrsteTehnickeDokumentacije,2,FALSE))</f>
        <v>...</v>
      </c>
      <c r="E43" s="6"/>
    </row>
    <row r="44" spans="3:5" x14ac:dyDescent="0.2">
      <c r="C44" s="6"/>
      <c r="D44" s="11" t="s">
        <v>7</v>
      </c>
      <c r="E44" s="6"/>
    </row>
    <row r="45" spans="3:5" x14ac:dyDescent="0.2">
      <c r="C45" s="81" t="str">
        <f>IF(D45="...","*","")</f>
        <v>*</v>
      </c>
      <c r="D45" s="13" t="str">
        <f>IF(VLOOKUP('Vrste tehnicke dokumentacije'!VrstaTehnickeDokumentacije,'Vrste tehnicke dokumentacije'!tblVrsteTehnickeDokumentacije,3,FALSE)=0,"...",VLOOKUP('Vrste tehnicke dokumentacije'!VrstaTehnickeDokumentacije,'Vrste tehnicke dokumentacije'!tblVrsteTehnickeDokumentacije,3,FALSE))</f>
        <v>...</v>
      </c>
      <c r="E45" s="6"/>
    </row>
    <row r="46" spans="3:5" x14ac:dyDescent="0.2">
      <c r="C46" s="6"/>
      <c r="D46" s="11" t="s">
        <v>8</v>
      </c>
      <c r="E46" s="6"/>
    </row>
    <row r="47" spans="3:5" x14ac:dyDescent="0.2">
      <c r="C47" s="15"/>
      <c r="D47" s="15"/>
      <c r="E47" s="15"/>
    </row>
    <row r="96" ht="15" customHeight="1" x14ac:dyDescent="0.2"/>
    <row r="178" ht="15.75" customHeight="1" x14ac:dyDescent="0.2"/>
    <row r="199" ht="15" customHeight="1" x14ac:dyDescent="0.2"/>
  </sheetData>
  <mergeCells count="1">
    <mergeCell ref="C1:E2"/>
  </mergeCell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F161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3" width="2.21875" style="25" customWidth="1"/>
    <col min="4" max="4" width="6.77734375" style="25" customWidth="1"/>
    <col min="5" max="5" width="61.77734375" style="25" customWidth="1"/>
    <col min="6" max="187" width="2.21875" style="25" customWidth="1"/>
    <col min="188" max="16384" width="8.88671875" style="25"/>
  </cols>
  <sheetData>
    <row r="1" spans="3:6" s="23" customFormat="1" x14ac:dyDescent="0.2">
      <c r="C1" s="102" t="s">
        <v>110</v>
      </c>
      <c r="D1" s="102"/>
      <c r="E1" s="102"/>
      <c r="F1" s="102"/>
    </row>
    <row r="2" spans="3:6" s="24" customFormat="1" ht="15.75" customHeight="1" thickBot="1" x14ac:dyDescent="0.25">
      <c r="C2" s="103"/>
      <c r="D2" s="103"/>
      <c r="E2" s="103"/>
      <c r="F2" s="103"/>
    </row>
    <row r="3" spans="3:6" ht="15.75" thickTop="1" x14ac:dyDescent="0.2"/>
    <row r="7" spans="3:6" x14ac:dyDescent="0.2">
      <c r="C7" s="4"/>
      <c r="D7" s="4"/>
      <c r="E7" s="4"/>
      <c r="F7" s="4"/>
    </row>
    <row r="8" spans="3:6" x14ac:dyDescent="0.2">
      <c r="C8" s="5"/>
      <c r="D8" s="5"/>
      <c r="E8" s="5"/>
      <c r="F8" s="5"/>
    </row>
    <row r="9" spans="3:6" x14ac:dyDescent="0.2">
      <c r="C9" s="6"/>
      <c r="D9" s="26"/>
      <c r="E9" s="27"/>
      <c r="F9" s="6"/>
    </row>
    <row r="10" spans="3:6" x14ac:dyDescent="0.2">
      <c r="C10" s="6"/>
      <c r="D10" s="26"/>
      <c r="E10" s="27"/>
      <c r="F10" s="6"/>
    </row>
    <row r="11" spans="3:6" ht="15.75" x14ac:dyDescent="0.25">
      <c r="C11" s="6"/>
      <c r="D11" s="101" t="s">
        <v>24</v>
      </c>
      <c r="E11" s="101"/>
      <c r="F11" s="6"/>
    </row>
    <row r="12" spans="3:6" x14ac:dyDescent="0.2">
      <c r="C12" s="6"/>
      <c r="D12" s="26"/>
      <c r="E12" s="27"/>
      <c r="F12" s="6"/>
    </row>
    <row r="13" spans="3:6" x14ac:dyDescent="0.2">
      <c r="C13" s="6"/>
      <c r="D13" s="26"/>
      <c r="E13" s="27"/>
      <c r="F13" s="6"/>
    </row>
    <row r="14" spans="3:6" x14ac:dyDescent="0.2">
      <c r="C14" s="6"/>
      <c r="D14" s="26"/>
      <c r="E14" s="27"/>
      <c r="F14" s="6"/>
    </row>
    <row r="15" spans="3:6" x14ac:dyDescent="0.2">
      <c r="C15" s="6"/>
      <c r="D15" s="27" t="s">
        <v>25</v>
      </c>
      <c r="E15" s="27" t="s">
        <v>26</v>
      </c>
      <c r="F15" s="6"/>
    </row>
    <row r="16" spans="3:6" x14ac:dyDescent="0.2">
      <c r="C16" s="6"/>
      <c r="D16" s="27"/>
      <c r="E16" s="27"/>
      <c r="F16" s="6"/>
    </row>
    <row r="17" spans="3:6" x14ac:dyDescent="0.2">
      <c r="C17" s="6"/>
      <c r="D17" s="27" t="s">
        <v>27</v>
      </c>
      <c r="E17" s="27" t="s">
        <v>28</v>
      </c>
      <c r="F17" s="6"/>
    </row>
    <row r="18" spans="3:6" x14ac:dyDescent="0.2">
      <c r="C18" s="6"/>
      <c r="D18" s="27"/>
      <c r="E18" s="27"/>
      <c r="F18" s="6"/>
    </row>
    <row r="19" spans="3:6" x14ac:dyDescent="0.2">
      <c r="C19" s="6"/>
      <c r="D19" s="27" t="s">
        <v>29</v>
      </c>
      <c r="E19" s="27" t="s">
        <v>30</v>
      </c>
      <c r="F19" s="6"/>
    </row>
    <row r="20" spans="3:6" x14ac:dyDescent="0.2">
      <c r="C20" s="6"/>
      <c r="D20" s="27"/>
      <c r="E20" s="27"/>
      <c r="F20" s="6"/>
    </row>
    <row r="21" spans="3:6" x14ac:dyDescent="0.2">
      <c r="C21" s="6"/>
      <c r="D21" s="27" t="s">
        <v>31</v>
      </c>
      <c r="E21" s="27" t="s">
        <v>32</v>
      </c>
      <c r="F21" s="6"/>
    </row>
    <row r="22" spans="3:6" x14ac:dyDescent="0.2">
      <c r="C22" s="6"/>
      <c r="D22" s="27"/>
      <c r="E22" s="27"/>
      <c r="F22" s="6"/>
    </row>
    <row r="23" spans="3:6" ht="15.75" x14ac:dyDescent="0.25">
      <c r="C23" s="6"/>
      <c r="D23" s="28" t="s">
        <v>33</v>
      </c>
      <c r="E23" s="28" t="s">
        <v>34</v>
      </c>
      <c r="F23" s="6"/>
    </row>
    <row r="24" spans="3:6" x14ac:dyDescent="0.2">
      <c r="C24" s="6"/>
      <c r="D24" s="27"/>
      <c r="E24" s="27"/>
      <c r="F24" s="6"/>
    </row>
    <row r="25" spans="3:6" x14ac:dyDescent="0.2">
      <c r="C25" s="6"/>
      <c r="D25" s="27" t="s">
        <v>35</v>
      </c>
      <c r="E25" s="27" t="s">
        <v>36</v>
      </c>
      <c r="F25" s="6"/>
    </row>
    <row r="26" spans="3:6" x14ac:dyDescent="0.2">
      <c r="C26" s="6"/>
      <c r="D26" s="27"/>
      <c r="E26" s="27"/>
      <c r="F26" s="6"/>
    </row>
    <row r="27" spans="3:6" ht="15.75" x14ac:dyDescent="0.25">
      <c r="C27" s="6"/>
      <c r="D27" s="28" t="s">
        <v>37</v>
      </c>
      <c r="E27" s="28" t="s">
        <v>38</v>
      </c>
      <c r="F27" s="6"/>
    </row>
    <row r="28" spans="3:6" x14ac:dyDescent="0.2">
      <c r="C28" s="6"/>
      <c r="D28" s="27"/>
      <c r="E28" s="27"/>
      <c r="F28" s="6"/>
    </row>
    <row r="29" spans="3:6" x14ac:dyDescent="0.2">
      <c r="C29" s="6"/>
      <c r="D29" s="27" t="s">
        <v>39</v>
      </c>
      <c r="E29" s="27" t="s">
        <v>40</v>
      </c>
      <c r="F29" s="6"/>
    </row>
    <row r="30" spans="3:6" x14ac:dyDescent="0.2">
      <c r="C30" s="6"/>
      <c r="D30" s="27"/>
      <c r="E30" s="27"/>
      <c r="F30" s="29"/>
    </row>
    <row r="31" spans="3:6" ht="15.75" x14ac:dyDescent="0.25">
      <c r="C31" s="93" t="s">
        <v>76</v>
      </c>
      <c r="D31" s="28" t="s">
        <v>41</v>
      </c>
      <c r="E31" s="28" t="s">
        <v>42</v>
      </c>
      <c r="F31" s="92" t="s">
        <v>81</v>
      </c>
    </row>
    <row r="32" spans="3:6" x14ac:dyDescent="0.2">
      <c r="C32" s="97"/>
      <c r="D32" s="98"/>
      <c r="E32" s="27"/>
      <c r="F32" s="92"/>
    </row>
    <row r="33" spans="3:6" x14ac:dyDescent="0.2">
      <c r="C33" s="6"/>
      <c r="D33" s="27"/>
      <c r="E33" s="27"/>
      <c r="F33" s="58" t="s">
        <v>82</v>
      </c>
    </row>
    <row r="34" spans="3:6" x14ac:dyDescent="0.2">
      <c r="C34" s="30"/>
      <c r="D34" s="30"/>
      <c r="E34" s="30"/>
      <c r="F34" s="30"/>
    </row>
    <row r="58" ht="15" customHeight="1" x14ac:dyDescent="0.2"/>
    <row r="140" ht="15.75" customHeight="1" x14ac:dyDescent="0.2"/>
    <row r="161" ht="15" customHeight="1" x14ac:dyDescent="0.2"/>
  </sheetData>
  <mergeCells count="2">
    <mergeCell ref="D11:E11"/>
    <mergeCell ref="C1:F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E154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3" width="2.21875" style="25" customWidth="1"/>
    <col min="4" max="4" width="69.77734375" style="25" customWidth="1"/>
    <col min="5" max="187" width="2.21875" style="25" customWidth="1"/>
    <col min="188" max="16384" width="8.88671875" style="25"/>
  </cols>
  <sheetData>
    <row r="1" spans="3:5" s="23" customFormat="1" x14ac:dyDescent="0.2">
      <c r="C1" s="102" t="s">
        <v>110</v>
      </c>
      <c r="D1" s="102"/>
      <c r="E1" s="102"/>
    </row>
    <row r="2" spans="3:5" s="24" customFormat="1" ht="15.75" customHeight="1" thickBot="1" x14ac:dyDescent="0.25">
      <c r="C2" s="103"/>
      <c r="D2" s="103"/>
      <c r="E2" s="103"/>
    </row>
    <row r="3" spans="3:5" ht="15.75" thickTop="1" x14ac:dyDescent="0.2"/>
    <row r="7" spans="3:5" x14ac:dyDescent="0.2">
      <c r="C7" s="4"/>
      <c r="D7" s="4"/>
      <c r="E7" s="4"/>
    </row>
    <row r="8" spans="3:5" x14ac:dyDescent="0.2">
      <c r="C8" s="5"/>
      <c r="D8" s="5"/>
      <c r="E8" s="5"/>
    </row>
    <row r="9" spans="3:5" x14ac:dyDescent="0.2">
      <c r="C9" s="6"/>
      <c r="D9" s="7"/>
      <c r="E9" s="6"/>
    </row>
    <row r="10" spans="3:5" x14ac:dyDescent="0.2">
      <c r="C10" s="6"/>
      <c r="D10" s="7"/>
      <c r="E10" s="6"/>
    </row>
    <row r="11" spans="3:5" ht="31.5" x14ac:dyDescent="0.25">
      <c r="C11" s="6"/>
      <c r="D11" s="31" t="s">
        <v>44</v>
      </c>
      <c r="E11" s="6"/>
    </row>
    <row r="12" spans="3:5" x14ac:dyDescent="0.2">
      <c r="C12" s="6"/>
      <c r="D12" s="7"/>
      <c r="E12" s="6"/>
    </row>
    <row r="13" spans="3:5" x14ac:dyDescent="0.2">
      <c r="C13" s="6"/>
      <c r="D13" s="7"/>
      <c r="E13" s="6"/>
    </row>
    <row r="14" spans="3:5" x14ac:dyDescent="0.2">
      <c r="C14" s="6"/>
      <c r="D14" s="7"/>
      <c r="E14" s="6"/>
    </row>
    <row r="15" spans="3:5" ht="75" x14ac:dyDescent="0.2">
      <c r="C15" s="6"/>
      <c r="D15" s="7" t="s">
        <v>45</v>
      </c>
      <c r="E15" s="6"/>
    </row>
    <row r="16" spans="3:5" x14ac:dyDescent="0.2">
      <c r="C16" s="6"/>
      <c r="D16" s="7"/>
      <c r="E16" s="6"/>
    </row>
    <row r="17" spans="3:5" x14ac:dyDescent="0.2">
      <c r="C17" s="6"/>
      <c r="D17" s="7"/>
      <c r="E17" s="6"/>
    </row>
    <row r="18" spans="3:5" x14ac:dyDescent="0.2">
      <c r="C18" s="6"/>
      <c r="D18" s="7"/>
      <c r="E18" s="6"/>
    </row>
    <row r="19" spans="3:5" ht="15.75" x14ac:dyDescent="0.25">
      <c r="C19" s="6"/>
      <c r="D19" s="8" t="s">
        <v>46</v>
      </c>
      <c r="E19" s="6"/>
    </row>
    <row r="20" spans="3:5" x14ac:dyDescent="0.2">
      <c r="C20" s="6"/>
      <c r="D20" s="7"/>
      <c r="E20" s="6"/>
    </row>
    <row r="21" spans="3:5" x14ac:dyDescent="0.2">
      <c r="C21" s="6"/>
      <c r="D21" s="7"/>
      <c r="E21" s="6"/>
    </row>
    <row r="22" spans="3:5" x14ac:dyDescent="0.2">
      <c r="C22" s="6"/>
      <c r="D22" s="7"/>
      <c r="E22" s="6"/>
    </row>
    <row r="23" spans="3:5" x14ac:dyDescent="0.2">
      <c r="C23" s="81" t="str">
        <f>IF(D23="...","*","")</f>
        <v>*</v>
      </c>
      <c r="D23" s="13" t="str">
        <f>IF(OR(Podesavanja!ObjekatIzKonteksta=0,Podesavanja!VrstaRadovaIzKonteksta=0),"...","za izradu projekta arhitekture koji je deo "&amp;VLOOKUP('Vrste tehnicke dokumentacije'!VrstaTehnickeDokumentacije,'Vrste tehnicke dokumentacije'!tblVrsteTehnickeDokumentacije,5,FALSE) &amp; ", za " &amp; Podesavanja!VrstaRadovaIzKonteksta &amp; " " &amp; Podesavanja!ObjekatIzKonteksta &amp; " određuje se:")</f>
        <v>...</v>
      </c>
      <c r="E23" s="6"/>
    </row>
    <row r="24" spans="3:5" x14ac:dyDescent="0.2">
      <c r="C24" s="6"/>
      <c r="D24" s="7"/>
      <c r="E24" s="6"/>
    </row>
    <row r="25" spans="3:5" x14ac:dyDescent="0.2">
      <c r="C25" s="6"/>
      <c r="D25" s="7"/>
      <c r="E25" s="6"/>
    </row>
    <row r="26" spans="3:5" x14ac:dyDescent="0.2">
      <c r="C26" s="6"/>
      <c r="D26" s="7"/>
      <c r="E26" s="6"/>
    </row>
    <row r="27" spans="3:5" x14ac:dyDescent="0.2">
      <c r="C27" s="81" t="str">
        <f>IF(D27="...","*","")</f>
        <v>*</v>
      </c>
      <c r="D27" s="32" t="s">
        <v>43</v>
      </c>
      <c r="E27" s="6"/>
    </row>
    <row r="28" spans="3:5" x14ac:dyDescent="0.2">
      <c r="C28" s="6"/>
      <c r="D28" s="33" t="s">
        <v>47</v>
      </c>
      <c r="E28" s="6"/>
    </row>
    <row r="29" spans="3:5" x14ac:dyDescent="0.2">
      <c r="C29" s="6"/>
      <c r="D29" s="7"/>
      <c r="E29" s="6"/>
    </row>
    <row r="30" spans="3:5" x14ac:dyDescent="0.2">
      <c r="C30" s="6"/>
      <c r="D30" s="7"/>
      <c r="E30" s="6"/>
    </row>
    <row r="31" spans="3:5" x14ac:dyDescent="0.2">
      <c r="C31" s="6"/>
      <c r="D31" s="7"/>
      <c r="E31" s="6"/>
    </row>
    <row r="32" spans="3:5" x14ac:dyDescent="0.2">
      <c r="C32" s="81" t="str">
        <f>IF(D32="...","*","")</f>
        <v>*</v>
      </c>
      <c r="D32" s="34" t="str">
        <f>IF(Podesavanja!ProjektnaOrganizacija=0,"...",Podesavanja!ProjektnaOrganizacija)</f>
        <v>...</v>
      </c>
      <c r="E32" s="6"/>
    </row>
    <row r="33" spans="3:5" x14ac:dyDescent="0.2">
      <c r="C33" s="6"/>
      <c r="D33" s="11" t="s">
        <v>5</v>
      </c>
      <c r="E33" s="6"/>
    </row>
    <row r="34" spans="3:5" x14ac:dyDescent="0.2">
      <c r="C34" s="6"/>
      <c r="D34" s="7"/>
      <c r="E34" s="6"/>
    </row>
    <row r="35" spans="3:5" x14ac:dyDescent="0.2">
      <c r="C35" s="6"/>
      <c r="D35" s="7"/>
      <c r="E35" s="6"/>
    </row>
    <row r="36" spans="3:5" x14ac:dyDescent="0.2">
      <c r="C36" s="6"/>
      <c r="D36" s="7"/>
      <c r="E36" s="6"/>
    </row>
    <row r="37" spans="3:5" x14ac:dyDescent="0.2">
      <c r="C37" s="6"/>
      <c r="D37" s="7"/>
      <c r="E37" s="6"/>
    </row>
    <row r="38" spans="3:5" x14ac:dyDescent="0.2">
      <c r="C38" s="81" t="str">
        <f>IF(D38="...","*","")</f>
        <v>*</v>
      </c>
      <c r="D38" s="7" t="s">
        <v>43</v>
      </c>
      <c r="E38" s="6"/>
    </row>
    <row r="39" spans="3:5" x14ac:dyDescent="0.2">
      <c r="C39" s="6"/>
      <c r="D39" s="14" t="s">
        <v>6</v>
      </c>
      <c r="E39" s="6"/>
    </row>
    <row r="40" spans="3:5" x14ac:dyDescent="0.2">
      <c r="C40" s="6"/>
      <c r="D40" s="7"/>
      <c r="E40" s="6"/>
    </row>
    <row r="41" spans="3:5" x14ac:dyDescent="0.2">
      <c r="C41" s="15"/>
      <c r="D41" s="15"/>
      <c r="E41" s="15"/>
    </row>
    <row r="51" ht="15" customHeight="1" x14ac:dyDescent="0.2"/>
    <row r="133" ht="15.75" customHeight="1" x14ac:dyDescent="0.2"/>
    <row r="154" ht="15" customHeight="1" x14ac:dyDescent="0.2"/>
  </sheetData>
  <mergeCells count="1">
    <mergeCell ref="C1:E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E11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3" width="2.21875" style="25" customWidth="1"/>
    <col min="4" max="4" width="69.77734375" style="25" customWidth="1"/>
    <col min="5" max="187" width="2.21875" style="25" customWidth="1"/>
    <col min="188" max="16384" width="8.88671875" style="25"/>
  </cols>
  <sheetData>
    <row r="1" spans="3:5" s="23" customFormat="1" x14ac:dyDescent="0.2">
      <c r="C1" s="102" t="s">
        <v>110</v>
      </c>
      <c r="D1" s="102"/>
      <c r="E1" s="102"/>
    </row>
    <row r="2" spans="3:5" s="24" customFormat="1" ht="15.75" customHeight="1" thickBot="1" x14ac:dyDescent="0.25">
      <c r="C2" s="103"/>
      <c r="D2" s="103"/>
      <c r="E2" s="103"/>
    </row>
    <row r="3" spans="3:5" ht="15.75" thickTop="1" x14ac:dyDescent="0.2"/>
    <row r="7" spans="3:5" x14ac:dyDescent="0.2">
      <c r="C7" s="4"/>
      <c r="D7" s="4"/>
      <c r="E7" s="4"/>
    </row>
    <row r="8" spans="3:5" x14ac:dyDescent="0.2">
      <c r="C8" s="6"/>
      <c r="D8" s="5"/>
      <c r="E8" s="6"/>
    </row>
    <row r="9" spans="3:5" x14ac:dyDescent="0.2">
      <c r="C9" s="6"/>
      <c r="D9" s="7"/>
      <c r="E9" s="6"/>
    </row>
    <row r="10" spans="3:5" x14ac:dyDescent="0.2">
      <c r="C10" s="6"/>
      <c r="D10" s="7"/>
      <c r="E10" s="6"/>
    </row>
    <row r="11" spans="3:5" ht="15.75" x14ac:dyDescent="0.25">
      <c r="C11" s="6"/>
      <c r="D11" s="8" t="s">
        <v>48</v>
      </c>
      <c r="E11" s="6"/>
    </row>
    <row r="12" spans="3:5" x14ac:dyDescent="0.2">
      <c r="C12" s="6"/>
      <c r="D12" s="7"/>
      <c r="E12" s="6"/>
    </row>
    <row r="13" spans="3:5" x14ac:dyDescent="0.2">
      <c r="C13" s="6"/>
      <c r="D13" s="7"/>
      <c r="E13" s="6"/>
    </row>
    <row r="14" spans="3:5" x14ac:dyDescent="0.2">
      <c r="C14" s="6"/>
      <c r="D14" s="7"/>
      <c r="E14" s="6"/>
    </row>
    <row r="15" spans="3:5" x14ac:dyDescent="0.2">
      <c r="C15" s="81" t="str">
        <f>IF(D15="...","*","")</f>
        <v>*</v>
      </c>
      <c r="D15" s="13" t="str">
        <f>IF(OR(Podesavanja!ObjekatIzKonteksta=0,Podesavanja!VrstaRadovaIzKonteksta=0),"...","Odgovorni projektant projekta arhitekture koji je deo "&amp;VLOOKUP('Vrste tehnicke dokumentacije'!VrstaTehnickeDokumentacije,'Vrste tehnicke dokumentacije'!tblVrsteTehnickeDokumentacije,5,FALSE) &amp; ", za " &amp; Podesavanja!VrstaRadovaIzKonteksta &amp; " " &amp; Podesavanja!ObjekatIzKonteksta &amp; " ,")</f>
        <v>...</v>
      </c>
      <c r="E15" s="6"/>
    </row>
    <row r="16" spans="3:5" ht="15" customHeight="1" x14ac:dyDescent="0.2">
      <c r="C16" s="6"/>
      <c r="D16" s="7"/>
      <c r="E16" s="6"/>
    </row>
    <row r="17" spans="3:5" x14ac:dyDescent="0.2">
      <c r="C17" s="6"/>
      <c r="D17" s="7"/>
      <c r="E17" s="6"/>
    </row>
    <row r="18" spans="3:5" x14ac:dyDescent="0.2">
      <c r="C18" s="6"/>
      <c r="D18" s="7"/>
      <c r="E18" s="6"/>
    </row>
    <row r="19" spans="3:5" x14ac:dyDescent="0.2">
      <c r="C19" s="81" t="str">
        <f>IF(D19="...","*","")</f>
        <v>*</v>
      </c>
      <c r="D19" s="91" t="str">
        <f>IF(Podesavanja!OdgovorniProjektant=0,"...",Podesavanja!OdgovorniProjektant)</f>
        <v>...</v>
      </c>
      <c r="E19" s="6"/>
    </row>
    <row r="20" spans="3:5" x14ac:dyDescent="0.2">
      <c r="C20" s="6"/>
      <c r="D20" s="33" t="s">
        <v>47</v>
      </c>
      <c r="E20" s="6"/>
    </row>
    <row r="21" spans="3:5" x14ac:dyDescent="0.2">
      <c r="C21" s="6"/>
      <c r="D21" s="7"/>
      <c r="E21" s="6"/>
    </row>
    <row r="22" spans="3:5" x14ac:dyDescent="0.2">
      <c r="C22" s="6"/>
      <c r="D22" s="7"/>
      <c r="E22" s="6"/>
    </row>
    <row r="23" spans="3:5" x14ac:dyDescent="0.2">
      <c r="C23" s="6"/>
      <c r="D23" s="7"/>
      <c r="E23" s="6"/>
    </row>
    <row r="24" spans="3:5" ht="15.75" x14ac:dyDescent="0.25">
      <c r="C24" s="6"/>
      <c r="D24" s="8" t="s">
        <v>49</v>
      </c>
      <c r="E24" s="6"/>
    </row>
    <row r="25" spans="3:5" x14ac:dyDescent="0.2">
      <c r="C25" s="6"/>
      <c r="D25" s="7"/>
      <c r="E25" s="6"/>
    </row>
    <row r="26" spans="3:5" x14ac:dyDescent="0.2">
      <c r="C26" s="6"/>
      <c r="D26" s="7"/>
      <c r="E26" s="6"/>
    </row>
    <row r="27" spans="3:5" x14ac:dyDescent="0.2">
      <c r="C27" s="6"/>
      <c r="D27" s="7"/>
      <c r="E27" s="6"/>
    </row>
    <row r="28" spans="3:5" ht="30" x14ac:dyDescent="0.2">
      <c r="C28" s="6"/>
      <c r="D28" s="37" t="s">
        <v>50</v>
      </c>
      <c r="E28" s="6"/>
    </row>
    <row r="29" spans="3:5" ht="45" x14ac:dyDescent="0.2">
      <c r="C29" s="6"/>
      <c r="D29" s="37" t="s">
        <v>51</v>
      </c>
      <c r="E29" s="6"/>
    </row>
    <row r="30" spans="3:5" ht="45" x14ac:dyDescent="0.2">
      <c r="C30" s="6"/>
      <c r="D30" s="37" t="s">
        <v>51</v>
      </c>
      <c r="E30" s="6"/>
    </row>
    <row r="31" spans="3:5" ht="45" x14ac:dyDescent="0.2">
      <c r="C31" s="6"/>
      <c r="D31" s="37" t="s">
        <v>51</v>
      </c>
      <c r="E31" s="6"/>
    </row>
    <row r="32" spans="3:5" x14ac:dyDescent="0.2">
      <c r="C32" s="6"/>
      <c r="D32" s="7"/>
      <c r="E32" s="6"/>
    </row>
    <row r="33" spans="3:5" x14ac:dyDescent="0.2">
      <c r="C33" s="6"/>
      <c r="D33" s="7"/>
      <c r="E33" s="6"/>
    </row>
    <row r="34" spans="3:5" x14ac:dyDescent="0.2">
      <c r="C34" s="6"/>
      <c r="D34" s="7"/>
      <c r="E34" s="6"/>
    </row>
    <row r="35" spans="3:5" x14ac:dyDescent="0.2">
      <c r="C35" s="81" t="str">
        <f>IF(D35="...","*","")</f>
        <v>*</v>
      </c>
      <c r="D35" s="34" t="str">
        <f>IF(Podesavanja!ProjektnaOrganizacija=0,"...",Podesavanja!ProjektnaOrganizacija)</f>
        <v>...</v>
      </c>
      <c r="E35" s="6"/>
    </row>
    <row r="36" spans="3:5" x14ac:dyDescent="0.2">
      <c r="C36" s="6"/>
      <c r="D36" s="11" t="s">
        <v>5</v>
      </c>
      <c r="E36" s="6"/>
    </row>
    <row r="37" spans="3:5" x14ac:dyDescent="0.2">
      <c r="C37" s="6"/>
      <c r="D37" s="7"/>
      <c r="E37" s="6"/>
    </row>
    <row r="38" spans="3:5" x14ac:dyDescent="0.2">
      <c r="C38" s="6"/>
      <c r="D38" s="7"/>
      <c r="E38" s="6"/>
    </row>
    <row r="39" spans="3:5" x14ac:dyDescent="0.2">
      <c r="C39" s="6"/>
      <c r="D39" s="7"/>
      <c r="E39" s="6"/>
    </row>
    <row r="40" spans="3:5" x14ac:dyDescent="0.2">
      <c r="C40" s="6"/>
      <c r="D40" s="7"/>
      <c r="E40" s="6"/>
    </row>
    <row r="41" spans="3:5" x14ac:dyDescent="0.2">
      <c r="C41" s="81" t="str">
        <f>IF(D41="...","*","")</f>
        <v>*</v>
      </c>
      <c r="D41" s="7" t="str">
        <f>IF(Podesavanja!OdgovorniProjektant=0,"...",Podesavanja!OdgovorniProjektant)</f>
        <v>...</v>
      </c>
      <c r="E41" s="6"/>
    </row>
    <row r="42" spans="3:5" x14ac:dyDescent="0.2">
      <c r="C42" s="6"/>
      <c r="D42" s="14" t="s">
        <v>57</v>
      </c>
      <c r="E42" s="6"/>
    </row>
    <row r="43" spans="3:5" x14ac:dyDescent="0.2">
      <c r="C43" s="6"/>
      <c r="D43" s="7"/>
      <c r="E43" s="6"/>
    </row>
    <row r="44" spans="3:5" x14ac:dyDescent="0.2">
      <c r="C44" s="15"/>
      <c r="D44" s="15"/>
      <c r="E44" s="15"/>
    </row>
    <row r="91" ht="15.75" customHeight="1" x14ac:dyDescent="0.2"/>
    <row r="112" ht="15" customHeight="1" x14ac:dyDescent="0.2"/>
  </sheetData>
  <mergeCells count="1">
    <mergeCell ref="C1:E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12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3" width="2.21875" style="25" customWidth="1"/>
    <col min="4" max="4" width="69.77734375" style="25" customWidth="1"/>
    <col min="5" max="187" width="2.21875" style="25" customWidth="1"/>
    <col min="188" max="16384" width="8.88671875" style="25"/>
  </cols>
  <sheetData>
    <row r="1" spans="3:5" s="23" customFormat="1" x14ac:dyDescent="0.2">
      <c r="C1" s="102" t="s">
        <v>110</v>
      </c>
      <c r="D1" s="102"/>
      <c r="E1" s="102"/>
    </row>
    <row r="2" spans="3:5" s="24" customFormat="1" ht="15.75" customHeight="1" thickBot="1" x14ac:dyDescent="0.25">
      <c r="C2" s="103"/>
      <c r="D2" s="103"/>
      <c r="E2" s="103"/>
    </row>
    <row r="3" spans="3:5" ht="15.75" thickTop="1" x14ac:dyDescent="0.2"/>
    <row r="7" spans="3:5" x14ac:dyDescent="0.2">
      <c r="C7" s="4"/>
      <c r="D7" s="4"/>
      <c r="E7" s="4"/>
    </row>
    <row r="8" spans="3:5" x14ac:dyDescent="0.2">
      <c r="C8" s="6"/>
      <c r="D8" s="5"/>
      <c r="E8" s="6"/>
    </row>
    <row r="9" spans="3:5" x14ac:dyDescent="0.2">
      <c r="C9" s="6"/>
      <c r="D9" s="104" t="s">
        <v>52</v>
      </c>
      <c r="E9" s="6"/>
    </row>
    <row r="10" spans="3:5" x14ac:dyDescent="0.2">
      <c r="C10" s="6"/>
      <c r="D10" s="105"/>
      <c r="E10" s="6"/>
    </row>
    <row r="11" spans="3:5" x14ac:dyDescent="0.2">
      <c r="C11" s="6"/>
      <c r="D11" s="105"/>
      <c r="E11" s="6"/>
    </row>
    <row r="12" spans="3:5" x14ac:dyDescent="0.2">
      <c r="C12" s="6"/>
      <c r="D12" s="105"/>
      <c r="E12" s="6"/>
    </row>
    <row r="13" spans="3:5" x14ac:dyDescent="0.2">
      <c r="C13" s="6"/>
      <c r="D13" s="105"/>
      <c r="E13" s="6"/>
    </row>
    <row r="14" spans="3:5" x14ac:dyDescent="0.2">
      <c r="C14" s="6"/>
      <c r="D14" s="105"/>
      <c r="E14" s="6"/>
    </row>
    <row r="15" spans="3:5" x14ac:dyDescent="0.2">
      <c r="C15" s="6"/>
      <c r="D15" s="105"/>
      <c r="E15" s="6"/>
    </row>
    <row r="16" spans="3:5" ht="15" customHeight="1" x14ac:dyDescent="0.2">
      <c r="C16" s="6"/>
      <c r="D16" s="105"/>
      <c r="E16" s="6"/>
    </row>
    <row r="17" spans="3:5" x14ac:dyDescent="0.2">
      <c r="C17" s="6"/>
      <c r="D17" s="105"/>
      <c r="E17" s="6"/>
    </row>
    <row r="18" spans="3:5" x14ac:dyDescent="0.2">
      <c r="C18" s="6"/>
      <c r="D18" s="105"/>
      <c r="E18" s="6"/>
    </row>
    <row r="19" spans="3:5" x14ac:dyDescent="0.2">
      <c r="C19" s="6"/>
      <c r="D19" s="105"/>
      <c r="E19" s="6"/>
    </row>
    <row r="20" spans="3:5" x14ac:dyDescent="0.2">
      <c r="C20" s="6"/>
      <c r="D20" s="105"/>
      <c r="E20" s="6"/>
    </row>
    <row r="21" spans="3:5" x14ac:dyDescent="0.2">
      <c r="C21" s="6"/>
      <c r="D21" s="105"/>
      <c r="E21" s="6"/>
    </row>
    <row r="22" spans="3:5" x14ac:dyDescent="0.2">
      <c r="C22" s="6"/>
      <c r="D22" s="105"/>
      <c r="E22" s="6"/>
    </row>
    <row r="23" spans="3:5" x14ac:dyDescent="0.2">
      <c r="C23" s="6"/>
      <c r="D23" s="105"/>
      <c r="E23" s="6"/>
    </row>
    <row r="24" spans="3:5" x14ac:dyDescent="0.2">
      <c r="C24" s="6"/>
      <c r="D24" s="105"/>
      <c r="E24" s="6"/>
    </row>
    <row r="25" spans="3:5" x14ac:dyDescent="0.2">
      <c r="C25" s="6"/>
      <c r="D25" s="105"/>
      <c r="E25" s="6"/>
    </row>
    <row r="26" spans="3:5" x14ac:dyDescent="0.2">
      <c r="C26" s="6"/>
      <c r="D26" s="105"/>
      <c r="E26" s="6"/>
    </row>
    <row r="27" spans="3:5" x14ac:dyDescent="0.2">
      <c r="C27" s="6"/>
      <c r="D27" s="105"/>
      <c r="E27" s="6"/>
    </row>
    <row r="28" spans="3:5" x14ac:dyDescent="0.2">
      <c r="C28" s="6"/>
      <c r="D28" s="105"/>
      <c r="E28" s="6"/>
    </row>
    <row r="29" spans="3:5" x14ac:dyDescent="0.2">
      <c r="C29" s="6"/>
      <c r="D29" s="105"/>
      <c r="E29" s="6"/>
    </row>
    <row r="30" spans="3:5" x14ac:dyDescent="0.2">
      <c r="C30" s="6"/>
      <c r="D30" s="105"/>
      <c r="E30" s="6"/>
    </row>
    <row r="31" spans="3:5" x14ac:dyDescent="0.2">
      <c r="C31" s="6"/>
      <c r="D31" s="105"/>
      <c r="E31" s="6"/>
    </row>
    <row r="32" spans="3:5" x14ac:dyDescent="0.2">
      <c r="C32" s="6"/>
      <c r="D32" s="105"/>
      <c r="E32" s="6"/>
    </row>
    <row r="33" spans="3:5" x14ac:dyDescent="0.2">
      <c r="C33" s="6"/>
      <c r="D33" s="105"/>
      <c r="E33" s="6"/>
    </row>
    <row r="34" spans="3:5" x14ac:dyDescent="0.2">
      <c r="C34" s="6"/>
      <c r="D34" s="105"/>
      <c r="E34" s="6"/>
    </row>
    <row r="35" spans="3:5" x14ac:dyDescent="0.2">
      <c r="C35" s="6"/>
      <c r="D35" s="105"/>
      <c r="E35" s="6"/>
    </row>
    <row r="36" spans="3:5" x14ac:dyDescent="0.2">
      <c r="C36" s="6"/>
      <c r="D36" s="105"/>
      <c r="E36" s="6"/>
    </row>
    <row r="37" spans="3:5" x14ac:dyDescent="0.2">
      <c r="C37" s="6"/>
      <c r="D37" s="105"/>
      <c r="E37" s="6"/>
    </row>
    <row r="38" spans="3:5" x14ac:dyDescent="0.2">
      <c r="C38" s="6"/>
      <c r="D38" s="105"/>
      <c r="E38" s="6"/>
    </row>
    <row r="39" spans="3:5" x14ac:dyDescent="0.2">
      <c r="C39" s="6"/>
      <c r="D39" s="105"/>
      <c r="E39" s="6"/>
    </row>
    <row r="40" spans="3:5" x14ac:dyDescent="0.2">
      <c r="C40" s="6"/>
      <c r="D40" s="105"/>
      <c r="E40" s="6"/>
    </row>
    <row r="41" spans="3:5" x14ac:dyDescent="0.2">
      <c r="C41" s="6"/>
      <c r="D41" s="105"/>
      <c r="E41" s="6"/>
    </row>
    <row r="42" spans="3:5" x14ac:dyDescent="0.2">
      <c r="C42" s="6"/>
      <c r="D42" s="105"/>
      <c r="E42" s="6"/>
    </row>
    <row r="43" spans="3:5" x14ac:dyDescent="0.2">
      <c r="C43" s="6"/>
      <c r="D43" s="105"/>
      <c r="E43" s="6"/>
    </row>
    <row r="44" spans="3:5" x14ac:dyDescent="0.2">
      <c r="C44" s="6"/>
      <c r="D44" s="105"/>
      <c r="E44" s="6"/>
    </row>
    <row r="45" spans="3:5" x14ac:dyDescent="0.2">
      <c r="C45" s="6"/>
      <c r="D45" s="105"/>
      <c r="E45" s="6"/>
    </row>
    <row r="46" spans="3:5" x14ac:dyDescent="0.2">
      <c r="C46" s="6"/>
      <c r="D46" s="105"/>
      <c r="E46" s="6"/>
    </row>
    <row r="47" spans="3:5" x14ac:dyDescent="0.2">
      <c r="C47" s="6"/>
      <c r="D47" s="105"/>
      <c r="E47" s="6"/>
    </row>
    <row r="48" spans="3:5" x14ac:dyDescent="0.2">
      <c r="C48" s="6"/>
      <c r="D48" s="105"/>
      <c r="E48" s="6"/>
    </row>
    <row r="49" spans="3:5" x14ac:dyDescent="0.2">
      <c r="C49" s="6"/>
      <c r="D49" s="105"/>
      <c r="E49" s="6"/>
    </row>
    <row r="50" spans="3:5" x14ac:dyDescent="0.2">
      <c r="C50" s="6"/>
      <c r="D50" s="105"/>
      <c r="E50" s="6"/>
    </row>
    <row r="51" spans="3:5" x14ac:dyDescent="0.2">
      <c r="C51" s="6"/>
      <c r="D51" s="105"/>
      <c r="E51" s="6"/>
    </row>
    <row r="52" spans="3:5" x14ac:dyDescent="0.2">
      <c r="C52" s="6"/>
      <c r="D52" s="105"/>
      <c r="E52" s="6"/>
    </row>
    <row r="53" spans="3:5" x14ac:dyDescent="0.2">
      <c r="C53" s="6"/>
      <c r="D53" s="105"/>
      <c r="E53" s="6"/>
    </row>
    <row r="54" spans="3:5" x14ac:dyDescent="0.2">
      <c r="C54" s="15"/>
      <c r="D54" s="15"/>
      <c r="E54" s="15"/>
    </row>
    <row r="101" ht="15.75" customHeight="1" x14ac:dyDescent="0.2"/>
    <row r="122" ht="15" customHeight="1" x14ac:dyDescent="0.2"/>
  </sheetData>
  <mergeCells count="2">
    <mergeCell ref="D9:D53"/>
    <mergeCell ref="C1:E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E108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3" width="2.21875" style="25" customWidth="1"/>
    <col min="4" max="4" width="69.77734375" style="25" customWidth="1"/>
    <col min="5" max="187" width="2.21875" style="25" customWidth="1"/>
    <col min="188" max="16384" width="8.88671875" style="25"/>
  </cols>
  <sheetData>
    <row r="1" spans="3:5" s="23" customFormat="1" x14ac:dyDescent="0.2">
      <c r="C1" s="102" t="s">
        <v>110</v>
      </c>
      <c r="D1" s="102"/>
      <c r="E1" s="102"/>
    </row>
    <row r="2" spans="3:5" s="24" customFormat="1" ht="15.75" customHeight="1" thickBot="1" x14ac:dyDescent="0.25">
      <c r="C2" s="103"/>
      <c r="D2" s="103"/>
      <c r="E2" s="103"/>
    </row>
    <row r="3" spans="3:5" ht="15.75" thickTop="1" x14ac:dyDescent="0.2"/>
    <row r="7" spans="3:5" x14ac:dyDescent="0.2">
      <c r="C7" s="4"/>
      <c r="D7" s="4"/>
      <c r="E7" s="4"/>
    </row>
    <row r="8" spans="3:5" x14ac:dyDescent="0.2">
      <c r="C8" s="6"/>
      <c r="D8" s="5"/>
      <c r="E8" s="6"/>
    </row>
    <row r="9" spans="3:5" x14ac:dyDescent="0.2">
      <c r="C9" s="6"/>
      <c r="D9" s="7"/>
      <c r="E9" s="6"/>
    </row>
    <row r="10" spans="3:5" x14ac:dyDescent="0.2">
      <c r="C10" s="6"/>
      <c r="D10" s="7"/>
      <c r="E10" s="6"/>
    </row>
    <row r="11" spans="3:5" ht="15.75" x14ac:dyDescent="0.25">
      <c r="C11" s="6"/>
      <c r="D11" s="8" t="s">
        <v>53</v>
      </c>
      <c r="E11" s="6"/>
    </row>
    <row r="12" spans="3:5" x14ac:dyDescent="0.2">
      <c r="C12" s="6"/>
      <c r="D12" s="7"/>
      <c r="E12" s="6"/>
    </row>
    <row r="13" spans="3:5" x14ac:dyDescent="0.2">
      <c r="C13" s="6"/>
      <c r="D13" s="7"/>
      <c r="E13" s="6"/>
    </row>
    <row r="14" spans="3:5" x14ac:dyDescent="0.2">
      <c r="C14" s="6"/>
      <c r="D14" s="7"/>
      <c r="E14" s="6"/>
    </row>
    <row r="15" spans="3:5" ht="15.75" x14ac:dyDescent="0.25">
      <c r="C15" s="6"/>
      <c r="D15" s="35" t="s">
        <v>54</v>
      </c>
      <c r="E15" s="6"/>
    </row>
    <row r="16" spans="3:5" x14ac:dyDescent="0.2">
      <c r="C16" s="6"/>
      <c r="D16" s="7"/>
      <c r="E16" s="6"/>
    </row>
    <row r="17" spans="3:5" x14ac:dyDescent="0.2">
      <c r="C17" s="81" t="str">
        <f>IF(D17="...","*","")</f>
        <v>*</v>
      </c>
      <c r="D17" s="13" t="str">
        <f>IF(OR(Podesavanja!InvestitorIzKonteksta=0,Podesavanja!ObjekatIzKonteksta=0,Podesavanja!VrstaRadovaIzKonteksta=0),"...","Na zahtev investitora " &amp; Podesavanja!InvestitorIzKonteksta &amp; IF(OR(VLOOKUP('Vrste tehnicke dokumentacije'!VrstaTehnickeDokumentacije,'Vrste tehnicke dokumentacije'!tblVrsteTehnickeDokumentacije,7,FALSE)=0,VLOOKUP('Vrste tehnicke dokumentacije'!VrstaTehnickeDokumentacije,'Vrste tehnicke dokumentacije'!tblVrsteTehnickeDokumentacije,8,FALSE)=0),""," " &amp; VLOOKUP('Vrste tehnicke dokumentacije'!VrstaTehnickeDokumentacije,'Vrste tehnicke dokumentacije'!tblVrsteTehnickeDokumentacije,6,FALSE) &amp;" broj "&amp; VLOOKUP('Vrste tehnicke dokumentacije'!VrstaTehnickeDokumentacije,'Vrste tehnicke dokumentacije'!tblVrsteTehnickeDokumentacije,7,FALSE) &amp;" datum "&amp; VLOOKUP('Vrste tehnicke dokumentacije'!VrstaTehnickeDokumentacije,'Vrste tehnicke dokumentacije'!tblVrsteTehnickeDokumentacije,8,FALSE) &amp;". godine") &amp; " izraditi projekat arhitekture koji je deo "&amp; VLOOKUP('Vrste tehnicke dokumentacije'!VrstaTehnickeDokumentacije,'Vrste tehnicke dokumentacije'!tblVrsteTehnickeDokumentacije,5,FALSE) &amp;", za " &amp; Podesavanja!VrstaRadovaIzKonteksta &amp; " " &amp; Podesavanja!ObjekatIzKonteksta &amp; " .")</f>
        <v>...</v>
      </c>
      <c r="E17" s="6"/>
    </row>
    <row r="18" spans="3:5" ht="15" customHeight="1" x14ac:dyDescent="0.2">
      <c r="C18" s="6"/>
      <c r="D18" s="7"/>
      <c r="E18" s="6"/>
    </row>
    <row r="19" spans="3:5" ht="15" customHeight="1" x14ac:dyDescent="0.2">
      <c r="C19" s="6"/>
      <c r="D19" s="7"/>
      <c r="E19" s="6"/>
    </row>
    <row r="20" spans="3:5" ht="15" customHeight="1" x14ac:dyDescent="0.2">
      <c r="C20" s="6"/>
      <c r="D20" s="7"/>
      <c r="E20" s="6"/>
    </row>
    <row r="21" spans="3:5" ht="15" customHeight="1" x14ac:dyDescent="0.25">
      <c r="C21" s="6"/>
      <c r="D21" s="35" t="s">
        <v>55</v>
      </c>
      <c r="E21" s="38"/>
    </row>
    <row r="22" spans="3:5" ht="15" customHeight="1" x14ac:dyDescent="0.2">
      <c r="C22" s="6"/>
      <c r="D22" s="7"/>
      <c r="E22" s="6"/>
    </row>
    <row r="23" spans="3:5" x14ac:dyDescent="0.2">
      <c r="C23" s="6"/>
      <c r="D23" s="7" t="s">
        <v>43</v>
      </c>
      <c r="E23" s="6"/>
    </row>
    <row r="24" spans="3:5" ht="15" customHeight="1" x14ac:dyDescent="0.2">
      <c r="C24" s="6"/>
      <c r="D24" s="7"/>
      <c r="E24" s="6"/>
    </row>
    <row r="25" spans="3:5" ht="15" customHeight="1" x14ac:dyDescent="0.2">
      <c r="C25" s="6"/>
      <c r="D25" s="7"/>
      <c r="E25" s="6"/>
    </row>
    <row r="26" spans="3:5" ht="15" customHeight="1" x14ac:dyDescent="0.2">
      <c r="C26" s="6"/>
      <c r="D26" s="7"/>
      <c r="E26" s="6"/>
    </row>
    <row r="27" spans="3:5" ht="15" customHeight="1" x14ac:dyDescent="0.25">
      <c r="C27" s="6"/>
      <c r="D27" s="35" t="s">
        <v>56</v>
      </c>
      <c r="E27" s="38"/>
    </row>
    <row r="28" spans="3:5" ht="15" customHeight="1" x14ac:dyDescent="0.2">
      <c r="C28" s="6"/>
      <c r="D28" s="7"/>
      <c r="E28" s="6"/>
    </row>
    <row r="29" spans="3:5" x14ac:dyDescent="0.2">
      <c r="C29" s="6"/>
      <c r="D29" s="36" t="s">
        <v>43</v>
      </c>
      <c r="E29" s="6"/>
    </row>
    <row r="30" spans="3:5" x14ac:dyDescent="0.2">
      <c r="C30" s="6"/>
      <c r="D30" s="7"/>
      <c r="E30" s="6"/>
    </row>
    <row r="31" spans="3:5" x14ac:dyDescent="0.2">
      <c r="C31" s="81" t="str">
        <f>IF(D31="...","*","")</f>
        <v>*</v>
      </c>
      <c r="D31" s="34" t="str">
        <f>IF(Podesavanja!ProjektnaOrganizacija=0,"...",Podesavanja!ProjektnaOrganizacija)</f>
        <v>...</v>
      </c>
      <c r="E31" s="6"/>
    </row>
    <row r="32" spans="3:5" x14ac:dyDescent="0.2">
      <c r="C32" s="6"/>
      <c r="D32" s="11" t="s">
        <v>5</v>
      </c>
      <c r="E32" s="6"/>
    </row>
    <row r="33" spans="3:5" x14ac:dyDescent="0.2">
      <c r="C33" s="6"/>
      <c r="D33" s="7"/>
      <c r="E33" s="6"/>
    </row>
    <row r="34" spans="3:5" x14ac:dyDescent="0.2">
      <c r="C34" s="6"/>
      <c r="D34" s="7"/>
      <c r="E34" s="6"/>
    </row>
    <row r="35" spans="3:5" x14ac:dyDescent="0.2">
      <c r="C35" s="6"/>
      <c r="D35" s="7"/>
      <c r="E35" s="6"/>
    </row>
    <row r="36" spans="3:5" x14ac:dyDescent="0.2">
      <c r="C36" s="6"/>
      <c r="D36" s="7"/>
      <c r="E36" s="6"/>
    </row>
    <row r="37" spans="3:5" x14ac:dyDescent="0.2">
      <c r="C37" s="81" t="str">
        <f>IF(D37="...","*","")</f>
        <v>*</v>
      </c>
      <c r="D37" s="13" t="str">
        <f>IF(Podesavanja!OdgovorniProjektant=0,"...",Podesavanja!OdgovorniProjektant)</f>
        <v>...</v>
      </c>
      <c r="E37" s="6"/>
    </row>
    <row r="38" spans="3:5" x14ac:dyDescent="0.2">
      <c r="C38" s="6"/>
      <c r="D38" s="14" t="s">
        <v>57</v>
      </c>
      <c r="E38" s="6"/>
    </row>
    <row r="39" spans="3:5" x14ac:dyDescent="0.2">
      <c r="C39" s="6"/>
      <c r="D39" s="7"/>
      <c r="E39" s="6"/>
    </row>
    <row r="40" spans="3:5" x14ac:dyDescent="0.2">
      <c r="C40" s="15"/>
      <c r="D40" s="15"/>
      <c r="E40" s="15"/>
    </row>
    <row r="87" ht="15.75" customHeight="1" x14ac:dyDescent="0.2"/>
    <row r="108" ht="15" customHeight="1" x14ac:dyDescent="0.2"/>
  </sheetData>
  <mergeCells count="1">
    <mergeCell ref="C1:E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2" manualBreakCount="2">
    <brk id="18" max="16383" man="1"/>
    <brk id="24" max="16383" man="1"/>
  </rowBreaks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12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3" width="2.21875" style="25" customWidth="1"/>
    <col min="4" max="4" width="69.77734375" style="25" customWidth="1"/>
    <col min="5" max="187" width="2.21875" style="25" customWidth="1"/>
    <col min="188" max="16384" width="8.88671875" style="25"/>
  </cols>
  <sheetData>
    <row r="1" spans="3:5" s="23" customFormat="1" x14ac:dyDescent="0.2">
      <c r="C1" s="102" t="s">
        <v>110</v>
      </c>
      <c r="D1" s="102"/>
      <c r="E1" s="102"/>
    </row>
    <row r="2" spans="3:5" s="24" customFormat="1" ht="15.75" customHeight="1" thickBot="1" x14ac:dyDescent="0.25">
      <c r="C2" s="103"/>
      <c r="D2" s="103"/>
      <c r="E2" s="103"/>
    </row>
    <row r="3" spans="3:5" ht="15.75" thickTop="1" x14ac:dyDescent="0.2"/>
    <row r="7" spans="3:5" x14ac:dyDescent="0.2">
      <c r="C7" s="4"/>
      <c r="D7" s="4"/>
      <c r="E7" s="4"/>
    </row>
    <row r="8" spans="3:5" x14ac:dyDescent="0.2">
      <c r="C8" s="6"/>
      <c r="D8" s="5"/>
      <c r="E8" s="6"/>
    </row>
    <row r="9" spans="3:5" x14ac:dyDescent="0.2">
      <c r="C9" s="6"/>
      <c r="D9" s="104" t="s">
        <v>58</v>
      </c>
      <c r="E9" s="6"/>
    </row>
    <row r="10" spans="3:5" x14ac:dyDescent="0.2">
      <c r="C10" s="6"/>
      <c r="D10" s="105"/>
      <c r="E10" s="6"/>
    </row>
    <row r="11" spans="3:5" x14ac:dyDescent="0.2">
      <c r="C11" s="6"/>
      <c r="D11" s="105"/>
      <c r="E11" s="6"/>
    </row>
    <row r="12" spans="3:5" x14ac:dyDescent="0.2">
      <c r="C12" s="6"/>
      <c r="D12" s="105"/>
      <c r="E12" s="6"/>
    </row>
    <row r="13" spans="3:5" x14ac:dyDescent="0.2">
      <c r="C13" s="6"/>
      <c r="D13" s="105"/>
      <c r="E13" s="6"/>
    </row>
    <row r="14" spans="3:5" x14ac:dyDescent="0.2">
      <c r="C14" s="6"/>
      <c r="D14" s="105"/>
      <c r="E14" s="6"/>
    </row>
    <row r="15" spans="3:5" x14ac:dyDescent="0.2">
      <c r="C15" s="6"/>
      <c r="D15" s="105"/>
      <c r="E15" s="6"/>
    </row>
    <row r="16" spans="3:5" ht="15" customHeight="1" x14ac:dyDescent="0.2">
      <c r="C16" s="6"/>
      <c r="D16" s="105"/>
      <c r="E16" s="6"/>
    </row>
    <row r="17" spans="3:5" x14ac:dyDescent="0.2">
      <c r="C17" s="6"/>
      <c r="D17" s="105"/>
      <c r="E17" s="6"/>
    </row>
    <row r="18" spans="3:5" x14ac:dyDescent="0.2">
      <c r="C18" s="6"/>
      <c r="D18" s="105"/>
      <c r="E18" s="6"/>
    </row>
    <row r="19" spans="3:5" x14ac:dyDescent="0.2">
      <c r="C19" s="6"/>
      <c r="D19" s="105"/>
      <c r="E19" s="6"/>
    </row>
    <row r="20" spans="3:5" x14ac:dyDescent="0.2">
      <c r="C20" s="6"/>
      <c r="D20" s="105"/>
      <c r="E20" s="6"/>
    </row>
    <row r="21" spans="3:5" x14ac:dyDescent="0.2">
      <c r="C21" s="6"/>
      <c r="D21" s="105"/>
      <c r="E21" s="6"/>
    </row>
    <row r="22" spans="3:5" x14ac:dyDescent="0.2">
      <c r="C22" s="6"/>
      <c r="D22" s="105"/>
      <c r="E22" s="6"/>
    </row>
    <row r="23" spans="3:5" x14ac:dyDescent="0.2">
      <c r="C23" s="6"/>
      <c r="D23" s="105"/>
      <c r="E23" s="6"/>
    </row>
    <row r="24" spans="3:5" x14ac:dyDescent="0.2">
      <c r="C24" s="6"/>
      <c r="D24" s="105"/>
      <c r="E24" s="6"/>
    </row>
    <row r="25" spans="3:5" x14ac:dyDescent="0.2">
      <c r="C25" s="6"/>
      <c r="D25" s="105"/>
      <c r="E25" s="6"/>
    </row>
    <row r="26" spans="3:5" x14ac:dyDescent="0.2">
      <c r="C26" s="6"/>
      <c r="D26" s="105"/>
      <c r="E26" s="6"/>
    </row>
    <row r="27" spans="3:5" x14ac:dyDescent="0.2">
      <c r="C27" s="6"/>
      <c r="D27" s="105"/>
      <c r="E27" s="6"/>
    </row>
    <row r="28" spans="3:5" x14ac:dyDescent="0.2">
      <c r="C28" s="6"/>
      <c r="D28" s="105"/>
      <c r="E28" s="6"/>
    </row>
    <row r="29" spans="3:5" x14ac:dyDescent="0.2">
      <c r="C29" s="6"/>
      <c r="D29" s="105"/>
      <c r="E29" s="6"/>
    </row>
    <row r="30" spans="3:5" x14ac:dyDescent="0.2">
      <c r="C30" s="6"/>
      <c r="D30" s="105"/>
      <c r="E30" s="6"/>
    </row>
    <row r="31" spans="3:5" x14ac:dyDescent="0.2">
      <c r="C31" s="6"/>
      <c r="D31" s="105"/>
      <c r="E31" s="6"/>
    </row>
    <row r="32" spans="3:5" x14ac:dyDescent="0.2">
      <c r="C32" s="6"/>
      <c r="D32" s="105"/>
      <c r="E32" s="6"/>
    </row>
    <row r="33" spans="3:5" x14ac:dyDescent="0.2">
      <c r="C33" s="6"/>
      <c r="D33" s="105"/>
      <c r="E33" s="6"/>
    </row>
    <row r="34" spans="3:5" x14ac:dyDescent="0.2">
      <c r="C34" s="6"/>
      <c r="D34" s="105"/>
      <c r="E34" s="6"/>
    </row>
    <row r="35" spans="3:5" x14ac:dyDescent="0.2">
      <c r="C35" s="6"/>
      <c r="D35" s="105"/>
      <c r="E35" s="6"/>
    </row>
    <row r="36" spans="3:5" x14ac:dyDescent="0.2">
      <c r="C36" s="6"/>
      <c r="D36" s="105"/>
      <c r="E36" s="6"/>
    </row>
    <row r="37" spans="3:5" x14ac:dyDescent="0.2">
      <c r="C37" s="6"/>
      <c r="D37" s="105"/>
      <c r="E37" s="6"/>
    </row>
    <row r="38" spans="3:5" x14ac:dyDescent="0.2">
      <c r="C38" s="6"/>
      <c r="D38" s="105"/>
      <c r="E38" s="6"/>
    </row>
    <row r="39" spans="3:5" x14ac:dyDescent="0.2">
      <c r="C39" s="6"/>
      <c r="D39" s="105"/>
      <c r="E39" s="6"/>
    </row>
    <row r="40" spans="3:5" x14ac:dyDescent="0.2">
      <c r="C40" s="6"/>
      <c r="D40" s="105"/>
      <c r="E40" s="6"/>
    </row>
    <row r="41" spans="3:5" x14ac:dyDescent="0.2">
      <c r="C41" s="6"/>
      <c r="D41" s="105"/>
      <c r="E41" s="6"/>
    </row>
    <row r="42" spans="3:5" x14ac:dyDescent="0.2">
      <c r="C42" s="6"/>
      <c r="D42" s="105"/>
      <c r="E42" s="6"/>
    </row>
    <row r="43" spans="3:5" x14ac:dyDescent="0.2">
      <c r="C43" s="6"/>
      <c r="D43" s="105"/>
      <c r="E43" s="6"/>
    </row>
    <row r="44" spans="3:5" x14ac:dyDescent="0.2">
      <c r="C44" s="6"/>
      <c r="D44" s="105"/>
      <c r="E44" s="6"/>
    </row>
    <row r="45" spans="3:5" x14ac:dyDescent="0.2">
      <c r="C45" s="6"/>
      <c r="D45" s="105"/>
      <c r="E45" s="6"/>
    </row>
    <row r="46" spans="3:5" x14ac:dyDescent="0.2">
      <c r="C46" s="6"/>
      <c r="D46" s="105"/>
      <c r="E46" s="6"/>
    </row>
    <row r="47" spans="3:5" x14ac:dyDescent="0.2">
      <c r="C47" s="6"/>
      <c r="D47" s="105"/>
      <c r="E47" s="6"/>
    </row>
    <row r="48" spans="3:5" x14ac:dyDescent="0.2">
      <c r="C48" s="6"/>
      <c r="D48" s="105"/>
      <c r="E48" s="6"/>
    </row>
    <row r="49" spans="3:5" x14ac:dyDescent="0.2">
      <c r="C49" s="6"/>
      <c r="D49" s="105"/>
      <c r="E49" s="6"/>
    </row>
    <row r="50" spans="3:5" x14ac:dyDescent="0.2">
      <c r="C50" s="6"/>
      <c r="D50" s="105"/>
      <c r="E50" s="6"/>
    </row>
    <row r="51" spans="3:5" x14ac:dyDescent="0.2">
      <c r="C51" s="6"/>
      <c r="D51" s="105"/>
      <c r="E51" s="6"/>
    </row>
    <row r="52" spans="3:5" x14ac:dyDescent="0.2">
      <c r="C52" s="6"/>
      <c r="D52" s="105"/>
      <c r="E52" s="6"/>
    </row>
    <row r="53" spans="3:5" x14ac:dyDescent="0.2">
      <c r="C53" s="6"/>
      <c r="D53" s="105"/>
      <c r="E53" s="6"/>
    </row>
    <row r="54" spans="3:5" x14ac:dyDescent="0.2">
      <c r="C54" s="15"/>
      <c r="D54" s="15"/>
      <c r="E54" s="15"/>
    </row>
    <row r="101" ht="15.75" customHeight="1" x14ac:dyDescent="0.2"/>
    <row r="122" ht="15" customHeight="1" x14ac:dyDescent="0.2"/>
  </sheetData>
  <mergeCells count="2">
    <mergeCell ref="D9:D53"/>
    <mergeCell ref="C1:E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1:I117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.21875" style="48" customWidth="1"/>
    <col min="4" max="4" width="8" style="48" customWidth="1"/>
    <col min="5" max="5" width="28.6640625" style="48" customWidth="1"/>
    <col min="6" max="7" width="9.44140625" style="48" customWidth="1"/>
    <col min="8" max="8" width="13.5546875" style="48" customWidth="1"/>
    <col min="9" max="9" width="2.21875" style="48" customWidth="1"/>
    <col min="10" max="184" width="2.21875" style="25" customWidth="1"/>
    <col min="185" max="16384" width="8.88671875" style="25"/>
  </cols>
  <sheetData>
    <row r="1" spans="3:9" s="23" customFormat="1" x14ac:dyDescent="0.2">
      <c r="C1" s="99" t="s">
        <v>110</v>
      </c>
      <c r="D1" s="99"/>
      <c r="E1" s="99"/>
      <c r="F1" s="99"/>
      <c r="G1" s="99"/>
      <c r="H1" s="99"/>
      <c r="I1" s="99"/>
    </row>
    <row r="2" spans="3:9" s="24" customFormat="1" ht="15.75" customHeight="1" thickBot="1" x14ac:dyDescent="0.25">
      <c r="C2" s="100"/>
      <c r="D2" s="100"/>
      <c r="E2" s="100"/>
      <c r="F2" s="100"/>
      <c r="G2" s="100"/>
      <c r="H2" s="100"/>
      <c r="I2" s="100"/>
    </row>
    <row r="3" spans="3:9" ht="15.75" thickTop="1" x14ac:dyDescent="0.2"/>
    <row r="7" spans="3:9" x14ac:dyDescent="0.2">
      <c r="C7" s="49"/>
      <c r="D7" s="49"/>
      <c r="E7" s="49"/>
      <c r="F7" s="49"/>
      <c r="G7" s="49"/>
      <c r="H7" s="49"/>
      <c r="I7" s="50"/>
    </row>
    <row r="8" spans="3:9" x14ac:dyDescent="0.2">
      <c r="C8" s="51"/>
      <c r="D8" s="52"/>
      <c r="E8" s="52"/>
      <c r="F8" s="52"/>
      <c r="G8" s="52"/>
      <c r="H8" s="52"/>
      <c r="I8" s="29"/>
    </row>
    <row r="9" spans="3:9" ht="15" hidden="1" customHeight="1" x14ac:dyDescent="0.2">
      <c r="C9" s="51"/>
      <c r="D9" s="27"/>
      <c r="E9" s="27"/>
      <c r="F9" s="27"/>
      <c r="G9" s="27"/>
      <c r="H9" s="27"/>
      <c r="I9" s="29"/>
    </row>
    <row r="10" spans="3:9" ht="15" hidden="1" customHeight="1" x14ac:dyDescent="0.2">
      <c r="C10" s="51"/>
      <c r="E10" s="27"/>
      <c r="F10" s="27"/>
      <c r="G10" s="27"/>
      <c r="H10" s="27"/>
      <c r="I10" s="29"/>
    </row>
    <row r="11" spans="3:9" ht="15" hidden="1" customHeight="1" x14ac:dyDescent="0.25">
      <c r="C11" s="51"/>
      <c r="D11" s="101" t="s">
        <v>74</v>
      </c>
      <c r="E11" s="101"/>
      <c r="F11" s="101"/>
      <c r="G11" s="101"/>
      <c r="H11" s="101"/>
      <c r="I11" s="29"/>
    </row>
    <row r="12" spans="3:9" ht="15" hidden="1" customHeight="1" x14ac:dyDescent="0.2">
      <c r="C12" s="51"/>
      <c r="D12" s="27"/>
      <c r="E12" s="27"/>
      <c r="F12" s="27"/>
      <c r="G12" s="27"/>
      <c r="H12" s="27"/>
      <c r="I12" s="29"/>
    </row>
    <row r="13" spans="3:9" ht="15" customHeight="1" x14ac:dyDescent="0.2">
      <c r="C13" s="51"/>
      <c r="D13" s="27"/>
      <c r="E13" s="27"/>
      <c r="F13" s="27"/>
      <c r="G13" s="27"/>
      <c r="H13" s="27"/>
      <c r="I13" s="29"/>
    </row>
    <row r="14" spans="3:9" ht="15" customHeight="1" x14ac:dyDescent="0.2">
      <c r="C14" s="51"/>
      <c r="D14" s="27"/>
      <c r="E14" s="27"/>
      <c r="F14" s="27"/>
      <c r="G14" s="27"/>
      <c r="H14" s="27"/>
      <c r="I14" s="29"/>
    </row>
    <row r="15" spans="3:9" ht="15" customHeight="1" x14ac:dyDescent="0.25">
      <c r="C15" s="51"/>
      <c r="D15" s="106" t="s">
        <v>75</v>
      </c>
      <c r="E15" s="106"/>
      <c r="F15" s="106"/>
      <c r="G15" s="106"/>
      <c r="H15" s="106"/>
      <c r="I15" s="29"/>
    </row>
    <row r="16" spans="3:9" ht="15" customHeight="1" x14ac:dyDescent="0.2">
      <c r="C16" s="51"/>
      <c r="D16" s="27"/>
      <c r="E16" s="27"/>
      <c r="F16" s="27"/>
      <c r="G16" s="27"/>
      <c r="H16" s="27"/>
      <c r="I16" s="29"/>
    </row>
    <row r="17" spans="3:9" ht="22.5" customHeight="1" x14ac:dyDescent="0.2">
      <c r="C17" s="53" t="s">
        <v>76</v>
      </c>
      <c r="D17" s="54" t="s">
        <v>183</v>
      </c>
      <c r="E17" s="55" t="s">
        <v>77</v>
      </c>
      <c r="F17" s="55" t="s">
        <v>78</v>
      </c>
      <c r="G17" s="54" t="s">
        <v>79</v>
      </c>
      <c r="H17" s="56" t="s">
        <v>80</v>
      </c>
      <c r="I17" s="57" t="s">
        <v>81</v>
      </c>
    </row>
    <row r="18" spans="3:9" ht="15" customHeight="1" x14ac:dyDescent="0.2">
      <c r="C18" s="82"/>
      <c r="D18" s="96"/>
      <c r="E18" s="94"/>
      <c r="F18" s="94"/>
      <c r="G18" s="94"/>
      <c r="H18" s="95"/>
      <c r="I18" s="83"/>
    </row>
    <row r="19" spans="3:9" ht="15" customHeight="1" x14ac:dyDescent="0.2">
      <c r="C19" s="51"/>
      <c r="D19" s="27"/>
      <c r="E19" s="27"/>
      <c r="F19" s="27"/>
      <c r="G19" s="27"/>
      <c r="H19" s="27"/>
      <c r="I19" s="58" t="s">
        <v>82</v>
      </c>
    </row>
    <row r="20" spans="3:9" ht="15" customHeight="1" x14ac:dyDescent="0.25">
      <c r="C20" s="59"/>
      <c r="D20" s="27"/>
      <c r="E20" s="27"/>
      <c r="F20" s="27"/>
      <c r="G20" s="60" t="s">
        <v>83</v>
      </c>
      <c r="H20" s="61">
        <f>SUM(tblPo[Neto površina])</f>
        <v>0</v>
      </c>
      <c r="I20" s="29"/>
    </row>
    <row r="21" spans="3:9" ht="15" customHeight="1" x14ac:dyDescent="0.2">
      <c r="C21" s="51"/>
      <c r="D21" s="27"/>
      <c r="E21" s="27"/>
      <c r="F21" s="27"/>
      <c r="G21" s="27"/>
      <c r="H21" s="27"/>
      <c r="I21" s="29"/>
    </row>
    <row r="22" spans="3:9" ht="15" customHeight="1" x14ac:dyDescent="0.25">
      <c r="C22" s="51"/>
      <c r="D22" s="27"/>
      <c r="E22" s="27"/>
      <c r="F22" s="27"/>
      <c r="G22" s="60" t="s">
        <v>84</v>
      </c>
      <c r="H22" s="61">
        <f>SUM(tblPo[Neto površina])*0.97</f>
        <v>0</v>
      </c>
      <c r="I22" s="29"/>
    </row>
    <row r="23" spans="3:9" ht="15" customHeight="1" x14ac:dyDescent="0.2">
      <c r="C23" s="51"/>
      <c r="D23" s="27"/>
      <c r="E23" s="27"/>
      <c r="F23" s="27"/>
      <c r="G23" s="27"/>
      <c r="H23" s="27"/>
      <c r="I23" s="29"/>
    </row>
    <row r="24" spans="3:9" ht="15" customHeight="1" x14ac:dyDescent="0.25">
      <c r="C24" s="29"/>
      <c r="D24" s="27"/>
      <c r="E24" s="27"/>
      <c r="F24" s="27"/>
      <c r="G24" s="60" t="s">
        <v>85</v>
      </c>
      <c r="H24" s="61">
        <v>0</v>
      </c>
      <c r="I24" s="29"/>
    </row>
    <row r="25" spans="3:9" ht="15" customHeight="1" x14ac:dyDescent="0.2">
      <c r="C25" s="51"/>
      <c r="D25"/>
      <c r="E25"/>
      <c r="F25"/>
      <c r="G25"/>
      <c r="H25"/>
      <c r="I25" s="29"/>
    </row>
    <row r="26" spans="3:9" ht="15" customHeight="1" x14ac:dyDescent="0.2">
      <c r="C26" s="62"/>
      <c r="D26" s="62"/>
      <c r="E26" s="62"/>
      <c r="F26" s="62"/>
      <c r="G26" s="62"/>
      <c r="H26" s="62"/>
      <c r="I26" s="62"/>
    </row>
    <row r="27" spans="3:9" ht="15" customHeight="1" x14ac:dyDescent="0.2">
      <c r="I27" s="63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96" ht="15.75" customHeight="1" x14ac:dyDescent="0.2"/>
    <row r="117" ht="15" customHeight="1" x14ac:dyDescent="0.2"/>
  </sheetData>
  <mergeCells count="3">
    <mergeCell ref="D11:H11"/>
    <mergeCell ref="D15:H15"/>
    <mergeCell ref="C1:I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I12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.21875" style="48" customWidth="1"/>
    <col min="4" max="4" width="8" style="48" customWidth="1"/>
    <col min="5" max="5" width="28.6640625" style="48" customWidth="1"/>
    <col min="6" max="7" width="9.44140625" style="48" customWidth="1"/>
    <col min="8" max="8" width="13.5546875" style="48" customWidth="1"/>
    <col min="9" max="9" width="2.21875" style="48" customWidth="1"/>
    <col min="10" max="184" width="2.21875" style="25" customWidth="1"/>
    <col min="185" max="16384" width="8.88671875" style="25"/>
  </cols>
  <sheetData>
    <row r="1" spans="3:9" s="23" customFormat="1" x14ac:dyDescent="0.2">
      <c r="C1" s="99" t="s">
        <v>110</v>
      </c>
      <c r="D1" s="99"/>
      <c r="E1" s="99"/>
      <c r="F1" s="99"/>
      <c r="G1" s="99"/>
      <c r="H1" s="99"/>
      <c r="I1" s="99"/>
    </row>
    <row r="2" spans="3:9" s="24" customFormat="1" ht="15.75" customHeight="1" thickBot="1" x14ac:dyDescent="0.25">
      <c r="C2" s="100"/>
      <c r="D2" s="100"/>
      <c r="E2" s="100"/>
      <c r="F2" s="100"/>
      <c r="G2" s="100"/>
      <c r="H2" s="100"/>
      <c r="I2" s="100"/>
    </row>
    <row r="3" spans="3:9" ht="15.75" thickTop="1" x14ac:dyDescent="0.2"/>
    <row r="7" spans="3:9" x14ac:dyDescent="0.2">
      <c r="C7" s="49"/>
      <c r="D7" s="49"/>
      <c r="E7" s="49"/>
      <c r="F7" s="49"/>
      <c r="G7" s="49"/>
      <c r="H7" s="49"/>
      <c r="I7" s="50"/>
    </row>
    <row r="8" spans="3:9" x14ac:dyDescent="0.2">
      <c r="C8" s="51"/>
      <c r="D8" s="52"/>
      <c r="E8" s="52"/>
      <c r="F8" s="52"/>
      <c r="G8" s="52"/>
      <c r="H8" s="52"/>
      <c r="I8" s="29"/>
    </row>
    <row r="9" spans="3:9" ht="15" hidden="1" customHeight="1" x14ac:dyDescent="0.2">
      <c r="C9" s="51"/>
      <c r="D9" s="27"/>
      <c r="E9" s="27"/>
      <c r="F9" s="27"/>
      <c r="G9" s="27"/>
      <c r="H9" s="27"/>
      <c r="I9" s="29"/>
    </row>
    <row r="10" spans="3:9" ht="15" hidden="1" customHeight="1" x14ac:dyDescent="0.2">
      <c r="C10" s="51"/>
      <c r="E10" s="27"/>
      <c r="F10" s="27"/>
      <c r="G10" s="27"/>
      <c r="H10" s="27"/>
      <c r="I10" s="29"/>
    </row>
    <row r="11" spans="3:9" ht="15" hidden="1" customHeight="1" x14ac:dyDescent="0.25">
      <c r="C11" s="51"/>
      <c r="D11" s="101" t="s">
        <v>74</v>
      </c>
      <c r="E11" s="101"/>
      <c r="F11" s="101"/>
      <c r="G11" s="101"/>
      <c r="H11" s="101"/>
      <c r="I11" s="29"/>
    </row>
    <row r="12" spans="3:9" ht="15" hidden="1" customHeight="1" x14ac:dyDescent="0.2">
      <c r="C12" s="51"/>
      <c r="D12" s="27"/>
      <c r="E12" s="27"/>
      <c r="F12" s="27"/>
      <c r="G12" s="27"/>
      <c r="H12" s="27"/>
      <c r="I12" s="29"/>
    </row>
    <row r="13" spans="3:9" ht="15" customHeight="1" x14ac:dyDescent="0.2">
      <c r="C13" s="51"/>
      <c r="D13" s="27"/>
      <c r="E13" s="27"/>
      <c r="F13" s="27"/>
      <c r="G13" s="27"/>
      <c r="H13" s="27"/>
      <c r="I13" s="29"/>
    </row>
    <row r="14" spans="3:9" ht="15" customHeight="1" x14ac:dyDescent="0.2">
      <c r="C14" s="51"/>
      <c r="D14" s="27"/>
      <c r="E14" s="27"/>
      <c r="F14" s="27"/>
      <c r="G14" s="27"/>
      <c r="H14" s="27"/>
      <c r="I14" s="29"/>
    </row>
    <row r="15" spans="3:9" ht="15" customHeight="1" x14ac:dyDescent="0.25">
      <c r="C15" s="51"/>
      <c r="D15" s="106" t="s">
        <v>128</v>
      </c>
      <c r="E15" s="106"/>
      <c r="F15" s="106"/>
      <c r="G15" s="106"/>
      <c r="H15" s="106"/>
      <c r="I15" s="29"/>
    </row>
    <row r="16" spans="3:9" ht="15" customHeight="1" x14ac:dyDescent="0.2">
      <c r="C16" s="51"/>
      <c r="D16" s="27"/>
      <c r="E16" s="27"/>
      <c r="F16" s="27"/>
      <c r="G16" s="27"/>
      <c r="H16" s="27"/>
      <c r="I16" s="29"/>
    </row>
    <row r="17" spans="3:9" ht="22.5" customHeight="1" x14ac:dyDescent="0.2">
      <c r="C17" s="53" t="s">
        <v>76</v>
      </c>
      <c r="D17" s="54" t="s">
        <v>183</v>
      </c>
      <c r="E17" s="55" t="s">
        <v>77</v>
      </c>
      <c r="F17" s="55" t="s">
        <v>78</v>
      </c>
      <c r="G17" s="54" t="s">
        <v>79</v>
      </c>
      <c r="H17" s="56" t="s">
        <v>80</v>
      </c>
      <c r="I17" s="57" t="s">
        <v>81</v>
      </c>
    </row>
    <row r="18" spans="3:9" ht="15" customHeight="1" x14ac:dyDescent="0.2">
      <c r="C18" s="82"/>
      <c r="D18" s="84"/>
      <c r="E18" s="85"/>
      <c r="F18" s="85"/>
      <c r="G18" s="85"/>
      <c r="H18" s="86"/>
      <c r="I18" s="83"/>
    </row>
    <row r="19" spans="3:9" ht="15" customHeight="1" x14ac:dyDescent="0.2">
      <c r="C19" s="51"/>
      <c r="D19" s="27"/>
      <c r="E19" s="27"/>
      <c r="F19" s="27"/>
      <c r="G19" s="27"/>
      <c r="H19" s="27"/>
      <c r="I19" s="58" t="s">
        <v>82</v>
      </c>
    </row>
    <row r="20" spans="3:9" ht="15" customHeight="1" x14ac:dyDescent="0.25">
      <c r="C20" s="59"/>
      <c r="D20" s="27"/>
      <c r="E20" s="27"/>
      <c r="F20" s="27"/>
      <c r="G20" s="60" t="s">
        <v>129</v>
      </c>
      <c r="H20" s="61">
        <f>SUM(tblSu[Neto površina])</f>
        <v>0</v>
      </c>
      <c r="I20" s="29"/>
    </row>
    <row r="21" spans="3:9" ht="15" customHeight="1" x14ac:dyDescent="0.2">
      <c r="C21" s="51"/>
      <c r="D21" s="27"/>
      <c r="E21" s="27"/>
      <c r="F21" s="27"/>
      <c r="G21" s="27"/>
      <c r="H21" s="27"/>
      <c r="I21" s="29"/>
    </row>
    <row r="22" spans="3:9" ht="15" customHeight="1" x14ac:dyDescent="0.25">
      <c r="C22" s="51"/>
      <c r="D22" s="27"/>
      <c r="E22" s="27"/>
      <c r="F22" s="27"/>
      <c r="G22" s="60" t="s">
        <v>130</v>
      </c>
      <c r="H22" s="61">
        <f>SUM(tblSu[Neto površina])*0.97</f>
        <v>0</v>
      </c>
      <c r="I22" s="29"/>
    </row>
    <row r="23" spans="3:9" ht="15" customHeight="1" x14ac:dyDescent="0.2">
      <c r="C23" s="51"/>
      <c r="D23" s="27"/>
      <c r="E23" s="27"/>
      <c r="F23" s="27"/>
      <c r="G23" s="27"/>
      <c r="H23" s="27"/>
      <c r="I23" s="29"/>
    </row>
    <row r="24" spans="3:9" ht="15" customHeight="1" x14ac:dyDescent="0.25">
      <c r="C24" s="29"/>
      <c r="D24" s="27"/>
      <c r="E24" s="27"/>
      <c r="F24" s="27"/>
      <c r="G24" s="60" t="s">
        <v>131</v>
      </c>
      <c r="H24" s="61">
        <v>0</v>
      </c>
      <c r="I24" s="29"/>
    </row>
    <row r="25" spans="3:9" ht="15" customHeight="1" x14ac:dyDescent="0.2">
      <c r="C25" s="51"/>
      <c r="D25"/>
      <c r="E25"/>
      <c r="F25"/>
      <c r="G25"/>
      <c r="H25"/>
      <c r="I25" s="29"/>
    </row>
    <row r="26" spans="3:9" ht="15" customHeight="1" x14ac:dyDescent="0.2">
      <c r="C26" s="62"/>
      <c r="D26" s="62"/>
      <c r="E26" s="62"/>
      <c r="F26" s="62"/>
      <c r="G26" s="62"/>
      <c r="H26" s="62"/>
      <c r="I26" s="62"/>
    </row>
    <row r="27" spans="3:9" ht="15" customHeight="1" x14ac:dyDescent="0.2">
      <c r="I27" s="63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2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1:I121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.21875" style="48" customWidth="1"/>
    <col min="4" max="4" width="8" style="48" customWidth="1"/>
    <col min="5" max="5" width="28.6640625" style="48" customWidth="1"/>
    <col min="6" max="7" width="9.44140625" style="48" customWidth="1"/>
    <col min="8" max="8" width="13.5546875" style="48" customWidth="1"/>
    <col min="9" max="9" width="2.21875" style="48" customWidth="1"/>
    <col min="10" max="184" width="2.21875" style="25" customWidth="1"/>
    <col min="185" max="16384" width="8.88671875" style="25"/>
  </cols>
  <sheetData>
    <row r="1" spans="3:9" s="23" customFormat="1" x14ac:dyDescent="0.2">
      <c r="C1" s="99" t="s">
        <v>110</v>
      </c>
      <c r="D1" s="99"/>
      <c r="E1" s="99"/>
      <c r="F1" s="99"/>
      <c r="G1" s="99"/>
      <c r="H1" s="99"/>
      <c r="I1" s="99"/>
    </row>
    <row r="2" spans="3:9" s="24" customFormat="1" ht="15.75" customHeight="1" thickBot="1" x14ac:dyDescent="0.25">
      <c r="C2" s="100"/>
      <c r="D2" s="100"/>
      <c r="E2" s="100"/>
      <c r="F2" s="100"/>
      <c r="G2" s="100"/>
      <c r="H2" s="100"/>
      <c r="I2" s="100"/>
    </row>
    <row r="3" spans="3:9" ht="15.75" thickTop="1" x14ac:dyDescent="0.2"/>
    <row r="7" spans="3:9" x14ac:dyDescent="0.2">
      <c r="C7" s="49"/>
      <c r="D7" s="49"/>
      <c r="E7" s="49"/>
      <c r="F7" s="49"/>
      <c r="G7" s="49"/>
      <c r="H7" s="49"/>
      <c r="I7" s="50"/>
    </row>
    <row r="8" spans="3:9" x14ac:dyDescent="0.2">
      <c r="C8" s="51"/>
      <c r="D8" s="52"/>
      <c r="E8" s="52"/>
      <c r="F8" s="52"/>
      <c r="G8" s="52"/>
      <c r="H8" s="52"/>
      <c r="I8" s="29"/>
    </row>
    <row r="9" spans="3:9" ht="15" hidden="1" customHeight="1" x14ac:dyDescent="0.2">
      <c r="C9" s="51"/>
      <c r="D9" s="27"/>
      <c r="E9" s="27"/>
      <c r="F9" s="27"/>
      <c r="G9" s="27"/>
      <c r="H9" s="27"/>
      <c r="I9" s="29"/>
    </row>
    <row r="10" spans="3:9" ht="15" hidden="1" customHeight="1" x14ac:dyDescent="0.2">
      <c r="C10" s="51"/>
      <c r="E10" s="27"/>
      <c r="F10" s="27"/>
      <c r="G10" s="27"/>
      <c r="H10" s="27"/>
      <c r="I10" s="29"/>
    </row>
    <row r="11" spans="3:9" ht="15" hidden="1" customHeight="1" x14ac:dyDescent="0.25">
      <c r="C11" s="51"/>
      <c r="D11" s="101" t="s">
        <v>74</v>
      </c>
      <c r="E11" s="101"/>
      <c r="F11" s="101"/>
      <c r="G11" s="101"/>
      <c r="H11" s="101"/>
      <c r="I11" s="29"/>
    </row>
    <row r="12" spans="3:9" ht="15" hidden="1" customHeight="1" x14ac:dyDescent="0.2">
      <c r="C12" s="51"/>
      <c r="D12" s="27"/>
      <c r="E12" s="27"/>
      <c r="F12" s="27"/>
      <c r="G12" s="27"/>
      <c r="H12" s="27"/>
      <c r="I12" s="29"/>
    </row>
    <row r="13" spans="3:9" ht="15" customHeight="1" x14ac:dyDescent="0.2">
      <c r="C13" s="51"/>
      <c r="D13" s="27"/>
      <c r="E13" s="27"/>
      <c r="F13" s="27"/>
      <c r="G13" s="27"/>
      <c r="H13" s="27"/>
      <c r="I13" s="29"/>
    </row>
    <row r="14" spans="3:9" ht="15" customHeight="1" x14ac:dyDescent="0.2">
      <c r="C14" s="51"/>
      <c r="D14" s="27"/>
      <c r="E14" s="27"/>
      <c r="F14" s="27"/>
      <c r="G14" s="27"/>
      <c r="H14" s="27"/>
      <c r="I14" s="29"/>
    </row>
    <row r="15" spans="3:9" ht="15" customHeight="1" x14ac:dyDescent="0.25">
      <c r="C15" s="51"/>
      <c r="D15" s="106" t="s">
        <v>132</v>
      </c>
      <c r="E15" s="106"/>
      <c r="F15" s="106"/>
      <c r="G15" s="106"/>
      <c r="H15" s="106"/>
      <c r="I15" s="29"/>
    </row>
    <row r="16" spans="3:9" ht="15" customHeight="1" x14ac:dyDescent="0.2">
      <c r="C16" s="51"/>
      <c r="D16" s="27"/>
      <c r="E16" s="27"/>
      <c r="F16" s="27"/>
      <c r="G16" s="27"/>
      <c r="H16" s="27"/>
      <c r="I16" s="29"/>
    </row>
    <row r="17" spans="3:9" ht="22.5" customHeight="1" x14ac:dyDescent="0.2">
      <c r="C17" s="53" t="s">
        <v>76</v>
      </c>
      <c r="D17" s="54" t="s">
        <v>183</v>
      </c>
      <c r="E17" s="55" t="s">
        <v>77</v>
      </c>
      <c r="F17" s="55" t="s">
        <v>78</v>
      </c>
      <c r="G17" s="54" t="s">
        <v>79</v>
      </c>
      <c r="H17" s="56" t="s">
        <v>80</v>
      </c>
      <c r="I17" s="57" t="s">
        <v>81</v>
      </c>
    </row>
    <row r="18" spans="3:9" ht="15" customHeight="1" x14ac:dyDescent="0.2">
      <c r="C18" s="82"/>
      <c r="D18" s="96"/>
      <c r="E18" s="94"/>
      <c r="F18" s="94"/>
      <c r="G18" s="94"/>
      <c r="H18" s="95"/>
      <c r="I18" s="83"/>
    </row>
    <row r="19" spans="3:9" ht="15" customHeight="1" x14ac:dyDescent="0.2">
      <c r="C19" s="51"/>
      <c r="D19" s="27"/>
      <c r="E19" s="27"/>
      <c r="F19" s="27"/>
      <c r="G19" s="27"/>
      <c r="H19" s="27"/>
      <c r="I19" s="58" t="s">
        <v>82</v>
      </c>
    </row>
    <row r="20" spans="3:9" ht="15" customHeight="1" x14ac:dyDescent="0.25">
      <c r="C20" s="59"/>
      <c r="D20" s="27"/>
      <c r="E20" s="27"/>
      <c r="F20" s="27"/>
      <c r="G20" s="60" t="s">
        <v>133</v>
      </c>
      <c r="H20" s="61">
        <f>SUM(tblPr[Neto površina])</f>
        <v>0</v>
      </c>
      <c r="I20" s="29"/>
    </row>
    <row r="21" spans="3:9" ht="15" customHeight="1" x14ac:dyDescent="0.2">
      <c r="C21" s="51"/>
      <c r="D21" s="27"/>
      <c r="E21" s="27"/>
      <c r="F21" s="27"/>
      <c r="G21" s="27"/>
      <c r="H21" s="27"/>
      <c r="I21" s="29"/>
    </row>
    <row r="22" spans="3:9" ht="15" customHeight="1" x14ac:dyDescent="0.25">
      <c r="C22" s="51"/>
      <c r="D22" s="27"/>
      <c r="E22" s="27"/>
      <c r="F22" s="27"/>
      <c r="G22" s="60" t="s">
        <v>134</v>
      </c>
      <c r="H22" s="61">
        <f>SUM(tblPr[Neto površina])*0.97</f>
        <v>0</v>
      </c>
      <c r="I22" s="29"/>
    </row>
    <row r="23" spans="3:9" ht="15" customHeight="1" x14ac:dyDescent="0.2">
      <c r="C23" s="51"/>
      <c r="D23" s="27"/>
      <c r="E23" s="27"/>
      <c r="F23" s="27"/>
      <c r="G23" s="27"/>
      <c r="H23" s="27"/>
      <c r="I23" s="29"/>
    </row>
    <row r="24" spans="3:9" ht="15" customHeight="1" x14ac:dyDescent="0.25">
      <c r="C24" s="29"/>
      <c r="D24" s="27"/>
      <c r="E24" s="27"/>
      <c r="F24" s="27"/>
      <c r="G24" s="60" t="s">
        <v>135</v>
      </c>
      <c r="H24" s="61">
        <v>0</v>
      </c>
      <c r="I24" s="29"/>
    </row>
    <row r="25" spans="3:9" ht="15" customHeight="1" x14ac:dyDescent="0.2">
      <c r="C25" s="51"/>
      <c r="D25"/>
      <c r="E25"/>
      <c r="F25"/>
      <c r="G25"/>
      <c r="H25"/>
      <c r="I25" s="29"/>
    </row>
    <row r="26" spans="3:9" ht="15" customHeight="1" x14ac:dyDescent="0.2">
      <c r="C26" s="62"/>
      <c r="D26" s="62"/>
      <c r="E26" s="62"/>
      <c r="F26" s="62"/>
      <c r="G26" s="62"/>
      <c r="H26" s="62"/>
      <c r="I26" s="62"/>
    </row>
    <row r="27" spans="3:9" ht="15" customHeight="1" x14ac:dyDescent="0.2">
      <c r="I27" s="63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2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1:I12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.21875" style="48" customWidth="1"/>
    <col min="4" max="4" width="8" style="48" customWidth="1"/>
    <col min="5" max="5" width="28.6640625" style="48" customWidth="1"/>
    <col min="6" max="7" width="9.44140625" style="48" customWidth="1"/>
    <col min="8" max="8" width="13.5546875" style="48" customWidth="1"/>
    <col min="9" max="9" width="2.21875" style="48" customWidth="1"/>
    <col min="10" max="184" width="2.21875" style="25" customWidth="1"/>
    <col min="185" max="16384" width="8.88671875" style="25"/>
  </cols>
  <sheetData>
    <row r="1" spans="3:9" s="23" customFormat="1" x14ac:dyDescent="0.2">
      <c r="C1" s="99" t="s">
        <v>110</v>
      </c>
      <c r="D1" s="99"/>
      <c r="E1" s="99"/>
      <c r="F1" s="99"/>
      <c r="G1" s="99"/>
      <c r="H1" s="99"/>
      <c r="I1" s="99"/>
    </row>
    <row r="2" spans="3:9" s="24" customFormat="1" ht="15.75" customHeight="1" thickBot="1" x14ac:dyDescent="0.25">
      <c r="C2" s="100"/>
      <c r="D2" s="100"/>
      <c r="E2" s="100"/>
      <c r="F2" s="100"/>
      <c r="G2" s="100"/>
      <c r="H2" s="100"/>
      <c r="I2" s="100"/>
    </row>
    <row r="3" spans="3:9" ht="15.75" thickTop="1" x14ac:dyDescent="0.2"/>
    <row r="7" spans="3:9" x14ac:dyDescent="0.2">
      <c r="C7" s="49"/>
      <c r="D7" s="49"/>
      <c r="E7" s="49"/>
      <c r="F7" s="49"/>
      <c r="G7" s="49"/>
      <c r="H7" s="49"/>
      <c r="I7" s="50"/>
    </row>
    <row r="8" spans="3:9" x14ac:dyDescent="0.2">
      <c r="C8" s="51"/>
      <c r="D8" s="52"/>
      <c r="E8" s="52"/>
      <c r="F8" s="52"/>
      <c r="G8" s="52"/>
      <c r="H8" s="52"/>
      <c r="I8" s="29"/>
    </row>
    <row r="9" spans="3:9" ht="15" hidden="1" customHeight="1" x14ac:dyDescent="0.2">
      <c r="C9" s="51"/>
      <c r="D9" s="27"/>
      <c r="E9" s="27"/>
      <c r="F9" s="27"/>
      <c r="G9" s="27"/>
      <c r="H9" s="27"/>
      <c r="I9" s="29"/>
    </row>
    <row r="10" spans="3:9" ht="15" hidden="1" customHeight="1" x14ac:dyDescent="0.2">
      <c r="C10" s="51"/>
      <c r="E10" s="27"/>
      <c r="F10" s="27"/>
      <c r="G10" s="27"/>
      <c r="H10" s="27"/>
      <c r="I10" s="29"/>
    </row>
    <row r="11" spans="3:9" ht="15" hidden="1" customHeight="1" x14ac:dyDescent="0.25">
      <c r="C11" s="51"/>
      <c r="D11" s="101" t="s">
        <v>74</v>
      </c>
      <c r="E11" s="101"/>
      <c r="F11" s="101"/>
      <c r="G11" s="101"/>
      <c r="H11" s="101"/>
      <c r="I11" s="29"/>
    </row>
    <row r="12" spans="3:9" ht="15" hidden="1" customHeight="1" x14ac:dyDescent="0.2">
      <c r="C12" s="51"/>
      <c r="D12" s="27"/>
      <c r="E12" s="27"/>
      <c r="F12" s="27"/>
      <c r="G12" s="27"/>
      <c r="H12" s="27"/>
      <c r="I12" s="29"/>
    </row>
    <row r="13" spans="3:9" ht="15" customHeight="1" x14ac:dyDescent="0.2">
      <c r="C13" s="51"/>
      <c r="D13" s="27"/>
      <c r="E13" s="27"/>
      <c r="F13" s="27"/>
      <c r="G13" s="27"/>
      <c r="H13" s="27"/>
      <c r="I13" s="29"/>
    </row>
    <row r="14" spans="3:9" ht="15" customHeight="1" x14ac:dyDescent="0.2">
      <c r="C14" s="51"/>
      <c r="D14" s="27"/>
      <c r="E14" s="27"/>
      <c r="F14" s="27"/>
      <c r="G14" s="27"/>
      <c r="H14" s="27"/>
      <c r="I14" s="29"/>
    </row>
    <row r="15" spans="3:9" ht="15" customHeight="1" x14ac:dyDescent="0.25">
      <c r="C15" s="51"/>
      <c r="D15" s="106" t="s">
        <v>136</v>
      </c>
      <c r="E15" s="106"/>
      <c r="F15" s="106"/>
      <c r="G15" s="106"/>
      <c r="H15" s="106"/>
      <c r="I15" s="29"/>
    </row>
    <row r="16" spans="3:9" ht="15" customHeight="1" x14ac:dyDescent="0.2">
      <c r="C16" s="51"/>
      <c r="D16" s="27"/>
      <c r="E16" s="27"/>
      <c r="F16" s="27"/>
      <c r="G16" s="27"/>
      <c r="H16" s="27"/>
      <c r="I16" s="29"/>
    </row>
    <row r="17" spans="3:9" ht="22.5" customHeight="1" x14ac:dyDescent="0.2">
      <c r="C17" s="53" t="s">
        <v>76</v>
      </c>
      <c r="D17" s="54" t="s">
        <v>183</v>
      </c>
      <c r="E17" s="55" t="s">
        <v>77</v>
      </c>
      <c r="F17" s="55" t="s">
        <v>78</v>
      </c>
      <c r="G17" s="54" t="s">
        <v>79</v>
      </c>
      <c r="H17" s="56" t="s">
        <v>80</v>
      </c>
      <c r="I17" s="57" t="s">
        <v>81</v>
      </c>
    </row>
    <row r="18" spans="3:9" ht="15" customHeight="1" x14ac:dyDescent="0.2">
      <c r="C18" s="82"/>
      <c r="D18" s="84"/>
      <c r="E18" s="85"/>
      <c r="F18" s="85"/>
      <c r="G18" s="85"/>
      <c r="H18" s="86"/>
      <c r="I18" s="83"/>
    </row>
    <row r="19" spans="3:9" ht="15" customHeight="1" x14ac:dyDescent="0.2">
      <c r="C19" s="51"/>
      <c r="D19" s="27"/>
      <c r="E19" s="27"/>
      <c r="F19" s="27"/>
      <c r="G19" s="27"/>
      <c r="H19" s="27"/>
      <c r="I19" s="58" t="s">
        <v>82</v>
      </c>
    </row>
    <row r="20" spans="3:9" ht="15" customHeight="1" x14ac:dyDescent="0.25">
      <c r="C20" s="59"/>
      <c r="D20" s="27"/>
      <c r="E20" s="27"/>
      <c r="F20" s="27"/>
      <c r="G20" s="60" t="s">
        <v>137</v>
      </c>
      <c r="H20" s="61">
        <f>SUM(tblS1[Neto površina])</f>
        <v>0</v>
      </c>
      <c r="I20" s="29"/>
    </row>
    <row r="21" spans="3:9" ht="15" customHeight="1" x14ac:dyDescent="0.2">
      <c r="C21" s="51"/>
      <c r="D21" s="27"/>
      <c r="E21" s="27"/>
      <c r="F21" s="27"/>
      <c r="G21" s="27"/>
      <c r="H21" s="27"/>
      <c r="I21" s="29"/>
    </row>
    <row r="22" spans="3:9" ht="15" customHeight="1" x14ac:dyDescent="0.25">
      <c r="C22" s="51"/>
      <c r="D22" s="27"/>
      <c r="E22" s="27"/>
      <c r="F22" s="27"/>
      <c r="G22" s="60" t="s">
        <v>138</v>
      </c>
      <c r="H22" s="61">
        <f>SUM(tblS1[Neto površina])*0.97</f>
        <v>0</v>
      </c>
      <c r="I22" s="29"/>
    </row>
    <row r="23" spans="3:9" ht="15" customHeight="1" x14ac:dyDescent="0.2">
      <c r="C23" s="51"/>
      <c r="D23" s="27"/>
      <c r="E23" s="27"/>
      <c r="F23" s="27"/>
      <c r="G23" s="27"/>
      <c r="H23" s="27"/>
      <c r="I23" s="29"/>
    </row>
    <row r="24" spans="3:9" ht="15" customHeight="1" x14ac:dyDescent="0.25">
      <c r="C24" s="29"/>
      <c r="D24" s="27"/>
      <c r="E24" s="27"/>
      <c r="F24" s="27"/>
      <c r="G24" s="60" t="s">
        <v>139</v>
      </c>
      <c r="H24" s="61">
        <v>0</v>
      </c>
      <c r="I24" s="29"/>
    </row>
    <row r="25" spans="3:9" ht="15" customHeight="1" x14ac:dyDescent="0.2">
      <c r="C25" s="51"/>
      <c r="D25"/>
      <c r="E25"/>
      <c r="F25"/>
      <c r="G25"/>
      <c r="H25"/>
      <c r="I25" s="29"/>
    </row>
    <row r="26" spans="3:9" ht="15" customHeight="1" x14ac:dyDescent="0.2">
      <c r="C26" s="62"/>
      <c r="D26" s="62"/>
      <c r="E26" s="62"/>
      <c r="F26" s="62"/>
      <c r="G26" s="62"/>
      <c r="H26" s="62"/>
      <c r="I26" s="62"/>
    </row>
    <row r="27" spans="3:9" ht="15" customHeight="1" x14ac:dyDescent="0.2">
      <c r="I27" s="63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2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I12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.21875" style="48" customWidth="1"/>
    <col min="4" max="4" width="8" style="48" customWidth="1"/>
    <col min="5" max="5" width="28.6640625" style="48" customWidth="1"/>
    <col min="6" max="7" width="9.44140625" style="48" customWidth="1"/>
    <col min="8" max="8" width="13.5546875" style="48" customWidth="1"/>
    <col min="9" max="9" width="2.21875" style="48" customWidth="1"/>
    <col min="10" max="184" width="2.21875" style="25" customWidth="1"/>
    <col min="185" max="16384" width="8.88671875" style="25"/>
  </cols>
  <sheetData>
    <row r="1" spans="3:9" s="23" customFormat="1" x14ac:dyDescent="0.2">
      <c r="C1" s="99" t="s">
        <v>110</v>
      </c>
      <c r="D1" s="99"/>
      <c r="E1" s="99"/>
      <c r="F1" s="99"/>
      <c r="G1" s="99"/>
      <c r="H1" s="99"/>
      <c r="I1" s="99"/>
    </row>
    <row r="2" spans="3:9" s="24" customFormat="1" ht="15.75" customHeight="1" thickBot="1" x14ac:dyDescent="0.25">
      <c r="C2" s="100"/>
      <c r="D2" s="100"/>
      <c r="E2" s="100"/>
      <c r="F2" s="100"/>
      <c r="G2" s="100"/>
      <c r="H2" s="100"/>
      <c r="I2" s="100"/>
    </row>
    <row r="3" spans="3:9" ht="15.75" thickTop="1" x14ac:dyDescent="0.2"/>
    <row r="7" spans="3:9" x14ac:dyDescent="0.2">
      <c r="C7" s="49"/>
      <c r="D7" s="49"/>
      <c r="E7" s="49"/>
      <c r="F7" s="49"/>
      <c r="G7" s="49"/>
      <c r="H7" s="49"/>
      <c r="I7" s="50"/>
    </row>
    <row r="8" spans="3:9" x14ac:dyDescent="0.2">
      <c r="C8" s="51"/>
      <c r="D8" s="52"/>
      <c r="E8" s="52"/>
      <c r="F8" s="52"/>
      <c r="G8" s="52"/>
      <c r="H8" s="52"/>
      <c r="I8" s="29"/>
    </row>
    <row r="9" spans="3:9" ht="15" hidden="1" customHeight="1" x14ac:dyDescent="0.2">
      <c r="C9" s="51"/>
      <c r="D9" s="27"/>
      <c r="E9" s="27"/>
      <c r="F9" s="27"/>
      <c r="G9" s="27"/>
      <c r="H9" s="27"/>
      <c r="I9" s="29"/>
    </row>
    <row r="10" spans="3:9" ht="15" hidden="1" customHeight="1" x14ac:dyDescent="0.2">
      <c r="C10" s="51"/>
      <c r="E10" s="27"/>
      <c r="F10" s="27"/>
      <c r="G10" s="27"/>
      <c r="H10" s="27"/>
      <c r="I10" s="29"/>
    </row>
    <row r="11" spans="3:9" ht="15" hidden="1" customHeight="1" x14ac:dyDescent="0.25">
      <c r="C11" s="51"/>
      <c r="D11" s="101" t="s">
        <v>74</v>
      </c>
      <c r="E11" s="101"/>
      <c r="F11" s="101"/>
      <c r="G11" s="101"/>
      <c r="H11" s="101"/>
      <c r="I11" s="29"/>
    </row>
    <row r="12" spans="3:9" ht="15" hidden="1" customHeight="1" x14ac:dyDescent="0.2">
      <c r="C12" s="51"/>
      <c r="D12" s="27"/>
      <c r="E12" s="27"/>
      <c r="F12" s="27"/>
      <c r="G12" s="27"/>
      <c r="H12" s="27"/>
      <c r="I12" s="29"/>
    </row>
    <row r="13" spans="3:9" ht="15" customHeight="1" x14ac:dyDescent="0.2">
      <c r="C13" s="51"/>
      <c r="D13" s="27"/>
      <c r="E13" s="27"/>
      <c r="F13" s="27"/>
      <c r="G13" s="27"/>
      <c r="H13" s="27"/>
      <c r="I13" s="29"/>
    </row>
    <row r="14" spans="3:9" ht="15" customHeight="1" x14ac:dyDescent="0.2">
      <c r="C14" s="51"/>
      <c r="D14" s="27"/>
      <c r="E14" s="27"/>
      <c r="F14" s="27"/>
      <c r="G14" s="27"/>
      <c r="H14" s="27"/>
      <c r="I14" s="29"/>
    </row>
    <row r="15" spans="3:9" ht="15" customHeight="1" x14ac:dyDescent="0.25">
      <c r="C15" s="51"/>
      <c r="D15" s="106" t="s">
        <v>140</v>
      </c>
      <c r="E15" s="106"/>
      <c r="F15" s="106"/>
      <c r="G15" s="106"/>
      <c r="H15" s="106"/>
      <c r="I15" s="29"/>
    </row>
    <row r="16" spans="3:9" ht="15" customHeight="1" x14ac:dyDescent="0.2">
      <c r="C16" s="51"/>
      <c r="D16" s="27"/>
      <c r="E16" s="27"/>
      <c r="F16" s="27"/>
      <c r="G16" s="27"/>
      <c r="H16" s="27"/>
      <c r="I16" s="29"/>
    </row>
    <row r="17" spans="3:9" ht="22.5" customHeight="1" x14ac:dyDescent="0.2">
      <c r="C17" s="53" t="s">
        <v>76</v>
      </c>
      <c r="D17" s="54" t="s">
        <v>183</v>
      </c>
      <c r="E17" s="55" t="s">
        <v>77</v>
      </c>
      <c r="F17" s="55" t="s">
        <v>78</v>
      </c>
      <c r="G17" s="54" t="s">
        <v>79</v>
      </c>
      <c r="H17" s="56" t="s">
        <v>80</v>
      </c>
      <c r="I17" s="57" t="s">
        <v>81</v>
      </c>
    </row>
    <row r="18" spans="3:9" ht="15" customHeight="1" x14ac:dyDescent="0.2">
      <c r="C18" s="82"/>
      <c r="D18" s="84"/>
      <c r="E18" s="85"/>
      <c r="F18" s="85"/>
      <c r="G18" s="85"/>
      <c r="H18" s="86"/>
      <c r="I18" s="83"/>
    </row>
    <row r="19" spans="3:9" ht="15" customHeight="1" x14ac:dyDescent="0.2">
      <c r="C19" s="51"/>
      <c r="D19" s="27"/>
      <c r="E19" s="27"/>
      <c r="F19" s="27"/>
      <c r="G19" s="27"/>
      <c r="H19" s="27"/>
      <c r="I19" s="58" t="s">
        <v>82</v>
      </c>
    </row>
    <row r="20" spans="3:9" ht="15" customHeight="1" x14ac:dyDescent="0.25">
      <c r="C20" s="59"/>
      <c r="D20" s="27"/>
      <c r="E20" s="27"/>
      <c r="F20" s="27"/>
      <c r="G20" s="60" t="s">
        <v>141</v>
      </c>
      <c r="H20" s="61">
        <f>SUM(tblS2[Neto površina])</f>
        <v>0</v>
      </c>
      <c r="I20" s="29"/>
    </row>
    <row r="21" spans="3:9" ht="15" customHeight="1" x14ac:dyDescent="0.2">
      <c r="C21" s="51"/>
      <c r="D21" s="27"/>
      <c r="E21" s="27"/>
      <c r="F21" s="27"/>
      <c r="G21" s="27"/>
      <c r="H21" s="27"/>
      <c r="I21" s="29"/>
    </row>
    <row r="22" spans="3:9" ht="15" customHeight="1" x14ac:dyDescent="0.25">
      <c r="C22" s="51"/>
      <c r="D22" s="27"/>
      <c r="E22" s="27"/>
      <c r="F22" s="27"/>
      <c r="G22" s="60" t="s">
        <v>142</v>
      </c>
      <c r="H22" s="61">
        <f>SUM(tblS2[Neto površina])*0.97</f>
        <v>0</v>
      </c>
      <c r="I22" s="29"/>
    </row>
    <row r="23" spans="3:9" ht="15" customHeight="1" x14ac:dyDescent="0.2">
      <c r="C23" s="51"/>
      <c r="D23" s="27"/>
      <c r="E23" s="27"/>
      <c r="F23" s="27"/>
      <c r="G23" s="27"/>
      <c r="H23" s="27"/>
      <c r="I23" s="29"/>
    </row>
    <row r="24" spans="3:9" ht="15" customHeight="1" x14ac:dyDescent="0.25">
      <c r="C24" s="29"/>
      <c r="D24" s="27"/>
      <c r="E24" s="27"/>
      <c r="F24" s="27"/>
      <c r="G24" s="60" t="s">
        <v>143</v>
      </c>
      <c r="H24" s="61">
        <v>0</v>
      </c>
      <c r="I24" s="29"/>
    </row>
    <row r="25" spans="3:9" ht="15" customHeight="1" x14ac:dyDescent="0.2">
      <c r="C25" s="51"/>
      <c r="D25"/>
      <c r="E25"/>
      <c r="F25"/>
      <c r="G25"/>
      <c r="H25"/>
      <c r="I25" s="29"/>
    </row>
    <row r="26" spans="3:9" ht="15" customHeight="1" x14ac:dyDescent="0.2">
      <c r="C26" s="62"/>
      <c r="D26" s="62"/>
      <c r="E26" s="62"/>
      <c r="F26" s="62"/>
      <c r="G26" s="62"/>
      <c r="H26" s="62"/>
      <c r="I26" s="62"/>
    </row>
    <row r="27" spans="3:9" ht="15" customHeight="1" x14ac:dyDescent="0.2">
      <c r="I27" s="63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2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I12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.21875" style="48" customWidth="1"/>
    <col min="4" max="4" width="8" style="48" customWidth="1"/>
    <col min="5" max="5" width="28.6640625" style="48" customWidth="1"/>
    <col min="6" max="7" width="9.44140625" style="48" customWidth="1"/>
    <col min="8" max="8" width="13.5546875" style="48" customWidth="1"/>
    <col min="9" max="9" width="2.21875" style="48" customWidth="1"/>
    <col min="10" max="184" width="2.21875" style="25" customWidth="1"/>
    <col min="185" max="16384" width="8.88671875" style="25"/>
  </cols>
  <sheetData>
    <row r="1" spans="3:9" s="23" customFormat="1" x14ac:dyDescent="0.2">
      <c r="C1" s="99" t="s">
        <v>110</v>
      </c>
      <c r="D1" s="99"/>
      <c r="E1" s="99"/>
      <c r="F1" s="99"/>
      <c r="G1" s="99"/>
      <c r="H1" s="99"/>
      <c r="I1" s="99"/>
    </row>
    <row r="2" spans="3:9" s="24" customFormat="1" ht="15.75" customHeight="1" thickBot="1" x14ac:dyDescent="0.25">
      <c r="C2" s="100"/>
      <c r="D2" s="100"/>
      <c r="E2" s="100"/>
      <c r="F2" s="100"/>
      <c r="G2" s="100"/>
      <c r="H2" s="100"/>
      <c r="I2" s="100"/>
    </row>
    <row r="3" spans="3:9" ht="15.75" thickTop="1" x14ac:dyDescent="0.2"/>
    <row r="7" spans="3:9" x14ac:dyDescent="0.2">
      <c r="C7" s="49"/>
      <c r="D7" s="49"/>
      <c r="E7" s="49"/>
      <c r="F7" s="49"/>
      <c r="G7" s="49"/>
      <c r="H7" s="49"/>
      <c r="I7" s="50"/>
    </row>
    <row r="8" spans="3:9" x14ac:dyDescent="0.2">
      <c r="C8" s="51"/>
      <c r="D8" s="52"/>
      <c r="E8" s="52"/>
      <c r="F8" s="52"/>
      <c r="G8" s="52"/>
      <c r="H8" s="52"/>
      <c r="I8" s="29"/>
    </row>
    <row r="9" spans="3:9" ht="15" hidden="1" customHeight="1" x14ac:dyDescent="0.2">
      <c r="C9" s="51"/>
      <c r="D9" s="27"/>
      <c r="E9" s="27"/>
      <c r="F9" s="27"/>
      <c r="G9" s="27"/>
      <c r="H9" s="27"/>
      <c r="I9" s="29"/>
    </row>
    <row r="10" spans="3:9" ht="15" hidden="1" customHeight="1" x14ac:dyDescent="0.2">
      <c r="C10" s="51"/>
      <c r="E10" s="27"/>
      <c r="F10" s="27"/>
      <c r="G10" s="27"/>
      <c r="H10" s="27"/>
      <c r="I10" s="29"/>
    </row>
    <row r="11" spans="3:9" ht="15" hidden="1" customHeight="1" x14ac:dyDescent="0.25">
      <c r="C11" s="51"/>
      <c r="D11" s="101" t="s">
        <v>74</v>
      </c>
      <c r="E11" s="101"/>
      <c r="F11" s="101"/>
      <c r="G11" s="101"/>
      <c r="H11" s="101"/>
      <c r="I11" s="29"/>
    </row>
    <row r="12" spans="3:9" ht="15" hidden="1" customHeight="1" x14ac:dyDescent="0.2">
      <c r="C12" s="51"/>
      <c r="D12" s="27"/>
      <c r="E12" s="27"/>
      <c r="F12" s="27"/>
      <c r="G12" s="27"/>
      <c r="H12" s="27"/>
      <c r="I12" s="29"/>
    </row>
    <row r="13" spans="3:9" ht="15" customHeight="1" x14ac:dyDescent="0.2">
      <c r="C13" s="51"/>
      <c r="D13" s="27"/>
      <c r="E13" s="27"/>
      <c r="F13" s="27"/>
      <c r="G13" s="27"/>
      <c r="H13" s="27"/>
      <c r="I13" s="29"/>
    </row>
    <row r="14" spans="3:9" ht="15" customHeight="1" x14ac:dyDescent="0.2">
      <c r="C14" s="51"/>
      <c r="D14" s="27"/>
      <c r="E14" s="27"/>
      <c r="F14" s="27"/>
      <c r="G14" s="27"/>
      <c r="H14" s="27"/>
      <c r="I14" s="29"/>
    </row>
    <row r="15" spans="3:9" ht="15" customHeight="1" x14ac:dyDescent="0.25">
      <c r="C15" s="51"/>
      <c r="D15" s="106" t="s">
        <v>144</v>
      </c>
      <c r="E15" s="106"/>
      <c r="F15" s="106"/>
      <c r="G15" s="106"/>
      <c r="H15" s="106"/>
      <c r="I15" s="29"/>
    </row>
    <row r="16" spans="3:9" ht="15" customHeight="1" x14ac:dyDescent="0.2">
      <c r="C16" s="51"/>
      <c r="D16" s="27"/>
      <c r="E16" s="27"/>
      <c r="F16" s="27"/>
      <c r="G16" s="27"/>
      <c r="H16" s="27"/>
      <c r="I16" s="29"/>
    </row>
    <row r="17" spans="3:9" ht="22.5" customHeight="1" x14ac:dyDescent="0.2">
      <c r="C17" s="53" t="s">
        <v>76</v>
      </c>
      <c r="D17" s="54" t="s">
        <v>183</v>
      </c>
      <c r="E17" s="55" t="s">
        <v>77</v>
      </c>
      <c r="F17" s="55" t="s">
        <v>78</v>
      </c>
      <c r="G17" s="54" t="s">
        <v>79</v>
      </c>
      <c r="H17" s="56" t="s">
        <v>80</v>
      </c>
      <c r="I17" s="57" t="s">
        <v>81</v>
      </c>
    </row>
    <row r="18" spans="3:9" ht="15" customHeight="1" x14ac:dyDescent="0.2">
      <c r="C18" s="82"/>
      <c r="D18" s="84"/>
      <c r="E18" s="85"/>
      <c r="F18" s="85"/>
      <c r="G18" s="85"/>
      <c r="H18" s="86"/>
      <c r="I18" s="83"/>
    </row>
    <row r="19" spans="3:9" ht="15" customHeight="1" x14ac:dyDescent="0.2">
      <c r="C19" s="51"/>
      <c r="D19" s="27"/>
      <c r="E19" s="27"/>
      <c r="F19" s="27"/>
      <c r="G19" s="27"/>
      <c r="H19" s="27"/>
      <c r="I19" s="58" t="s">
        <v>82</v>
      </c>
    </row>
    <row r="20" spans="3:9" ht="15" customHeight="1" x14ac:dyDescent="0.25">
      <c r="C20" s="59"/>
      <c r="D20" s="27"/>
      <c r="E20" s="27"/>
      <c r="F20" s="27"/>
      <c r="G20" s="60" t="s">
        <v>145</v>
      </c>
      <c r="H20" s="61">
        <f>SUM(tblS3[Neto površina])</f>
        <v>0</v>
      </c>
      <c r="I20" s="29"/>
    </row>
    <row r="21" spans="3:9" ht="15" customHeight="1" x14ac:dyDescent="0.2">
      <c r="C21" s="51"/>
      <c r="D21" s="27"/>
      <c r="E21" s="27"/>
      <c r="F21" s="27"/>
      <c r="G21" s="27"/>
      <c r="H21" s="27"/>
      <c r="I21" s="29"/>
    </row>
    <row r="22" spans="3:9" ht="15" customHeight="1" x14ac:dyDescent="0.25">
      <c r="C22" s="51"/>
      <c r="D22" s="27"/>
      <c r="E22" s="27"/>
      <c r="F22" s="27"/>
      <c r="G22" s="60" t="s">
        <v>146</v>
      </c>
      <c r="H22" s="61">
        <f>SUM(tblS3[Neto površina])*0.97</f>
        <v>0</v>
      </c>
      <c r="I22" s="29"/>
    </row>
    <row r="23" spans="3:9" ht="15" customHeight="1" x14ac:dyDescent="0.2">
      <c r="C23" s="51"/>
      <c r="D23" s="27"/>
      <c r="E23" s="27"/>
      <c r="F23" s="27"/>
      <c r="G23" s="27"/>
      <c r="H23" s="27"/>
      <c r="I23" s="29"/>
    </row>
    <row r="24" spans="3:9" ht="15" customHeight="1" x14ac:dyDescent="0.25">
      <c r="C24" s="29"/>
      <c r="D24" s="27"/>
      <c r="E24" s="27"/>
      <c r="F24" s="27"/>
      <c r="G24" s="60" t="s">
        <v>147</v>
      </c>
      <c r="H24" s="61">
        <v>0</v>
      </c>
      <c r="I24" s="29"/>
    </row>
    <row r="25" spans="3:9" ht="15" customHeight="1" x14ac:dyDescent="0.2">
      <c r="C25" s="51"/>
      <c r="D25"/>
      <c r="E25"/>
      <c r="F25"/>
      <c r="G25"/>
      <c r="H25"/>
      <c r="I25" s="29"/>
    </row>
    <row r="26" spans="3:9" ht="15" customHeight="1" x14ac:dyDescent="0.2">
      <c r="C26" s="62"/>
      <c r="D26" s="62"/>
      <c r="E26" s="62"/>
      <c r="F26" s="62"/>
      <c r="G26" s="62"/>
      <c r="H26" s="62"/>
      <c r="I26" s="62"/>
    </row>
    <row r="27" spans="3:9" ht="15" customHeight="1" x14ac:dyDescent="0.2">
      <c r="I27" s="63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2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1:I12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.21875" style="48" customWidth="1"/>
    <col min="4" max="4" width="8" style="48" customWidth="1"/>
    <col min="5" max="5" width="28.6640625" style="48" customWidth="1"/>
    <col min="6" max="7" width="9.44140625" style="48" customWidth="1"/>
    <col min="8" max="8" width="13.5546875" style="48" customWidth="1"/>
    <col min="9" max="9" width="2.21875" style="48" customWidth="1"/>
    <col min="10" max="184" width="2.21875" style="25" customWidth="1"/>
    <col min="185" max="16384" width="8.88671875" style="25"/>
  </cols>
  <sheetData>
    <row r="1" spans="3:9" s="23" customFormat="1" x14ac:dyDescent="0.2">
      <c r="C1" s="99" t="s">
        <v>110</v>
      </c>
      <c r="D1" s="99"/>
      <c r="E1" s="99"/>
      <c r="F1" s="99"/>
      <c r="G1" s="99"/>
      <c r="H1" s="99"/>
      <c r="I1" s="99"/>
    </row>
    <row r="2" spans="3:9" s="24" customFormat="1" ht="15.75" customHeight="1" thickBot="1" x14ac:dyDescent="0.25">
      <c r="C2" s="100"/>
      <c r="D2" s="100"/>
      <c r="E2" s="100"/>
      <c r="F2" s="100"/>
      <c r="G2" s="100"/>
      <c r="H2" s="100"/>
      <c r="I2" s="100"/>
    </row>
    <row r="3" spans="3:9" ht="15.75" thickTop="1" x14ac:dyDescent="0.2"/>
    <row r="7" spans="3:9" x14ac:dyDescent="0.2">
      <c r="C7" s="49"/>
      <c r="D7" s="49"/>
      <c r="E7" s="49"/>
      <c r="F7" s="49"/>
      <c r="G7" s="49"/>
      <c r="H7" s="49"/>
      <c r="I7" s="50"/>
    </row>
    <row r="8" spans="3:9" x14ac:dyDescent="0.2">
      <c r="C8" s="51"/>
      <c r="D8" s="52"/>
      <c r="E8" s="52"/>
      <c r="F8" s="52"/>
      <c r="G8" s="52"/>
      <c r="H8" s="52"/>
      <c r="I8" s="29"/>
    </row>
    <row r="9" spans="3:9" ht="15" hidden="1" customHeight="1" x14ac:dyDescent="0.2">
      <c r="C9" s="51"/>
      <c r="D9" s="27"/>
      <c r="E9" s="27"/>
      <c r="F9" s="27"/>
      <c r="G9" s="27"/>
      <c r="H9" s="27"/>
      <c r="I9" s="29"/>
    </row>
    <row r="10" spans="3:9" ht="15" hidden="1" customHeight="1" x14ac:dyDescent="0.2">
      <c r="C10" s="51"/>
      <c r="E10" s="27"/>
      <c r="F10" s="27"/>
      <c r="G10" s="27"/>
      <c r="H10" s="27"/>
      <c r="I10" s="29"/>
    </row>
    <row r="11" spans="3:9" ht="15" hidden="1" customHeight="1" x14ac:dyDescent="0.25">
      <c r="C11" s="51"/>
      <c r="D11" s="101" t="s">
        <v>74</v>
      </c>
      <c r="E11" s="101"/>
      <c r="F11" s="101"/>
      <c r="G11" s="101"/>
      <c r="H11" s="101"/>
      <c r="I11" s="29"/>
    </row>
    <row r="12" spans="3:9" ht="15" hidden="1" customHeight="1" x14ac:dyDescent="0.2">
      <c r="C12" s="51"/>
      <c r="D12" s="27"/>
      <c r="E12" s="27"/>
      <c r="F12" s="27"/>
      <c r="G12" s="27"/>
      <c r="H12" s="27"/>
      <c r="I12" s="29"/>
    </row>
    <row r="13" spans="3:9" ht="15" customHeight="1" x14ac:dyDescent="0.2">
      <c r="C13" s="51"/>
      <c r="D13" s="27"/>
      <c r="E13" s="27"/>
      <c r="F13" s="27"/>
      <c r="G13" s="27"/>
      <c r="H13" s="27"/>
      <c r="I13" s="29"/>
    </row>
    <row r="14" spans="3:9" ht="15" customHeight="1" x14ac:dyDescent="0.2">
      <c r="C14" s="51"/>
      <c r="D14" s="27"/>
      <c r="E14" s="27"/>
      <c r="F14" s="27"/>
      <c r="G14" s="27"/>
      <c r="H14" s="27"/>
      <c r="I14" s="29"/>
    </row>
    <row r="15" spans="3:9" ht="15" customHeight="1" x14ac:dyDescent="0.25">
      <c r="C15" s="51"/>
      <c r="D15" s="106" t="s">
        <v>148</v>
      </c>
      <c r="E15" s="106"/>
      <c r="F15" s="106"/>
      <c r="G15" s="106"/>
      <c r="H15" s="106"/>
      <c r="I15" s="29"/>
    </row>
    <row r="16" spans="3:9" ht="15" customHeight="1" x14ac:dyDescent="0.2">
      <c r="C16" s="51"/>
      <c r="D16" s="27"/>
      <c r="E16" s="27"/>
      <c r="F16" s="27"/>
      <c r="G16" s="27"/>
      <c r="H16" s="27"/>
      <c r="I16" s="29"/>
    </row>
    <row r="17" spans="3:9" ht="22.5" customHeight="1" x14ac:dyDescent="0.2">
      <c r="C17" s="53" t="s">
        <v>76</v>
      </c>
      <c r="D17" s="54" t="s">
        <v>183</v>
      </c>
      <c r="E17" s="55" t="s">
        <v>77</v>
      </c>
      <c r="F17" s="55" t="s">
        <v>78</v>
      </c>
      <c r="G17" s="54" t="s">
        <v>79</v>
      </c>
      <c r="H17" s="56" t="s">
        <v>80</v>
      </c>
      <c r="I17" s="57" t="s">
        <v>81</v>
      </c>
    </row>
    <row r="18" spans="3:9" ht="15" customHeight="1" x14ac:dyDescent="0.2">
      <c r="C18" s="87"/>
      <c r="D18" s="84"/>
      <c r="E18" s="85"/>
      <c r="F18" s="85"/>
      <c r="G18" s="85"/>
      <c r="H18" s="86"/>
      <c r="I18" s="88"/>
    </row>
    <row r="19" spans="3:9" ht="15" customHeight="1" x14ac:dyDescent="0.2">
      <c r="C19" s="51"/>
      <c r="D19" s="27"/>
      <c r="E19" s="27"/>
      <c r="F19" s="27"/>
      <c r="G19" s="27"/>
      <c r="H19" s="27"/>
      <c r="I19" s="58" t="s">
        <v>82</v>
      </c>
    </row>
    <row r="20" spans="3:9" ht="15" customHeight="1" x14ac:dyDescent="0.25">
      <c r="C20" s="59"/>
      <c r="D20" s="27"/>
      <c r="E20" s="27"/>
      <c r="F20" s="27"/>
      <c r="G20" s="60" t="s">
        <v>149</v>
      </c>
      <c r="H20" s="61">
        <f>SUM(tblS4[Neto površina])</f>
        <v>0</v>
      </c>
      <c r="I20" s="29"/>
    </row>
    <row r="21" spans="3:9" ht="15" customHeight="1" x14ac:dyDescent="0.2">
      <c r="C21" s="51"/>
      <c r="D21" s="27"/>
      <c r="E21" s="27"/>
      <c r="F21" s="27"/>
      <c r="G21" s="27"/>
      <c r="H21" s="27"/>
      <c r="I21" s="29"/>
    </row>
    <row r="22" spans="3:9" ht="15" customHeight="1" x14ac:dyDescent="0.25">
      <c r="C22" s="51"/>
      <c r="D22" s="27"/>
      <c r="E22" s="27"/>
      <c r="F22" s="27"/>
      <c r="G22" s="60" t="s">
        <v>150</v>
      </c>
      <c r="H22" s="61">
        <f>SUM(tblS4[Neto površina])*0.97</f>
        <v>0</v>
      </c>
      <c r="I22" s="29"/>
    </row>
    <row r="23" spans="3:9" ht="15" customHeight="1" x14ac:dyDescent="0.2">
      <c r="C23" s="51"/>
      <c r="D23" s="27"/>
      <c r="E23" s="27"/>
      <c r="F23" s="27"/>
      <c r="G23" s="27"/>
      <c r="H23" s="27"/>
      <c r="I23" s="29"/>
    </row>
    <row r="24" spans="3:9" ht="15" customHeight="1" x14ac:dyDescent="0.25">
      <c r="C24" s="29"/>
      <c r="D24" s="27"/>
      <c r="E24" s="27"/>
      <c r="F24" s="27"/>
      <c r="G24" s="60" t="s">
        <v>151</v>
      </c>
      <c r="H24" s="61">
        <v>0</v>
      </c>
      <c r="I24" s="29"/>
    </row>
    <row r="25" spans="3:9" ht="15" customHeight="1" x14ac:dyDescent="0.2">
      <c r="C25" s="51"/>
      <c r="D25"/>
      <c r="E25"/>
      <c r="F25"/>
      <c r="G25"/>
      <c r="H25"/>
      <c r="I25" s="29"/>
    </row>
    <row r="26" spans="3:9" ht="15" customHeight="1" x14ac:dyDescent="0.2">
      <c r="C26" s="62"/>
      <c r="D26" s="62"/>
      <c r="E26" s="62"/>
      <c r="F26" s="62"/>
      <c r="G26" s="62"/>
      <c r="H26" s="62"/>
      <c r="I26" s="62"/>
    </row>
    <row r="27" spans="3:9" ht="15" customHeight="1" x14ac:dyDescent="0.2">
      <c r="I27" s="63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2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1:I12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.21875" style="48" customWidth="1"/>
    <col min="4" max="4" width="8" style="48" customWidth="1"/>
    <col min="5" max="5" width="28.6640625" style="48" customWidth="1"/>
    <col min="6" max="7" width="9.44140625" style="48" customWidth="1"/>
    <col min="8" max="8" width="13.5546875" style="48" customWidth="1"/>
    <col min="9" max="9" width="2.21875" style="48" customWidth="1"/>
    <col min="10" max="184" width="2.21875" style="25" customWidth="1"/>
    <col min="185" max="16384" width="8.88671875" style="25"/>
  </cols>
  <sheetData>
    <row r="1" spans="3:9" s="23" customFormat="1" x14ac:dyDescent="0.2">
      <c r="C1" s="99" t="s">
        <v>110</v>
      </c>
      <c r="D1" s="99"/>
      <c r="E1" s="99"/>
      <c r="F1" s="99"/>
      <c r="G1" s="99"/>
      <c r="H1" s="99"/>
      <c r="I1" s="99"/>
    </row>
    <row r="2" spans="3:9" s="24" customFormat="1" ht="15.75" customHeight="1" thickBot="1" x14ac:dyDescent="0.25">
      <c r="C2" s="100"/>
      <c r="D2" s="100"/>
      <c r="E2" s="100"/>
      <c r="F2" s="100"/>
      <c r="G2" s="100"/>
      <c r="H2" s="100"/>
      <c r="I2" s="100"/>
    </row>
    <row r="3" spans="3:9" ht="15.75" thickTop="1" x14ac:dyDescent="0.2"/>
    <row r="7" spans="3:9" x14ac:dyDescent="0.2">
      <c r="C7" s="49"/>
      <c r="D7" s="49"/>
      <c r="E7" s="49"/>
      <c r="F7" s="49"/>
      <c r="G7" s="49"/>
      <c r="H7" s="49"/>
      <c r="I7" s="50"/>
    </row>
    <row r="8" spans="3:9" x14ac:dyDescent="0.2">
      <c r="C8" s="51"/>
      <c r="D8" s="52"/>
      <c r="E8" s="52"/>
      <c r="F8" s="52"/>
      <c r="G8" s="52"/>
      <c r="H8" s="52"/>
      <c r="I8" s="29"/>
    </row>
    <row r="9" spans="3:9" ht="15" hidden="1" customHeight="1" x14ac:dyDescent="0.2">
      <c r="C9" s="51"/>
      <c r="D9" s="27"/>
      <c r="E9" s="27"/>
      <c r="F9" s="27"/>
      <c r="G9" s="27"/>
      <c r="H9" s="27"/>
      <c r="I9" s="29"/>
    </row>
    <row r="10" spans="3:9" ht="15" hidden="1" customHeight="1" x14ac:dyDescent="0.2">
      <c r="C10" s="51"/>
      <c r="E10" s="27"/>
      <c r="F10" s="27"/>
      <c r="G10" s="27"/>
      <c r="H10" s="27"/>
      <c r="I10" s="29"/>
    </row>
    <row r="11" spans="3:9" ht="15" hidden="1" customHeight="1" x14ac:dyDescent="0.25">
      <c r="C11" s="51"/>
      <c r="D11" s="101" t="s">
        <v>74</v>
      </c>
      <c r="E11" s="101"/>
      <c r="F11" s="101"/>
      <c r="G11" s="101"/>
      <c r="H11" s="101"/>
      <c r="I11" s="29"/>
    </row>
    <row r="12" spans="3:9" ht="15" hidden="1" customHeight="1" x14ac:dyDescent="0.2">
      <c r="C12" s="51"/>
      <c r="D12" s="27"/>
      <c r="E12" s="27"/>
      <c r="F12" s="27"/>
      <c r="G12" s="27"/>
      <c r="H12" s="27"/>
      <c r="I12" s="29"/>
    </row>
    <row r="13" spans="3:9" ht="15" customHeight="1" x14ac:dyDescent="0.2">
      <c r="C13" s="51"/>
      <c r="D13" s="27"/>
      <c r="E13" s="27"/>
      <c r="F13" s="27"/>
      <c r="G13" s="27"/>
      <c r="H13" s="27"/>
      <c r="I13" s="29"/>
    </row>
    <row r="14" spans="3:9" ht="15" customHeight="1" x14ac:dyDescent="0.2">
      <c r="C14" s="51"/>
      <c r="D14" s="27"/>
      <c r="E14" s="27"/>
      <c r="F14" s="27"/>
      <c r="G14" s="27"/>
      <c r="H14" s="27"/>
      <c r="I14" s="29"/>
    </row>
    <row r="15" spans="3:9" ht="15" customHeight="1" x14ac:dyDescent="0.25">
      <c r="C15" s="51"/>
      <c r="D15" s="106" t="s">
        <v>152</v>
      </c>
      <c r="E15" s="106"/>
      <c r="F15" s="106"/>
      <c r="G15" s="106"/>
      <c r="H15" s="106"/>
      <c r="I15" s="29"/>
    </row>
    <row r="16" spans="3:9" ht="15" customHeight="1" x14ac:dyDescent="0.2">
      <c r="C16" s="51"/>
      <c r="D16" s="27"/>
      <c r="E16" s="27"/>
      <c r="F16" s="27"/>
      <c r="G16" s="27"/>
      <c r="H16" s="27"/>
      <c r="I16" s="29"/>
    </row>
    <row r="17" spans="3:9" ht="22.5" customHeight="1" x14ac:dyDescent="0.2">
      <c r="C17" s="53" t="s">
        <v>76</v>
      </c>
      <c r="D17" s="54" t="s">
        <v>183</v>
      </c>
      <c r="E17" s="55" t="s">
        <v>77</v>
      </c>
      <c r="F17" s="55" t="s">
        <v>78</v>
      </c>
      <c r="G17" s="54" t="s">
        <v>79</v>
      </c>
      <c r="H17" s="56" t="s">
        <v>80</v>
      </c>
      <c r="I17" s="57" t="s">
        <v>81</v>
      </c>
    </row>
    <row r="18" spans="3:9" ht="15" customHeight="1" x14ac:dyDescent="0.2">
      <c r="C18" s="87"/>
      <c r="D18" s="84"/>
      <c r="E18" s="85"/>
      <c r="F18" s="85"/>
      <c r="G18" s="85"/>
      <c r="H18" s="86"/>
      <c r="I18" s="88"/>
    </row>
    <row r="19" spans="3:9" ht="15" customHeight="1" x14ac:dyDescent="0.2">
      <c r="C19" s="51"/>
      <c r="D19" s="27"/>
      <c r="E19" s="27"/>
      <c r="F19" s="27"/>
      <c r="G19" s="27"/>
      <c r="H19" s="27"/>
      <c r="I19" s="58" t="s">
        <v>82</v>
      </c>
    </row>
    <row r="20" spans="3:9" ht="15" customHeight="1" x14ac:dyDescent="0.25">
      <c r="C20" s="59"/>
      <c r="D20" s="27"/>
      <c r="E20" s="27"/>
      <c r="F20" s="27"/>
      <c r="G20" s="60" t="s">
        <v>153</v>
      </c>
      <c r="H20" s="61">
        <f>SUM(tblS5[Neto površina])</f>
        <v>0</v>
      </c>
      <c r="I20" s="29"/>
    </row>
    <row r="21" spans="3:9" ht="15" customHeight="1" x14ac:dyDescent="0.2">
      <c r="C21" s="51"/>
      <c r="D21" s="27"/>
      <c r="E21" s="27"/>
      <c r="F21" s="27"/>
      <c r="G21" s="27"/>
      <c r="H21" s="27"/>
      <c r="I21" s="29"/>
    </row>
    <row r="22" spans="3:9" ht="15" customHeight="1" x14ac:dyDescent="0.25">
      <c r="C22" s="51"/>
      <c r="D22" s="27"/>
      <c r="E22" s="27"/>
      <c r="F22" s="27"/>
      <c r="G22" s="60" t="s">
        <v>154</v>
      </c>
      <c r="H22" s="61">
        <f>SUM(tblS5[Neto površina])*0.97</f>
        <v>0</v>
      </c>
      <c r="I22" s="29"/>
    </row>
    <row r="23" spans="3:9" ht="15" customHeight="1" x14ac:dyDescent="0.2">
      <c r="C23" s="51"/>
      <c r="D23" s="27"/>
      <c r="E23" s="27"/>
      <c r="F23" s="27"/>
      <c r="G23" s="27"/>
      <c r="H23" s="27"/>
      <c r="I23" s="29"/>
    </row>
    <row r="24" spans="3:9" ht="15" customHeight="1" x14ac:dyDescent="0.25">
      <c r="C24" s="29"/>
      <c r="D24" s="27"/>
      <c r="E24" s="27"/>
      <c r="F24" s="27"/>
      <c r="G24" s="60" t="s">
        <v>155</v>
      </c>
      <c r="H24" s="61">
        <v>0</v>
      </c>
      <c r="I24" s="29"/>
    </row>
    <row r="25" spans="3:9" ht="15" customHeight="1" x14ac:dyDescent="0.2">
      <c r="C25" s="51"/>
      <c r="D25"/>
      <c r="E25"/>
      <c r="F25"/>
      <c r="G25"/>
      <c r="H25"/>
      <c r="I25" s="29"/>
    </row>
    <row r="26" spans="3:9" ht="15" customHeight="1" x14ac:dyDescent="0.2">
      <c r="C26" s="62"/>
      <c r="D26" s="62"/>
      <c r="E26" s="62"/>
      <c r="F26" s="62"/>
      <c r="G26" s="62"/>
      <c r="H26" s="62"/>
      <c r="I26" s="62"/>
    </row>
    <row r="27" spans="3:9" ht="15" customHeight="1" x14ac:dyDescent="0.2">
      <c r="I27" s="63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2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1:I12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.21875" style="48" customWidth="1"/>
    <col min="4" max="4" width="8" style="48" customWidth="1"/>
    <col min="5" max="5" width="28.6640625" style="48" customWidth="1"/>
    <col min="6" max="7" width="9.44140625" style="48" customWidth="1"/>
    <col min="8" max="8" width="13.5546875" style="48" customWidth="1"/>
    <col min="9" max="9" width="2.21875" style="48" customWidth="1"/>
    <col min="10" max="184" width="2.21875" style="25" customWidth="1"/>
    <col min="185" max="16384" width="8.88671875" style="25"/>
  </cols>
  <sheetData>
    <row r="1" spans="3:9" s="23" customFormat="1" x14ac:dyDescent="0.2">
      <c r="C1" s="99" t="s">
        <v>110</v>
      </c>
      <c r="D1" s="99"/>
      <c r="E1" s="99"/>
      <c r="F1" s="99"/>
      <c r="G1" s="99"/>
      <c r="H1" s="99"/>
      <c r="I1" s="99"/>
    </row>
    <row r="2" spans="3:9" s="24" customFormat="1" ht="15.75" customHeight="1" thickBot="1" x14ac:dyDescent="0.25">
      <c r="C2" s="100"/>
      <c r="D2" s="100"/>
      <c r="E2" s="100"/>
      <c r="F2" s="100"/>
      <c r="G2" s="100"/>
      <c r="H2" s="100"/>
      <c r="I2" s="100"/>
    </row>
    <row r="3" spans="3:9" ht="15.75" thickTop="1" x14ac:dyDescent="0.2"/>
    <row r="7" spans="3:9" x14ac:dyDescent="0.2">
      <c r="C7" s="49"/>
      <c r="D7" s="49"/>
      <c r="E7" s="49"/>
      <c r="F7" s="49"/>
      <c r="G7" s="49"/>
      <c r="H7" s="49"/>
      <c r="I7" s="50"/>
    </row>
    <row r="8" spans="3:9" x14ac:dyDescent="0.2">
      <c r="C8" s="51"/>
      <c r="D8" s="52"/>
      <c r="E8" s="52"/>
      <c r="F8" s="52"/>
      <c r="G8" s="52"/>
      <c r="H8" s="52"/>
      <c r="I8" s="29"/>
    </row>
    <row r="9" spans="3:9" ht="15" hidden="1" customHeight="1" x14ac:dyDescent="0.2">
      <c r="C9" s="51"/>
      <c r="D9" s="27"/>
      <c r="E9" s="27"/>
      <c r="F9" s="27"/>
      <c r="G9" s="27"/>
      <c r="H9" s="27"/>
      <c r="I9" s="29"/>
    </row>
    <row r="10" spans="3:9" ht="15" hidden="1" customHeight="1" x14ac:dyDescent="0.2">
      <c r="C10" s="51"/>
      <c r="E10" s="27"/>
      <c r="F10" s="27"/>
      <c r="G10" s="27"/>
      <c r="H10" s="27"/>
      <c r="I10" s="29"/>
    </row>
    <row r="11" spans="3:9" ht="15" hidden="1" customHeight="1" x14ac:dyDescent="0.25">
      <c r="C11" s="51"/>
      <c r="D11" s="101" t="s">
        <v>74</v>
      </c>
      <c r="E11" s="101"/>
      <c r="F11" s="101"/>
      <c r="G11" s="101"/>
      <c r="H11" s="101"/>
      <c r="I11" s="29"/>
    </row>
    <row r="12" spans="3:9" ht="15" hidden="1" customHeight="1" x14ac:dyDescent="0.2">
      <c r="C12" s="51"/>
      <c r="D12" s="27"/>
      <c r="E12" s="27"/>
      <c r="F12" s="27"/>
      <c r="G12" s="27"/>
      <c r="H12" s="27"/>
      <c r="I12" s="29"/>
    </row>
    <row r="13" spans="3:9" ht="15" customHeight="1" x14ac:dyDescent="0.2">
      <c r="C13" s="51"/>
      <c r="D13" s="27"/>
      <c r="E13" s="27"/>
      <c r="F13" s="27"/>
      <c r="G13" s="27"/>
      <c r="H13" s="27"/>
      <c r="I13" s="29"/>
    </row>
    <row r="14" spans="3:9" ht="15" customHeight="1" x14ac:dyDescent="0.2">
      <c r="C14" s="51"/>
      <c r="D14" s="27"/>
      <c r="E14" s="27"/>
      <c r="F14" s="27"/>
      <c r="G14" s="27"/>
      <c r="H14" s="27"/>
      <c r="I14" s="29"/>
    </row>
    <row r="15" spans="3:9" ht="15" customHeight="1" x14ac:dyDescent="0.25">
      <c r="C15" s="51"/>
      <c r="D15" s="106" t="s">
        <v>156</v>
      </c>
      <c r="E15" s="106"/>
      <c r="F15" s="106"/>
      <c r="G15" s="106"/>
      <c r="H15" s="106"/>
      <c r="I15" s="29"/>
    </row>
    <row r="16" spans="3:9" ht="15" customHeight="1" x14ac:dyDescent="0.2">
      <c r="C16" s="51"/>
      <c r="D16" s="27"/>
      <c r="E16" s="27"/>
      <c r="F16" s="27"/>
      <c r="G16" s="27"/>
      <c r="H16" s="27"/>
      <c r="I16" s="29"/>
    </row>
    <row r="17" spans="3:9" ht="22.5" customHeight="1" x14ac:dyDescent="0.2">
      <c r="C17" s="53" t="s">
        <v>76</v>
      </c>
      <c r="D17" s="54" t="s">
        <v>183</v>
      </c>
      <c r="E17" s="55" t="s">
        <v>77</v>
      </c>
      <c r="F17" s="55" t="s">
        <v>78</v>
      </c>
      <c r="G17" s="54" t="s">
        <v>79</v>
      </c>
      <c r="H17" s="56" t="s">
        <v>80</v>
      </c>
      <c r="I17" s="57" t="s">
        <v>81</v>
      </c>
    </row>
    <row r="18" spans="3:9" ht="15" customHeight="1" x14ac:dyDescent="0.2">
      <c r="C18" s="90"/>
      <c r="D18" s="84"/>
      <c r="E18" s="85"/>
      <c r="F18" s="85"/>
      <c r="G18" s="85"/>
      <c r="H18" s="86"/>
      <c r="I18" s="89"/>
    </row>
    <row r="19" spans="3:9" ht="15" customHeight="1" x14ac:dyDescent="0.2">
      <c r="C19" s="51"/>
      <c r="D19" s="27"/>
      <c r="E19" s="27"/>
      <c r="F19" s="27"/>
      <c r="G19" s="27"/>
      <c r="H19" s="27"/>
      <c r="I19" s="58" t="s">
        <v>82</v>
      </c>
    </row>
    <row r="20" spans="3:9" ht="15" customHeight="1" x14ac:dyDescent="0.25">
      <c r="C20" s="59"/>
      <c r="D20" s="27"/>
      <c r="E20" s="27"/>
      <c r="F20" s="27"/>
      <c r="G20" s="60" t="s">
        <v>157</v>
      </c>
      <c r="H20" s="61">
        <f>SUM(tblS6[Neto površina])</f>
        <v>0</v>
      </c>
      <c r="I20" s="29"/>
    </row>
    <row r="21" spans="3:9" ht="15" customHeight="1" x14ac:dyDescent="0.2">
      <c r="C21" s="51"/>
      <c r="D21" s="27"/>
      <c r="E21" s="27"/>
      <c r="F21" s="27"/>
      <c r="G21" s="27"/>
      <c r="H21" s="27"/>
      <c r="I21" s="29"/>
    </row>
    <row r="22" spans="3:9" ht="15" customHeight="1" x14ac:dyDescent="0.25">
      <c r="C22" s="51"/>
      <c r="D22" s="27"/>
      <c r="E22" s="27"/>
      <c r="F22" s="27"/>
      <c r="G22" s="60" t="s">
        <v>158</v>
      </c>
      <c r="H22" s="61">
        <f>SUM(tblS6[Neto površina])*0.97</f>
        <v>0</v>
      </c>
      <c r="I22" s="29"/>
    </row>
    <row r="23" spans="3:9" ht="15" customHeight="1" x14ac:dyDescent="0.2">
      <c r="C23" s="51"/>
      <c r="D23" s="27"/>
      <c r="E23" s="27"/>
      <c r="F23" s="27"/>
      <c r="G23" s="27"/>
      <c r="H23" s="27"/>
      <c r="I23" s="29"/>
    </row>
    <row r="24" spans="3:9" ht="15" customHeight="1" x14ac:dyDescent="0.25">
      <c r="C24" s="29"/>
      <c r="D24" s="27"/>
      <c r="E24" s="27"/>
      <c r="F24" s="27"/>
      <c r="G24" s="60" t="s">
        <v>159</v>
      </c>
      <c r="H24" s="61">
        <v>0</v>
      </c>
      <c r="I24" s="29"/>
    </row>
    <row r="25" spans="3:9" ht="15" customHeight="1" x14ac:dyDescent="0.2">
      <c r="C25" s="51"/>
      <c r="D25"/>
      <c r="E25"/>
      <c r="F25"/>
      <c r="G25"/>
      <c r="H25"/>
      <c r="I25" s="29"/>
    </row>
    <row r="26" spans="3:9" ht="15" customHeight="1" x14ac:dyDescent="0.2">
      <c r="C26" s="62"/>
      <c r="D26" s="62"/>
      <c r="E26" s="62"/>
      <c r="F26" s="62"/>
      <c r="G26" s="62"/>
      <c r="H26" s="62"/>
      <c r="I26" s="62"/>
    </row>
    <row r="27" spans="3:9" ht="15" customHeight="1" x14ac:dyDescent="0.2">
      <c r="I27" s="63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2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1:I12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.21875" style="48" customWidth="1"/>
    <col min="4" max="4" width="8" style="48" customWidth="1"/>
    <col min="5" max="5" width="28.6640625" style="48" customWidth="1"/>
    <col min="6" max="7" width="9.44140625" style="48" customWidth="1"/>
    <col min="8" max="8" width="13.5546875" style="48" customWidth="1"/>
    <col min="9" max="9" width="2.21875" style="48" customWidth="1"/>
    <col min="10" max="184" width="2.21875" style="25" customWidth="1"/>
    <col min="185" max="16384" width="8.88671875" style="25"/>
  </cols>
  <sheetData>
    <row r="1" spans="3:9" s="23" customFormat="1" x14ac:dyDescent="0.2">
      <c r="C1" s="99" t="s">
        <v>110</v>
      </c>
      <c r="D1" s="99"/>
      <c r="E1" s="99"/>
      <c r="F1" s="99"/>
      <c r="G1" s="99"/>
      <c r="H1" s="99"/>
      <c r="I1" s="99"/>
    </row>
    <row r="2" spans="3:9" s="24" customFormat="1" ht="15.75" customHeight="1" thickBot="1" x14ac:dyDescent="0.25">
      <c r="C2" s="100"/>
      <c r="D2" s="100"/>
      <c r="E2" s="100"/>
      <c r="F2" s="100"/>
      <c r="G2" s="100"/>
      <c r="H2" s="100"/>
      <c r="I2" s="100"/>
    </row>
    <row r="3" spans="3:9" ht="15.75" thickTop="1" x14ac:dyDescent="0.2"/>
    <row r="7" spans="3:9" x14ac:dyDescent="0.2">
      <c r="C7" s="49"/>
      <c r="D7" s="49"/>
      <c r="E7" s="49"/>
      <c r="F7" s="49"/>
      <c r="G7" s="49"/>
      <c r="H7" s="49"/>
      <c r="I7" s="50"/>
    </row>
    <row r="8" spans="3:9" x14ac:dyDescent="0.2">
      <c r="C8" s="51"/>
      <c r="D8" s="52"/>
      <c r="E8" s="52"/>
      <c r="F8" s="52"/>
      <c r="G8" s="52"/>
      <c r="H8" s="52"/>
      <c r="I8" s="29"/>
    </row>
    <row r="9" spans="3:9" ht="15" hidden="1" customHeight="1" x14ac:dyDescent="0.2">
      <c r="C9" s="51"/>
      <c r="D9" s="27"/>
      <c r="E9" s="27"/>
      <c r="F9" s="27"/>
      <c r="G9" s="27"/>
      <c r="H9" s="27"/>
      <c r="I9" s="29"/>
    </row>
    <row r="10" spans="3:9" ht="15" hidden="1" customHeight="1" x14ac:dyDescent="0.2">
      <c r="C10" s="51"/>
      <c r="E10" s="27"/>
      <c r="F10" s="27"/>
      <c r="G10" s="27"/>
      <c r="H10" s="27"/>
      <c r="I10" s="29"/>
    </row>
    <row r="11" spans="3:9" ht="15" hidden="1" customHeight="1" x14ac:dyDescent="0.25">
      <c r="C11" s="51"/>
      <c r="D11" s="101" t="s">
        <v>74</v>
      </c>
      <c r="E11" s="101"/>
      <c r="F11" s="101"/>
      <c r="G11" s="101"/>
      <c r="H11" s="101"/>
      <c r="I11" s="29"/>
    </row>
    <row r="12" spans="3:9" ht="15" hidden="1" customHeight="1" x14ac:dyDescent="0.2">
      <c r="C12" s="51"/>
      <c r="D12" s="27"/>
      <c r="E12" s="27"/>
      <c r="F12" s="27"/>
      <c r="G12" s="27"/>
      <c r="H12" s="27"/>
      <c r="I12" s="29"/>
    </row>
    <row r="13" spans="3:9" ht="15" customHeight="1" x14ac:dyDescent="0.2">
      <c r="C13" s="51"/>
      <c r="D13" s="27"/>
      <c r="E13" s="27"/>
      <c r="F13" s="27"/>
      <c r="G13" s="27"/>
      <c r="H13" s="27"/>
      <c r="I13" s="29"/>
    </row>
    <row r="14" spans="3:9" ht="15" customHeight="1" x14ac:dyDescent="0.2">
      <c r="C14" s="51"/>
      <c r="D14" s="27"/>
      <c r="E14" s="27"/>
      <c r="F14" s="27"/>
      <c r="G14" s="27"/>
      <c r="H14" s="27"/>
      <c r="I14" s="29"/>
    </row>
    <row r="15" spans="3:9" ht="15" customHeight="1" x14ac:dyDescent="0.25">
      <c r="C15" s="51"/>
      <c r="D15" s="106" t="s">
        <v>160</v>
      </c>
      <c r="E15" s="106"/>
      <c r="F15" s="106"/>
      <c r="G15" s="106"/>
      <c r="H15" s="106"/>
      <c r="I15" s="29"/>
    </row>
    <row r="16" spans="3:9" ht="15" customHeight="1" x14ac:dyDescent="0.2">
      <c r="C16" s="51"/>
      <c r="D16" s="27"/>
      <c r="E16" s="27"/>
      <c r="F16" s="27"/>
      <c r="G16" s="27"/>
      <c r="H16" s="27"/>
      <c r="I16" s="29"/>
    </row>
    <row r="17" spans="3:9" ht="22.5" customHeight="1" x14ac:dyDescent="0.2">
      <c r="C17" s="53" t="s">
        <v>76</v>
      </c>
      <c r="D17" s="54" t="s">
        <v>183</v>
      </c>
      <c r="E17" s="55" t="s">
        <v>77</v>
      </c>
      <c r="F17" s="55" t="s">
        <v>78</v>
      </c>
      <c r="G17" s="54" t="s">
        <v>79</v>
      </c>
      <c r="H17" s="56" t="s">
        <v>80</v>
      </c>
      <c r="I17" s="57" t="s">
        <v>81</v>
      </c>
    </row>
    <row r="18" spans="3:9" ht="15" customHeight="1" x14ac:dyDescent="0.2">
      <c r="C18" s="90"/>
      <c r="D18" s="84"/>
      <c r="E18" s="85"/>
      <c r="F18" s="85"/>
      <c r="G18" s="85"/>
      <c r="H18" s="86"/>
      <c r="I18" s="89"/>
    </row>
    <row r="19" spans="3:9" ht="15" customHeight="1" x14ac:dyDescent="0.2">
      <c r="C19" s="51"/>
      <c r="D19" s="27"/>
      <c r="E19" s="27"/>
      <c r="F19" s="27"/>
      <c r="G19" s="27"/>
      <c r="H19" s="27"/>
      <c r="I19" s="58" t="s">
        <v>82</v>
      </c>
    </row>
    <row r="20" spans="3:9" ht="15" customHeight="1" x14ac:dyDescent="0.25">
      <c r="C20" s="59"/>
      <c r="D20" s="27"/>
      <c r="E20" s="27"/>
      <c r="F20" s="27"/>
      <c r="G20" s="60" t="s">
        <v>161</v>
      </c>
      <c r="H20" s="61">
        <f>SUM(tblS7[Neto površina])</f>
        <v>0</v>
      </c>
      <c r="I20" s="29"/>
    </row>
    <row r="21" spans="3:9" ht="15" customHeight="1" x14ac:dyDescent="0.2">
      <c r="C21" s="51"/>
      <c r="D21" s="27"/>
      <c r="E21" s="27"/>
      <c r="F21" s="27"/>
      <c r="G21" s="27"/>
      <c r="H21" s="27"/>
      <c r="I21" s="29"/>
    </row>
    <row r="22" spans="3:9" ht="15" customHeight="1" x14ac:dyDescent="0.25">
      <c r="C22" s="51"/>
      <c r="D22" s="27"/>
      <c r="E22" s="27"/>
      <c r="F22" s="27"/>
      <c r="G22" s="60" t="s">
        <v>162</v>
      </c>
      <c r="H22" s="61">
        <f>SUM(tblS7[Neto površina])*0.97</f>
        <v>0</v>
      </c>
      <c r="I22" s="29"/>
    </row>
    <row r="23" spans="3:9" ht="15" customHeight="1" x14ac:dyDescent="0.2">
      <c r="C23" s="51"/>
      <c r="D23" s="27"/>
      <c r="E23" s="27"/>
      <c r="F23" s="27"/>
      <c r="G23" s="27"/>
      <c r="H23" s="27"/>
      <c r="I23" s="29"/>
    </row>
    <row r="24" spans="3:9" ht="15" customHeight="1" x14ac:dyDescent="0.25">
      <c r="C24" s="29"/>
      <c r="D24" s="27"/>
      <c r="E24" s="27"/>
      <c r="F24" s="27"/>
      <c r="G24" s="60" t="s">
        <v>163</v>
      </c>
      <c r="H24" s="61">
        <v>0</v>
      </c>
      <c r="I24" s="29"/>
    </row>
    <row r="25" spans="3:9" ht="15" customHeight="1" x14ac:dyDescent="0.2">
      <c r="C25" s="51"/>
      <c r="D25"/>
      <c r="E25"/>
      <c r="F25"/>
      <c r="G25"/>
      <c r="H25"/>
      <c r="I25" s="29"/>
    </row>
    <row r="26" spans="3:9" ht="15" customHeight="1" x14ac:dyDescent="0.2">
      <c r="C26" s="62"/>
      <c r="D26" s="62"/>
      <c r="E26" s="62"/>
      <c r="F26" s="62"/>
      <c r="G26" s="62"/>
      <c r="H26" s="62"/>
      <c r="I26" s="62"/>
    </row>
    <row r="27" spans="3:9" ht="15" customHeight="1" x14ac:dyDescent="0.2">
      <c r="I27" s="63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2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1:I12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.21875" style="48" customWidth="1"/>
    <col min="4" max="4" width="8" style="48" customWidth="1"/>
    <col min="5" max="5" width="28.6640625" style="48" customWidth="1"/>
    <col min="6" max="7" width="9.44140625" style="48" customWidth="1"/>
    <col min="8" max="8" width="13.5546875" style="48" customWidth="1"/>
    <col min="9" max="9" width="2.21875" style="48" customWidth="1"/>
    <col min="10" max="184" width="2.21875" style="25" customWidth="1"/>
    <col min="185" max="16384" width="8.88671875" style="25"/>
  </cols>
  <sheetData>
    <row r="1" spans="3:9" s="23" customFormat="1" x14ac:dyDescent="0.2">
      <c r="C1" s="99" t="s">
        <v>110</v>
      </c>
      <c r="D1" s="99"/>
      <c r="E1" s="99"/>
      <c r="F1" s="99"/>
      <c r="G1" s="99"/>
      <c r="H1" s="99"/>
      <c r="I1" s="99"/>
    </row>
    <row r="2" spans="3:9" s="24" customFormat="1" ht="15.75" customHeight="1" thickBot="1" x14ac:dyDescent="0.25">
      <c r="C2" s="100"/>
      <c r="D2" s="100"/>
      <c r="E2" s="100"/>
      <c r="F2" s="100"/>
      <c r="G2" s="100"/>
      <c r="H2" s="100"/>
      <c r="I2" s="100"/>
    </row>
    <row r="3" spans="3:9" ht="15.75" thickTop="1" x14ac:dyDescent="0.2"/>
    <row r="7" spans="3:9" x14ac:dyDescent="0.2">
      <c r="C7" s="49"/>
      <c r="D7" s="49"/>
      <c r="E7" s="49"/>
      <c r="F7" s="49"/>
      <c r="G7" s="49"/>
      <c r="H7" s="49"/>
      <c r="I7" s="50"/>
    </row>
    <row r="8" spans="3:9" x14ac:dyDescent="0.2">
      <c r="C8" s="51"/>
      <c r="D8" s="52"/>
      <c r="E8" s="52"/>
      <c r="F8" s="52"/>
      <c r="G8" s="52"/>
      <c r="H8" s="52"/>
      <c r="I8" s="29"/>
    </row>
    <row r="9" spans="3:9" ht="15" hidden="1" customHeight="1" x14ac:dyDescent="0.2">
      <c r="C9" s="51"/>
      <c r="D9" s="27"/>
      <c r="E9" s="27"/>
      <c r="F9" s="27"/>
      <c r="G9" s="27"/>
      <c r="H9" s="27"/>
      <c r="I9" s="29"/>
    </row>
    <row r="10" spans="3:9" ht="15" hidden="1" customHeight="1" x14ac:dyDescent="0.2">
      <c r="C10" s="51"/>
      <c r="E10" s="27"/>
      <c r="F10" s="27"/>
      <c r="G10" s="27"/>
      <c r="H10" s="27"/>
      <c r="I10" s="29"/>
    </row>
    <row r="11" spans="3:9" ht="15" hidden="1" customHeight="1" x14ac:dyDescent="0.25">
      <c r="C11" s="51"/>
      <c r="D11" s="101" t="s">
        <v>74</v>
      </c>
      <c r="E11" s="101"/>
      <c r="F11" s="101"/>
      <c r="G11" s="101"/>
      <c r="H11" s="101"/>
      <c r="I11" s="29"/>
    </row>
    <row r="12" spans="3:9" ht="15" hidden="1" customHeight="1" x14ac:dyDescent="0.2">
      <c r="C12" s="51"/>
      <c r="D12" s="27"/>
      <c r="E12" s="27"/>
      <c r="F12" s="27"/>
      <c r="G12" s="27"/>
      <c r="H12" s="27"/>
      <c r="I12" s="29"/>
    </row>
    <row r="13" spans="3:9" ht="15" customHeight="1" x14ac:dyDescent="0.2">
      <c r="C13" s="51"/>
      <c r="D13" s="27"/>
      <c r="E13" s="27"/>
      <c r="F13" s="27"/>
      <c r="G13" s="27"/>
      <c r="H13" s="27"/>
      <c r="I13" s="29"/>
    </row>
    <row r="14" spans="3:9" ht="15" customHeight="1" x14ac:dyDescent="0.2">
      <c r="C14" s="51"/>
      <c r="D14" s="27"/>
      <c r="E14" s="27"/>
      <c r="F14" s="27"/>
      <c r="G14" s="27"/>
      <c r="H14" s="27"/>
      <c r="I14" s="29"/>
    </row>
    <row r="15" spans="3:9" ht="15" customHeight="1" x14ac:dyDescent="0.25">
      <c r="C15" s="51"/>
      <c r="D15" s="106" t="s">
        <v>164</v>
      </c>
      <c r="E15" s="106"/>
      <c r="F15" s="106"/>
      <c r="G15" s="106"/>
      <c r="H15" s="106"/>
      <c r="I15" s="29"/>
    </row>
    <row r="16" spans="3:9" ht="15" customHeight="1" x14ac:dyDescent="0.2">
      <c r="C16" s="51"/>
      <c r="D16" s="27"/>
      <c r="E16" s="27"/>
      <c r="F16" s="27"/>
      <c r="G16" s="27"/>
      <c r="H16" s="27"/>
      <c r="I16" s="29"/>
    </row>
    <row r="17" spans="3:9" ht="22.5" customHeight="1" x14ac:dyDescent="0.2">
      <c r="C17" s="53" t="s">
        <v>76</v>
      </c>
      <c r="D17" s="54" t="s">
        <v>183</v>
      </c>
      <c r="E17" s="55" t="s">
        <v>77</v>
      </c>
      <c r="F17" s="55" t="s">
        <v>78</v>
      </c>
      <c r="G17" s="54" t="s">
        <v>79</v>
      </c>
      <c r="H17" s="56" t="s">
        <v>80</v>
      </c>
      <c r="I17" s="57" t="s">
        <v>81</v>
      </c>
    </row>
    <row r="18" spans="3:9" ht="15" customHeight="1" x14ac:dyDescent="0.2">
      <c r="C18" s="90"/>
      <c r="D18" s="84"/>
      <c r="E18" s="85"/>
      <c r="F18" s="85"/>
      <c r="G18" s="85"/>
      <c r="H18" s="86"/>
      <c r="I18" s="89"/>
    </row>
    <row r="19" spans="3:9" ht="15" customHeight="1" x14ac:dyDescent="0.2">
      <c r="C19" s="51"/>
      <c r="D19" s="27"/>
      <c r="E19" s="27"/>
      <c r="F19" s="27"/>
      <c r="G19" s="27"/>
      <c r="H19" s="27"/>
      <c r="I19" s="58" t="s">
        <v>82</v>
      </c>
    </row>
    <row r="20" spans="3:9" ht="15" customHeight="1" x14ac:dyDescent="0.25">
      <c r="C20" s="59"/>
      <c r="D20" s="27"/>
      <c r="E20" s="27"/>
      <c r="F20" s="27"/>
      <c r="G20" s="60" t="s">
        <v>165</v>
      </c>
      <c r="H20" s="61">
        <f>SUM(tblS8[Neto površina])</f>
        <v>0</v>
      </c>
      <c r="I20" s="29"/>
    </row>
    <row r="21" spans="3:9" ht="15" customHeight="1" x14ac:dyDescent="0.2">
      <c r="C21" s="51"/>
      <c r="D21" s="27"/>
      <c r="E21" s="27"/>
      <c r="F21" s="27"/>
      <c r="G21" s="27"/>
      <c r="H21" s="27"/>
      <c r="I21" s="29"/>
    </row>
    <row r="22" spans="3:9" ht="15" customHeight="1" x14ac:dyDescent="0.25">
      <c r="C22" s="51"/>
      <c r="D22" s="27"/>
      <c r="E22" s="27"/>
      <c r="F22" s="27"/>
      <c r="G22" s="60" t="s">
        <v>166</v>
      </c>
      <c r="H22" s="61">
        <f>SUM(tblS8[Neto površina])*0.97</f>
        <v>0</v>
      </c>
      <c r="I22" s="29"/>
    </row>
    <row r="23" spans="3:9" ht="15" customHeight="1" x14ac:dyDescent="0.2">
      <c r="C23" s="51"/>
      <c r="D23" s="27"/>
      <c r="E23" s="27"/>
      <c r="F23" s="27"/>
      <c r="G23" s="27"/>
      <c r="H23" s="27"/>
      <c r="I23" s="29"/>
    </row>
    <row r="24" spans="3:9" ht="15" customHeight="1" x14ac:dyDescent="0.25">
      <c r="C24" s="29"/>
      <c r="D24" s="27"/>
      <c r="E24" s="27"/>
      <c r="F24" s="27"/>
      <c r="G24" s="60" t="s">
        <v>167</v>
      </c>
      <c r="H24" s="61">
        <v>0</v>
      </c>
      <c r="I24" s="29"/>
    </row>
    <row r="25" spans="3:9" ht="15" customHeight="1" x14ac:dyDescent="0.2">
      <c r="C25" s="51"/>
      <c r="D25"/>
      <c r="E25"/>
      <c r="F25"/>
      <c r="G25"/>
      <c r="H25"/>
      <c r="I25" s="29"/>
    </row>
    <row r="26" spans="3:9" ht="15" customHeight="1" x14ac:dyDescent="0.2">
      <c r="C26" s="62"/>
      <c r="D26" s="62"/>
      <c r="E26" s="62"/>
      <c r="F26" s="62"/>
      <c r="G26" s="62"/>
      <c r="H26" s="62"/>
      <c r="I26" s="62"/>
    </row>
    <row r="27" spans="3:9" ht="15" customHeight="1" x14ac:dyDescent="0.2">
      <c r="I27" s="63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2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1:I12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.21875" style="48" customWidth="1"/>
    <col min="4" max="4" width="8" style="48" customWidth="1"/>
    <col min="5" max="5" width="28.6640625" style="48" customWidth="1"/>
    <col min="6" max="7" width="9.44140625" style="48" customWidth="1"/>
    <col min="8" max="8" width="13.5546875" style="48" customWidth="1"/>
    <col min="9" max="9" width="2.21875" style="48" customWidth="1"/>
    <col min="10" max="184" width="2.21875" style="25" customWidth="1"/>
    <col min="185" max="16384" width="8.88671875" style="25"/>
  </cols>
  <sheetData>
    <row r="1" spans="3:9" s="23" customFormat="1" x14ac:dyDescent="0.2">
      <c r="C1" s="99" t="s">
        <v>110</v>
      </c>
      <c r="D1" s="99"/>
      <c r="E1" s="99"/>
      <c r="F1" s="99"/>
      <c r="G1" s="99"/>
      <c r="H1" s="99"/>
      <c r="I1" s="99"/>
    </row>
    <row r="2" spans="3:9" s="24" customFormat="1" ht="15.75" customHeight="1" thickBot="1" x14ac:dyDescent="0.25">
      <c r="C2" s="100"/>
      <c r="D2" s="100"/>
      <c r="E2" s="100"/>
      <c r="F2" s="100"/>
      <c r="G2" s="100"/>
      <c r="H2" s="100"/>
      <c r="I2" s="100"/>
    </row>
    <row r="3" spans="3:9" ht="15.75" thickTop="1" x14ac:dyDescent="0.2"/>
    <row r="7" spans="3:9" x14ac:dyDescent="0.2">
      <c r="C7" s="49"/>
      <c r="D7" s="49"/>
      <c r="E7" s="49"/>
      <c r="F7" s="49"/>
      <c r="G7" s="49"/>
      <c r="H7" s="49"/>
      <c r="I7" s="50"/>
    </row>
    <row r="8" spans="3:9" x14ac:dyDescent="0.2">
      <c r="C8" s="51"/>
      <c r="D8" s="52"/>
      <c r="E8" s="52"/>
      <c r="F8" s="52"/>
      <c r="G8" s="52"/>
      <c r="H8" s="52"/>
      <c r="I8" s="29"/>
    </row>
    <row r="9" spans="3:9" ht="15" hidden="1" customHeight="1" x14ac:dyDescent="0.2">
      <c r="C9" s="51"/>
      <c r="D9" s="27"/>
      <c r="E9" s="27"/>
      <c r="F9" s="27"/>
      <c r="G9" s="27"/>
      <c r="H9" s="27"/>
      <c r="I9" s="29"/>
    </row>
    <row r="10" spans="3:9" ht="15" hidden="1" customHeight="1" x14ac:dyDescent="0.2">
      <c r="C10" s="51"/>
      <c r="E10" s="27"/>
      <c r="F10" s="27"/>
      <c r="G10" s="27"/>
      <c r="H10" s="27"/>
      <c r="I10" s="29"/>
    </row>
    <row r="11" spans="3:9" ht="15" hidden="1" customHeight="1" x14ac:dyDescent="0.25">
      <c r="C11" s="51"/>
      <c r="D11" s="101" t="s">
        <v>74</v>
      </c>
      <c r="E11" s="101"/>
      <c r="F11" s="101"/>
      <c r="G11" s="101"/>
      <c r="H11" s="101"/>
      <c r="I11" s="29"/>
    </row>
    <row r="12" spans="3:9" ht="15" hidden="1" customHeight="1" x14ac:dyDescent="0.2">
      <c r="C12" s="51"/>
      <c r="D12" s="27"/>
      <c r="E12" s="27"/>
      <c r="F12" s="27"/>
      <c r="G12" s="27"/>
      <c r="H12" s="27"/>
      <c r="I12" s="29"/>
    </row>
    <row r="13" spans="3:9" ht="15" customHeight="1" x14ac:dyDescent="0.2">
      <c r="C13" s="51"/>
      <c r="D13" s="27"/>
      <c r="E13" s="27"/>
      <c r="F13" s="27"/>
      <c r="G13" s="27"/>
      <c r="H13" s="27"/>
      <c r="I13" s="29"/>
    </row>
    <row r="14" spans="3:9" ht="15" customHeight="1" x14ac:dyDescent="0.2">
      <c r="C14" s="51"/>
      <c r="D14" s="27"/>
      <c r="E14" s="27"/>
      <c r="F14" s="27"/>
      <c r="G14" s="27"/>
      <c r="H14" s="27"/>
      <c r="I14" s="29"/>
    </row>
    <row r="15" spans="3:9" ht="15" customHeight="1" x14ac:dyDescent="0.25">
      <c r="C15" s="51"/>
      <c r="D15" s="106" t="s">
        <v>168</v>
      </c>
      <c r="E15" s="106"/>
      <c r="F15" s="106"/>
      <c r="G15" s="106"/>
      <c r="H15" s="106"/>
      <c r="I15" s="29"/>
    </row>
    <row r="16" spans="3:9" ht="15" customHeight="1" x14ac:dyDescent="0.2">
      <c r="C16" s="51"/>
      <c r="D16" s="27"/>
      <c r="E16" s="27"/>
      <c r="F16" s="27"/>
      <c r="G16" s="27"/>
      <c r="H16" s="27"/>
      <c r="I16" s="29"/>
    </row>
    <row r="17" spans="3:9" ht="22.5" customHeight="1" x14ac:dyDescent="0.2">
      <c r="C17" s="53" t="s">
        <v>76</v>
      </c>
      <c r="D17" s="54" t="s">
        <v>183</v>
      </c>
      <c r="E17" s="55" t="s">
        <v>77</v>
      </c>
      <c r="F17" s="55" t="s">
        <v>78</v>
      </c>
      <c r="G17" s="54" t="s">
        <v>79</v>
      </c>
      <c r="H17" s="56" t="s">
        <v>80</v>
      </c>
      <c r="I17" s="57" t="s">
        <v>81</v>
      </c>
    </row>
    <row r="18" spans="3:9" ht="15" customHeight="1" x14ac:dyDescent="0.2">
      <c r="C18" s="90"/>
      <c r="D18" s="84"/>
      <c r="E18" s="85"/>
      <c r="F18" s="85"/>
      <c r="G18" s="85"/>
      <c r="H18" s="86"/>
      <c r="I18" s="89"/>
    </row>
    <row r="19" spans="3:9" ht="15" customHeight="1" x14ac:dyDescent="0.2">
      <c r="C19" s="51"/>
      <c r="D19" s="27"/>
      <c r="E19" s="27"/>
      <c r="F19" s="27"/>
      <c r="G19" s="27"/>
      <c r="H19" s="27"/>
      <c r="I19" s="58" t="s">
        <v>82</v>
      </c>
    </row>
    <row r="20" spans="3:9" ht="15" customHeight="1" x14ac:dyDescent="0.25">
      <c r="C20" s="59"/>
      <c r="D20" s="27"/>
      <c r="E20" s="27"/>
      <c r="F20" s="27"/>
      <c r="G20" s="60" t="s">
        <v>169</v>
      </c>
      <c r="H20" s="61">
        <f>SUM(tblS9[Neto površina])</f>
        <v>0</v>
      </c>
      <c r="I20" s="29"/>
    </row>
    <row r="21" spans="3:9" ht="15" customHeight="1" x14ac:dyDescent="0.2">
      <c r="C21" s="51"/>
      <c r="D21" s="27"/>
      <c r="E21" s="27"/>
      <c r="F21" s="27"/>
      <c r="G21" s="27"/>
      <c r="H21" s="27"/>
      <c r="I21" s="29"/>
    </row>
    <row r="22" spans="3:9" ht="15" customHeight="1" x14ac:dyDescent="0.25">
      <c r="C22" s="51"/>
      <c r="D22" s="27"/>
      <c r="E22" s="27"/>
      <c r="F22" s="27"/>
      <c r="G22" s="60" t="s">
        <v>170</v>
      </c>
      <c r="H22" s="61">
        <f>SUM(tblS9[Neto površina])*0.97</f>
        <v>0</v>
      </c>
      <c r="I22" s="29"/>
    </row>
    <row r="23" spans="3:9" ht="15" customHeight="1" x14ac:dyDescent="0.2">
      <c r="C23" s="51"/>
      <c r="D23" s="27"/>
      <c r="E23" s="27"/>
      <c r="F23" s="27"/>
      <c r="G23" s="27"/>
      <c r="H23" s="27"/>
      <c r="I23" s="29"/>
    </row>
    <row r="24" spans="3:9" ht="15" customHeight="1" x14ac:dyDescent="0.25">
      <c r="C24" s="29"/>
      <c r="D24" s="27"/>
      <c r="E24" s="27"/>
      <c r="F24" s="27"/>
      <c r="G24" s="60" t="s">
        <v>171</v>
      </c>
      <c r="H24" s="61">
        <v>0</v>
      </c>
      <c r="I24" s="29"/>
    </row>
    <row r="25" spans="3:9" ht="15" customHeight="1" x14ac:dyDescent="0.2">
      <c r="C25" s="51"/>
      <c r="D25"/>
      <c r="E25"/>
      <c r="F25"/>
      <c r="G25"/>
      <c r="H25"/>
      <c r="I25" s="29"/>
    </row>
    <row r="26" spans="3:9" ht="15" customHeight="1" x14ac:dyDescent="0.2">
      <c r="C26" s="62"/>
      <c r="D26" s="62"/>
      <c r="E26" s="62"/>
      <c r="F26" s="62"/>
      <c r="G26" s="62"/>
      <c r="H26" s="62"/>
      <c r="I26" s="62"/>
    </row>
    <row r="27" spans="3:9" ht="15" customHeight="1" x14ac:dyDescent="0.2">
      <c r="I27" s="63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2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C1:I12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.21875" style="48" customWidth="1"/>
    <col min="4" max="4" width="8" style="48" customWidth="1"/>
    <col min="5" max="5" width="28.6640625" style="48" customWidth="1"/>
    <col min="6" max="7" width="9.44140625" style="48" customWidth="1"/>
    <col min="8" max="8" width="13.5546875" style="48" customWidth="1"/>
    <col min="9" max="9" width="2.21875" style="48" customWidth="1"/>
    <col min="10" max="184" width="2.21875" style="25" customWidth="1"/>
    <col min="185" max="16384" width="8.88671875" style="25"/>
  </cols>
  <sheetData>
    <row r="1" spans="3:9" s="23" customFormat="1" x14ac:dyDescent="0.2">
      <c r="C1" s="99" t="s">
        <v>110</v>
      </c>
      <c r="D1" s="99"/>
      <c r="E1" s="99"/>
      <c r="F1" s="99"/>
      <c r="G1" s="99"/>
      <c r="H1" s="99"/>
      <c r="I1" s="99"/>
    </row>
    <row r="2" spans="3:9" s="24" customFormat="1" ht="15.75" customHeight="1" thickBot="1" x14ac:dyDescent="0.25">
      <c r="C2" s="100"/>
      <c r="D2" s="100"/>
      <c r="E2" s="100"/>
      <c r="F2" s="100"/>
      <c r="G2" s="100"/>
      <c r="H2" s="100"/>
      <c r="I2" s="100"/>
    </row>
    <row r="3" spans="3:9" ht="15.75" thickTop="1" x14ac:dyDescent="0.2"/>
    <row r="7" spans="3:9" x14ac:dyDescent="0.2">
      <c r="C7" s="49"/>
      <c r="D7" s="49"/>
      <c r="E7" s="49"/>
      <c r="F7" s="49"/>
      <c r="G7" s="49"/>
      <c r="H7" s="49"/>
      <c r="I7" s="50"/>
    </row>
    <row r="8" spans="3:9" x14ac:dyDescent="0.2">
      <c r="C8" s="51"/>
      <c r="D8" s="52"/>
      <c r="E8" s="52"/>
      <c r="F8" s="52"/>
      <c r="G8" s="52"/>
      <c r="H8" s="52"/>
      <c r="I8" s="29"/>
    </row>
    <row r="9" spans="3:9" ht="15" hidden="1" customHeight="1" x14ac:dyDescent="0.2">
      <c r="C9" s="51"/>
      <c r="D9" s="27"/>
      <c r="E9" s="27"/>
      <c r="F9" s="27"/>
      <c r="G9" s="27"/>
      <c r="H9" s="27"/>
      <c r="I9" s="29"/>
    </row>
    <row r="10" spans="3:9" ht="15" hidden="1" customHeight="1" x14ac:dyDescent="0.2">
      <c r="C10" s="51"/>
      <c r="E10" s="27"/>
      <c r="F10" s="27"/>
      <c r="G10" s="27"/>
      <c r="H10" s="27"/>
      <c r="I10" s="29"/>
    </row>
    <row r="11" spans="3:9" ht="15" hidden="1" customHeight="1" x14ac:dyDescent="0.25">
      <c r="C11" s="51"/>
      <c r="D11" s="101" t="s">
        <v>74</v>
      </c>
      <c r="E11" s="101"/>
      <c r="F11" s="101"/>
      <c r="G11" s="101"/>
      <c r="H11" s="101"/>
      <c r="I11" s="29"/>
    </row>
    <row r="12" spans="3:9" ht="15" hidden="1" customHeight="1" x14ac:dyDescent="0.2">
      <c r="C12" s="51"/>
      <c r="D12" s="27"/>
      <c r="E12" s="27"/>
      <c r="F12" s="27"/>
      <c r="G12" s="27"/>
      <c r="H12" s="27"/>
      <c r="I12" s="29"/>
    </row>
    <row r="13" spans="3:9" ht="15" customHeight="1" x14ac:dyDescent="0.2">
      <c r="C13" s="51"/>
      <c r="D13" s="27"/>
      <c r="E13" s="27"/>
      <c r="F13" s="27"/>
      <c r="G13" s="27"/>
      <c r="H13" s="27"/>
      <c r="I13" s="29"/>
    </row>
    <row r="14" spans="3:9" ht="15" customHeight="1" x14ac:dyDescent="0.2">
      <c r="C14" s="51"/>
      <c r="D14" s="27"/>
      <c r="E14" s="27"/>
      <c r="F14" s="27"/>
      <c r="G14" s="27"/>
      <c r="H14" s="27"/>
      <c r="I14" s="29"/>
    </row>
    <row r="15" spans="3:9" ht="15" customHeight="1" x14ac:dyDescent="0.25">
      <c r="C15" s="51"/>
      <c r="D15" s="106" t="s">
        <v>172</v>
      </c>
      <c r="E15" s="106"/>
      <c r="F15" s="106"/>
      <c r="G15" s="106"/>
      <c r="H15" s="106"/>
      <c r="I15" s="29"/>
    </row>
    <row r="16" spans="3:9" ht="15" customHeight="1" x14ac:dyDescent="0.2">
      <c r="C16" s="51"/>
      <c r="D16" s="27"/>
      <c r="E16" s="27"/>
      <c r="F16" s="27"/>
      <c r="G16" s="27"/>
      <c r="H16" s="27"/>
      <c r="I16" s="29"/>
    </row>
    <row r="17" spans="3:9" ht="22.5" customHeight="1" x14ac:dyDescent="0.2">
      <c r="C17" s="53" t="s">
        <v>76</v>
      </c>
      <c r="D17" s="54" t="s">
        <v>183</v>
      </c>
      <c r="E17" s="55" t="s">
        <v>77</v>
      </c>
      <c r="F17" s="55" t="s">
        <v>78</v>
      </c>
      <c r="G17" s="54" t="s">
        <v>79</v>
      </c>
      <c r="H17" s="56" t="s">
        <v>80</v>
      </c>
      <c r="I17" s="57" t="s">
        <v>81</v>
      </c>
    </row>
    <row r="18" spans="3:9" ht="15" customHeight="1" x14ac:dyDescent="0.2">
      <c r="C18" s="90"/>
      <c r="D18" s="84"/>
      <c r="E18" s="85"/>
      <c r="F18" s="85"/>
      <c r="G18" s="85"/>
      <c r="H18" s="86"/>
      <c r="I18" s="89"/>
    </row>
    <row r="19" spans="3:9" ht="15" customHeight="1" x14ac:dyDescent="0.2">
      <c r="C19" s="51"/>
      <c r="D19" s="27"/>
      <c r="E19" s="27"/>
      <c r="F19" s="27"/>
      <c r="G19" s="27"/>
      <c r="H19" s="27"/>
      <c r="I19" s="58" t="s">
        <v>82</v>
      </c>
    </row>
    <row r="20" spans="3:9" ht="15" customHeight="1" x14ac:dyDescent="0.25">
      <c r="C20" s="59"/>
      <c r="D20" s="27"/>
      <c r="E20" s="27"/>
      <c r="F20" s="27"/>
      <c r="G20" s="60" t="s">
        <v>173</v>
      </c>
      <c r="H20" s="61">
        <f>SUM(tblS10[Neto površina])</f>
        <v>0</v>
      </c>
      <c r="I20" s="29"/>
    </row>
    <row r="21" spans="3:9" ht="15" customHeight="1" x14ac:dyDescent="0.2">
      <c r="C21" s="51"/>
      <c r="D21" s="27"/>
      <c r="E21" s="27"/>
      <c r="F21" s="27"/>
      <c r="G21" s="27"/>
      <c r="H21" s="27"/>
      <c r="I21" s="29"/>
    </row>
    <row r="22" spans="3:9" ht="15" customHeight="1" x14ac:dyDescent="0.25">
      <c r="C22" s="51"/>
      <c r="D22" s="27"/>
      <c r="E22" s="27"/>
      <c r="F22" s="27"/>
      <c r="G22" s="60" t="s">
        <v>174</v>
      </c>
      <c r="H22" s="61">
        <f>SUM(tblS10[Neto površina])*0.97</f>
        <v>0</v>
      </c>
      <c r="I22" s="29"/>
    </row>
    <row r="23" spans="3:9" ht="15" customHeight="1" x14ac:dyDescent="0.2">
      <c r="C23" s="51"/>
      <c r="D23" s="27"/>
      <c r="E23" s="27"/>
      <c r="F23" s="27"/>
      <c r="G23" s="27"/>
      <c r="H23" s="27"/>
      <c r="I23" s="29"/>
    </row>
    <row r="24" spans="3:9" ht="15" customHeight="1" x14ac:dyDescent="0.25">
      <c r="C24" s="29"/>
      <c r="D24" s="27"/>
      <c r="E24" s="27"/>
      <c r="F24" s="27"/>
      <c r="G24" s="60" t="s">
        <v>175</v>
      </c>
      <c r="H24" s="61">
        <v>0</v>
      </c>
      <c r="I24" s="29"/>
    </row>
    <row r="25" spans="3:9" ht="15" customHeight="1" x14ac:dyDescent="0.2">
      <c r="C25" s="51"/>
      <c r="D25"/>
      <c r="E25"/>
      <c r="F25"/>
      <c r="G25"/>
      <c r="H25"/>
      <c r="I25" s="29"/>
    </row>
    <row r="26" spans="3:9" ht="15" customHeight="1" x14ac:dyDescent="0.2">
      <c r="C26" s="62"/>
      <c r="D26" s="62"/>
      <c r="E26" s="62"/>
      <c r="F26" s="62"/>
      <c r="G26" s="62"/>
      <c r="H26" s="62"/>
      <c r="I26" s="62"/>
    </row>
    <row r="27" spans="3:9" ht="15" customHeight="1" x14ac:dyDescent="0.2">
      <c r="I27" s="63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101" ht="15.75" customHeight="1" x14ac:dyDescent="0.2"/>
    <row r="122" ht="15" customHeight="1" x14ac:dyDescent="0.2"/>
  </sheetData>
  <mergeCells count="3">
    <mergeCell ref="C1:I2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1:I121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.21875" style="48" customWidth="1"/>
    <col min="4" max="4" width="8" style="48" customWidth="1"/>
    <col min="5" max="5" width="28.6640625" style="48" customWidth="1"/>
    <col min="6" max="7" width="9.44140625" style="48" customWidth="1"/>
    <col min="8" max="8" width="13.5546875" style="48" customWidth="1"/>
    <col min="9" max="9" width="2.21875" style="48" customWidth="1"/>
    <col min="10" max="184" width="2.21875" style="25" customWidth="1"/>
    <col min="185" max="16384" width="8.88671875" style="25"/>
  </cols>
  <sheetData>
    <row r="1" spans="3:9" s="23" customFormat="1" x14ac:dyDescent="0.2">
      <c r="C1" s="99" t="s">
        <v>110</v>
      </c>
      <c r="D1" s="99"/>
      <c r="E1" s="99"/>
      <c r="F1" s="99"/>
      <c r="G1" s="99"/>
      <c r="H1" s="99"/>
      <c r="I1" s="99"/>
    </row>
    <row r="2" spans="3:9" s="24" customFormat="1" ht="15.75" customHeight="1" thickBot="1" x14ac:dyDescent="0.25">
      <c r="C2" s="100"/>
      <c r="D2" s="100"/>
      <c r="E2" s="100"/>
      <c r="F2" s="100"/>
      <c r="G2" s="100"/>
      <c r="H2" s="100"/>
      <c r="I2" s="100"/>
    </row>
    <row r="3" spans="3:9" ht="15.75" thickTop="1" x14ac:dyDescent="0.2"/>
    <row r="7" spans="3:9" x14ac:dyDescent="0.2">
      <c r="C7" s="49"/>
      <c r="D7" s="49"/>
      <c r="E7" s="49"/>
      <c r="F7" s="49"/>
      <c r="G7" s="49"/>
      <c r="H7" s="49"/>
      <c r="I7" s="50"/>
    </row>
    <row r="8" spans="3:9" x14ac:dyDescent="0.2">
      <c r="C8" s="51"/>
      <c r="D8" s="52"/>
      <c r="E8" s="52"/>
      <c r="F8" s="52"/>
      <c r="G8" s="52"/>
      <c r="H8" s="52"/>
      <c r="I8" s="29"/>
    </row>
    <row r="9" spans="3:9" ht="15" hidden="1" customHeight="1" x14ac:dyDescent="0.2">
      <c r="C9" s="51"/>
      <c r="D9" s="27"/>
      <c r="E9" s="27"/>
      <c r="F9" s="27"/>
      <c r="G9" s="27"/>
      <c r="H9" s="27"/>
      <c r="I9" s="29"/>
    </row>
    <row r="10" spans="3:9" ht="15" hidden="1" customHeight="1" x14ac:dyDescent="0.2">
      <c r="C10" s="51"/>
      <c r="E10" s="27"/>
      <c r="F10" s="27"/>
      <c r="G10" s="27"/>
      <c r="H10" s="27"/>
      <c r="I10" s="29"/>
    </row>
    <row r="11" spans="3:9" ht="15" hidden="1" customHeight="1" x14ac:dyDescent="0.25">
      <c r="C11" s="51"/>
      <c r="D11" s="101" t="s">
        <v>74</v>
      </c>
      <c r="E11" s="101"/>
      <c r="F11" s="101"/>
      <c r="G11" s="101"/>
      <c r="H11" s="101"/>
      <c r="I11" s="29"/>
    </row>
    <row r="12" spans="3:9" ht="15" hidden="1" customHeight="1" x14ac:dyDescent="0.2">
      <c r="C12" s="51"/>
      <c r="D12" s="27"/>
      <c r="E12" s="27"/>
      <c r="F12" s="27"/>
      <c r="G12" s="27"/>
      <c r="H12" s="27"/>
      <c r="I12" s="29"/>
    </row>
    <row r="13" spans="3:9" ht="15" customHeight="1" x14ac:dyDescent="0.2">
      <c r="C13" s="51"/>
      <c r="D13" s="27"/>
      <c r="E13" s="27"/>
      <c r="F13" s="27"/>
      <c r="G13" s="27"/>
      <c r="H13" s="27"/>
      <c r="I13" s="29"/>
    </row>
    <row r="14" spans="3:9" ht="15" customHeight="1" x14ac:dyDescent="0.2">
      <c r="C14" s="51"/>
      <c r="D14" s="27"/>
      <c r="E14" s="27"/>
      <c r="F14" s="27"/>
      <c r="G14" s="27"/>
      <c r="H14" s="27"/>
      <c r="I14" s="29"/>
    </row>
    <row r="15" spans="3:9" ht="15" customHeight="1" x14ac:dyDescent="0.25">
      <c r="C15" s="51"/>
      <c r="D15" s="106" t="s">
        <v>176</v>
      </c>
      <c r="E15" s="106"/>
      <c r="F15" s="106"/>
      <c r="G15" s="106"/>
      <c r="H15" s="106"/>
      <c r="I15" s="29"/>
    </row>
    <row r="16" spans="3:9" ht="15" customHeight="1" x14ac:dyDescent="0.2">
      <c r="C16" s="51"/>
      <c r="D16" s="27"/>
      <c r="E16" s="27"/>
      <c r="F16" s="27"/>
      <c r="G16" s="27"/>
      <c r="H16" s="27"/>
      <c r="I16" s="29"/>
    </row>
    <row r="17" spans="3:9" ht="22.5" customHeight="1" x14ac:dyDescent="0.2">
      <c r="C17" s="53" t="s">
        <v>76</v>
      </c>
      <c r="D17" s="54" t="s">
        <v>183</v>
      </c>
      <c r="E17" s="55" t="s">
        <v>77</v>
      </c>
      <c r="F17" s="55" t="s">
        <v>78</v>
      </c>
      <c r="G17" s="54" t="s">
        <v>79</v>
      </c>
      <c r="H17" s="56" t="s">
        <v>80</v>
      </c>
      <c r="I17" s="57" t="s">
        <v>81</v>
      </c>
    </row>
    <row r="18" spans="3:9" ht="15" customHeight="1" x14ac:dyDescent="0.2">
      <c r="C18" s="90"/>
      <c r="D18" s="84"/>
      <c r="E18" s="85"/>
      <c r="F18" s="85"/>
      <c r="G18" s="85"/>
      <c r="H18" s="86"/>
      <c r="I18" s="89"/>
    </row>
    <row r="19" spans="3:9" ht="15" customHeight="1" x14ac:dyDescent="0.2">
      <c r="C19" s="51"/>
      <c r="D19" s="27"/>
      <c r="E19" s="27"/>
      <c r="F19" s="27"/>
      <c r="G19" s="27"/>
      <c r="H19" s="27"/>
      <c r="I19" s="58" t="s">
        <v>82</v>
      </c>
    </row>
    <row r="20" spans="3:9" ht="15" customHeight="1" x14ac:dyDescent="0.25">
      <c r="C20" s="59"/>
      <c r="D20" s="27"/>
      <c r="E20" s="27"/>
      <c r="F20" s="27"/>
      <c r="G20" s="60" t="s">
        <v>177</v>
      </c>
      <c r="H20" s="61">
        <f>SUM(tblPk[Neto površina])</f>
        <v>0</v>
      </c>
      <c r="I20" s="29"/>
    </row>
    <row r="21" spans="3:9" ht="15" customHeight="1" x14ac:dyDescent="0.2">
      <c r="C21" s="51"/>
      <c r="D21" s="27"/>
      <c r="E21" s="27"/>
      <c r="F21" s="27"/>
      <c r="G21" s="27"/>
      <c r="H21" s="27"/>
      <c r="I21" s="29"/>
    </row>
    <row r="22" spans="3:9" ht="15" customHeight="1" x14ac:dyDescent="0.25">
      <c r="C22" s="51"/>
      <c r="D22" s="27"/>
      <c r="E22" s="27"/>
      <c r="F22" s="27"/>
      <c r="G22" s="60" t="s">
        <v>178</v>
      </c>
      <c r="H22" s="61">
        <f>SUM(tblPk[Neto površina])*0.97</f>
        <v>0</v>
      </c>
      <c r="I22" s="29"/>
    </row>
    <row r="23" spans="3:9" ht="15" customHeight="1" x14ac:dyDescent="0.2">
      <c r="C23" s="51"/>
      <c r="D23" s="27"/>
      <c r="E23" s="27"/>
      <c r="F23" s="27"/>
      <c r="G23" s="27"/>
      <c r="H23" s="27"/>
      <c r="I23" s="29"/>
    </row>
    <row r="24" spans="3:9" ht="15" customHeight="1" x14ac:dyDescent="0.25">
      <c r="C24" s="29"/>
      <c r="D24" s="27"/>
      <c r="E24" s="27"/>
      <c r="F24" s="27"/>
      <c r="G24" s="60" t="s">
        <v>179</v>
      </c>
      <c r="H24" s="61">
        <v>0</v>
      </c>
      <c r="I24" s="29"/>
    </row>
    <row r="25" spans="3:9" ht="15" customHeight="1" x14ac:dyDescent="0.2">
      <c r="C25" s="51"/>
      <c r="D25"/>
      <c r="E25"/>
      <c r="F25"/>
      <c r="G25"/>
      <c r="H25"/>
      <c r="I25" s="29"/>
    </row>
    <row r="26" spans="3:9" ht="15" customHeight="1" x14ac:dyDescent="0.2">
      <c r="C26" s="62"/>
      <c r="D26" s="62"/>
      <c r="E26" s="62"/>
      <c r="F26" s="62"/>
      <c r="G26" s="62"/>
      <c r="H26" s="62"/>
      <c r="I26" s="62"/>
    </row>
    <row r="27" spans="3:9" ht="15" customHeight="1" x14ac:dyDescent="0.2">
      <c r="I27" s="63"/>
    </row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2"/>
    <mergeCell ref="D11:H11"/>
    <mergeCell ref="D15:H15"/>
  </mergeCells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1:H206"/>
  <sheetViews>
    <sheetView showGridLines="0" showRowColHeaders="0" workbookViewId="0">
      <selection activeCell="A3" sqref="A3"/>
    </sheetView>
  </sheetViews>
  <sheetFormatPr defaultRowHeight="15" x14ac:dyDescent="0.2"/>
  <cols>
    <col min="1" max="3" width="2.21875" style="25" customWidth="1"/>
    <col min="4" max="4" width="28.5546875" style="25" customWidth="1"/>
    <col min="5" max="7" width="13.5546875" style="25" customWidth="1"/>
    <col min="8" max="189" width="2.21875" style="25" customWidth="1"/>
    <col min="190" max="16384" width="8.88671875" style="25"/>
  </cols>
  <sheetData>
    <row r="1" spans="3:8" s="23" customFormat="1" x14ac:dyDescent="0.2">
      <c r="C1" s="110" t="s">
        <v>110</v>
      </c>
      <c r="D1" s="110"/>
      <c r="E1" s="110"/>
      <c r="F1" s="110"/>
      <c r="G1" s="110"/>
      <c r="H1" s="110"/>
    </row>
    <row r="2" spans="3:8" s="24" customFormat="1" ht="15.75" customHeight="1" thickBot="1" x14ac:dyDescent="0.25">
      <c r="C2" s="111"/>
      <c r="D2" s="111"/>
      <c r="E2" s="111"/>
      <c r="F2" s="111"/>
      <c r="G2" s="111"/>
      <c r="H2" s="111"/>
    </row>
    <row r="3" spans="3:8" ht="15.75" thickTop="1" x14ac:dyDescent="0.2"/>
    <row r="7" spans="3:8" x14ac:dyDescent="0.2">
      <c r="C7" s="4"/>
      <c r="D7" s="4"/>
      <c r="E7" s="4"/>
      <c r="F7" s="4"/>
      <c r="G7" s="4"/>
      <c r="H7" s="64"/>
    </row>
    <row r="8" spans="3:8" x14ac:dyDescent="0.2">
      <c r="C8" s="6"/>
      <c r="D8" s="5"/>
      <c r="E8" s="5"/>
      <c r="F8" s="5"/>
      <c r="G8" s="5"/>
      <c r="H8" s="65"/>
    </row>
    <row r="9" spans="3:8" x14ac:dyDescent="0.2">
      <c r="C9" s="6"/>
      <c r="D9" s="7"/>
      <c r="E9" s="7"/>
      <c r="F9" s="7"/>
      <c r="G9" s="7"/>
      <c r="H9" s="65"/>
    </row>
    <row r="10" spans="3:8" x14ac:dyDescent="0.2">
      <c r="C10" s="6"/>
      <c r="D10" s="7"/>
      <c r="E10" s="7"/>
      <c r="F10" s="7"/>
      <c r="G10" s="7"/>
      <c r="H10" s="65"/>
    </row>
    <row r="11" spans="3:8" ht="15.75" x14ac:dyDescent="0.25">
      <c r="C11" s="6"/>
      <c r="D11" s="107" t="s">
        <v>86</v>
      </c>
      <c r="E11" s="107"/>
      <c r="F11" s="107"/>
      <c r="G11" s="107"/>
      <c r="H11" s="65"/>
    </row>
    <row r="12" spans="3:8" x14ac:dyDescent="0.2">
      <c r="C12" s="6"/>
      <c r="D12" s="7"/>
      <c r="E12" s="7"/>
      <c r="F12" s="7"/>
      <c r="G12" s="7"/>
      <c r="H12" s="65"/>
    </row>
    <row r="13" spans="3:8" ht="22.5" x14ac:dyDescent="0.2">
      <c r="C13" s="6"/>
      <c r="D13" s="66" t="s">
        <v>87</v>
      </c>
      <c r="E13" s="67" t="s">
        <v>80</v>
      </c>
      <c r="F13" s="68" t="s">
        <v>88</v>
      </c>
      <c r="G13" s="69" t="s">
        <v>89</v>
      </c>
      <c r="H13" s="65"/>
    </row>
    <row r="14" spans="3:8" hidden="1" x14ac:dyDescent="0.2">
      <c r="C14" s="6"/>
      <c r="D14" s="70" t="s">
        <v>90</v>
      </c>
      <c r="E14" s="71">
        <f>Po!UkupnaBrutoPovrsina</f>
        <v>0</v>
      </c>
      <c r="F14" s="71">
        <v>0</v>
      </c>
      <c r="G14" s="71">
        <v>0</v>
      </c>
      <c r="H14" s="65"/>
    </row>
    <row r="15" spans="3:8" hidden="1" x14ac:dyDescent="0.2">
      <c r="C15" s="6"/>
      <c r="D15" s="70" t="s">
        <v>91</v>
      </c>
      <c r="E15" s="71">
        <f>Su!UkupnaBrutoPovrsina</f>
        <v>0</v>
      </c>
      <c r="F15" s="71">
        <v>0</v>
      </c>
      <c r="G15" s="71">
        <v>0</v>
      </c>
      <c r="H15" s="65"/>
    </row>
    <row r="16" spans="3:8" hidden="1" x14ac:dyDescent="0.2">
      <c r="C16" s="6"/>
      <c r="D16" s="70" t="s">
        <v>92</v>
      </c>
      <c r="E16" s="71">
        <f>Pr!UkupnaBrutoPovrsina</f>
        <v>0</v>
      </c>
      <c r="F16" s="71">
        <v>0</v>
      </c>
      <c r="G16" s="71">
        <v>0</v>
      </c>
      <c r="H16" s="65"/>
    </row>
    <row r="17" spans="3:8" hidden="1" x14ac:dyDescent="0.2">
      <c r="C17" s="6"/>
      <c r="D17" s="70" t="s">
        <v>93</v>
      </c>
      <c r="E17" s="71">
        <f>'S1'!UkupnaBrutoPovrsina</f>
        <v>0</v>
      </c>
      <c r="F17" s="71">
        <v>0</v>
      </c>
      <c r="G17" s="71">
        <v>0</v>
      </c>
      <c r="H17" s="65"/>
    </row>
    <row r="18" spans="3:8" hidden="1" x14ac:dyDescent="0.2">
      <c r="C18" s="6"/>
      <c r="D18" s="70" t="s">
        <v>94</v>
      </c>
      <c r="E18" s="71">
        <f>'S2'!UkupnaBrutoPovrsina</f>
        <v>0</v>
      </c>
      <c r="F18" s="71">
        <v>0</v>
      </c>
      <c r="G18" s="71">
        <v>0</v>
      </c>
      <c r="H18" s="65"/>
    </row>
    <row r="19" spans="3:8" hidden="1" x14ac:dyDescent="0.2">
      <c r="C19" s="6"/>
      <c r="D19" s="70" t="s">
        <v>95</v>
      </c>
      <c r="E19" s="71">
        <f>'S3'!UkupnaBrutoPovrsina</f>
        <v>0</v>
      </c>
      <c r="F19" s="71">
        <v>0</v>
      </c>
      <c r="G19" s="71">
        <v>0</v>
      </c>
      <c r="H19" s="65"/>
    </row>
    <row r="20" spans="3:8" hidden="1" x14ac:dyDescent="0.2">
      <c r="C20" s="6"/>
      <c r="D20" s="70" t="s">
        <v>96</v>
      </c>
      <c r="E20" s="71">
        <f>'S4'!UkupnaBrutoPovrsina</f>
        <v>0</v>
      </c>
      <c r="F20" s="71">
        <v>0</v>
      </c>
      <c r="G20" s="71">
        <v>0</v>
      </c>
      <c r="H20" s="65"/>
    </row>
    <row r="21" spans="3:8" hidden="1" x14ac:dyDescent="0.2">
      <c r="C21" s="6"/>
      <c r="D21" s="70" t="s">
        <v>97</v>
      </c>
      <c r="E21" s="71">
        <f>'S5'!UkupnaBrutoPovrsina</f>
        <v>0</v>
      </c>
      <c r="F21" s="71">
        <v>0</v>
      </c>
      <c r="G21" s="71">
        <v>0</v>
      </c>
      <c r="H21" s="65"/>
    </row>
    <row r="22" spans="3:8" hidden="1" x14ac:dyDescent="0.2">
      <c r="C22" s="6"/>
      <c r="D22" s="70" t="s">
        <v>98</v>
      </c>
      <c r="E22" s="71">
        <f>'S6'!UkupnaBrutoPovrsina</f>
        <v>0</v>
      </c>
      <c r="F22" s="71">
        <v>0</v>
      </c>
      <c r="G22" s="71">
        <v>0</v>
      </c>
      <c r="H22" s="65"/>
    </row>
    <row r="23" spans="3:8" hidden="1" x14ac:dyDescent="0.2">
      <c r="C23" s="6"/>
      <c r="D23" s="70" t="s">
        <v>99</v>
      </c>
      <c r="E23" s="71">
        <f>'S7'!UkupnaBrutoPovrsina</f>
        <v>0</v>
      </c>
      <c r="F23" s="71">
        <v>0</v>
      </c>
      <c r="G23" s="71">
        <v>0</v>
      </c>
      <c r="H23" s="65"/>
    </row>
    <row r="24" spans="3:8" hidden="1" x14ac:dyDescent="0.2">
      <c r="C24" s="6"/>
      <c r="D24" s="70" t="s">
        <v>100</v>
      </c>
      <c r="E24" s="71">
        <f>'S8'!UkupnaBrutoPovrsina</f>
        <v>0</v>
      </c>
      <c r="F24" s="71">
        <v>0</v>
      </c>
      <c r="G24" s="71">
        <v>0</v>
      </c>
      <c r="H24" s="65"/>
    </row>
    <row r="25" spans="3:8" hidden="1" x14ac:dyDescent="0.2">
      <c r="C25" s="6"/>
      <c r="D25" s="70" t="s">
        <v>101</v>
      </c>
      <c r="E25" s="71">
        <f>'S9'!UkupnaBrutoPovrsina</f>
        <v>0</v>
      </c>
      <c r="F25" s="71">
        <v>0</v>
      </c>
      <c r="G25" s="71">
        <v>0</v>
      </c>
      <c r="H25" s="65"/>
    </row>
    <row r="26" spans="3:8" hidden="1" x14ac:dyDescent="0.2">
      <c r="C26" s="6"/>
      <c r="D26" s="70" t="s">
        <v>102</v>
      </c>
      <c r="E26" s="71">
        <f>'S10'!UkupnaBrutoPovrsina</f>
        <v>0</v>
      </c>
      <c r="F26" s="71">
        <v>0</v>
      </c>
      <c r="G26" s="71">
        <v>0</v>
      </c>
      <c r="H26" s="65"/>
    </row>
    <row r="27" spans="3:8" hidden="1" x14ac:dyDescent="0.2">
      <c r="C27" s="6"/>
      <c r="D27" s="72" t="s">
        <v>103</v>
      </c>
      <c r="E27" s="73">
        <f>Pk!UkupnaBrutoPovrsina</f>
        <v>0</v>
      </c>
      <c r="F27" s="73">
        <v>0</v>
      </c>
      <c r="G27" s="73">
        <v>0</v>
      </c>
      <c r="H27" s="65"/>
    </row>
    <row r="28" spans="3:8" x14ac:dyDescent="0.2">
      <c r="C28" s="6"/>
      <c r="D28" s="7"/>
      <c r="E28" s="7"/>
      <c r="F28" s="7"/>
      <c r="G28" s="7"/>
      <c r="H28" s="65"/>
    </row>
    <row r="29" spans="3:8" ht="15.75" x14ac:dyDescent="0.25">
      <c r="C29" s="74"/>
      <c r="D29" s="7"/>
      <c r="E29" s="7"/>
      <c r="F29" s="75" t="s">
        <v>104</v>
      </c>
      <c r="G29" s="76">
        <f>SUM(Rekapitulacija!$E$14:$E$27)</f>
        <v>0</v>
      </c>
      <c r="H29" s="65"/>
    </row>
    <row r="30" spans="3:8" x14ac:dyDescent="0.2">
      <c r="C30" s="6"/>
      <c r="D30" s="7"/>
      <c r="E30" s="7"/>
      <c r="F30" s="7"/>
      <c r="G30" s="7"/>
      <c r="H30" s="65"/>
    </row>
    <row r="31" spans="3:8" ht="15.75" x14ac:dyDescent="0.25">
      <c r="C31" s="6"/>
      <c r="D31" s="7"/>
      <c r="E31" s="7"/>
      <c r="F31" s="75" t="s">
        <v>105</v>
      </c>
      <c r="G31" s="76">
        <f>SUM(Rekapitulacija!$F$14:$F$27)</f>
        <v>0</v>
      </c>
      <c r="H31" s="65"/>
    </row>
    <row r="32" spans="3:8" x14ac:dyDescent="0.2">
      <c r="C32" s="6"/>
      <c r="D32" s="7"/>
      <c r="E32" s="7"/>
      <c r="F32" s="7"/>
      <c r="G32" s="7"/>
      <c r="H32" s="65"/>
    </row>
    <row r="33" spans="3:8" ht="15.75" x14ac:dyDescent="0.25">
      <c r="C33" s="65"/>
      <c r="D33" s="7"/>
      <c r="E33" s="7"/>
      <c r="F33" s="75" t="s">
        <v>106</v>
      </c>
      <c r="G33" s="76">
        <f>SUM(Rekapitulacija!$G$14:$G$27)</f>
        <v>0</v>
      </c>
      <c r="H33" s="65"/>
    </row>
    <row r="34" spans="3:8" ht="15.75" x14ac:dyDescent="0.25">
      <c r="C34" s="65"/>
      <c r="D34" s="77"/>
      <c r="E34" s="77"/>
      <c r="F34" s="78"/>
      <c r="G34" s="79"/>
      <c r="H34" s="65"/>
    </row>
    <row r="35" spans="3:8" x14ac:dyDescent="0.2">
      <c r="C35" s="81" t="str">
        <f>IF(D35="...","*","")</f>
        <v>*</v>
      </c>
      <c r="D35" s="112" t="str">
        <f>IF(Podesavanja!ProjektnaOrganizacija=0,"...",Podesavanja!ProjektnaOrganizacija)</f>
        <v>...</v>
      </c>
      <c r="E35" s="112"/>
      <c r="F35" s="112"/>
      <c r="G35" s="112"/>
      <c r="H35" s="65"/>
    </row>
    <row r="36" spans="3:8" x14ac:dyDescent="0.2">
      <c r="C36" s="65"/>
      <c r="D36" s="113" t="s">
        <v>5</v>
      </c>
      <c r="E36" s="113"/>
      <c r="F36" s="113"/>
      <c r="G36" s="113"/>
      <c r="H36" s="65"/>
    </row>
    <row r="37" spans="3:8" ht="15.75" x14ac:dyDescent="0.25">
      <c r="C37" s="65"/>
      <c r="D37" s="7"/>
      <c r="E37" s="7"/>
      <c r="F37" s="75"/>
      <c r="G37" s="76"/>
      <c r="H37" s="65"/>
    </row>
    <row r="38" spans="3:8" ht="15.75" x14ac:dyDescent="0.25">
      <c r="C38" s="65"/>
      <c r="D38" s="7"/>
      <c r="E38" s="7"/>
      <c r="F38" s="75"/>
      <c r="G38" s="76"/>
      <c r="H38" s="65"/>
    </row>
    <row r="39" spans="3:8" ht="15.75" x14ac:dyDescent="0.25">
      <c r="C39" s="65"/>
      <c r="D39" s="7"/>
      <c r="E39" s="7"/>
      <c r="F39" s="75"/>
      <c r="G39" s="76"/>
      <c r="H39" s="65"/>
    </row>
    <row r="40" spans="3:8" ht="15.75" x14ac:dyDescent="0.25">
      <c r="C40" s="65"/>
      <c r="D40" s="7"/>
      <c r="E40" s="7"/>
      <c r="F40" s="75"/>
      <c r="G40" s="76"/>
      <c r="H40" s="65"/>
    </row>
    <row r="41" spans="3:8" ht="15.75" customHeight="1" x14ac:dyDescent="0.2">
      <c r="C41" s="81" t="str">
        <f>IF(D41="...","*","")</f>
        <v>*</v>
      </c>
      <c r="D41" s="108" t="str">
        <f>IF(Podesavanja!OdgovorniProjektant=0,"...",Podesavanja!OdgovorniProjektant)</f>
        <v>...</v>
      </c>
      <c r="E41" s="108"/>
      <c r="F41" s="108"/>
      <c r="G41" s="108"/>
      <c r="H41" s="65"/>
    </row>
    <row r="42" spans="3:8" ht="15.75" customHeight="1" x14ac:dyDescent="0.2">
      <c r="C42" s="65"/>
      <c r="D42" s="109" t="s">
        <v>57</v>
      </c>
      <c r="E42" s="109"/>
      <c r="F42" s="109"/>
      <c r="G42" s="109"/>
      <c r="H42" s="65"/>
    </row>
    <row r="43" spans="3:8" ht="15.75" x14ac:dyDescent="0.25">
      <c r="C43" s="65"/>
      <c r="D43" s="7"/>
      <c r="E43" s="7"/>
      <c r="F43" s="75"/>
      <c r="G43" s="76"/>
      <c r="H43" s="65"/>
    </row>
    <row r="44" spans="3:8" x14ac:dyDescent="0.2">
      <c r="C44" s="15"/>
      <c r="D44" s="15"/>
      <c r="E44" s="15"/>
      <c r="F44" s="15"/>
      <c r="G44" s="15"/>
      <c r="H44" s="15"/>
    </row>
    <row r="45" spans="3:8" x14ac:dyDescent="0.2">
      <c r="H45" s="80"/>
    </row>
    <row r="103" ht="15" customHeight="1" x14ac:dyDescent="0.2"/>
    <row r="185" ht="15.75" customHeight="1" x14ac:dyDescent="0.2"/>
    <row r="206" ht="15" customHeight="1" x14ac:dyDescent="0.2"/>
  </sheetData>
  <mergeCells count="6">
    <mergeCell ref="D11:G11"/>
    <mergeCell ref="D41:G41"/>
    <mergeCell ref="D42:G42"/>
    <mergeCell ref="C1:H2"/>
    <mergeCell ref="D35:G35"/>
    <mergeCell ref="D36:G36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C1:E122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3" width="2.21875" style="25" customWidth="1"/>
    <col min="4" max="4" width="69.77734375" style="25" customWidth="1"/>
    <col min="5" max="187" width="2.21875" style="25" customWidth="1"/>
    <col min="188" max="16384" width="8.88671875" style="25"/>
  </cols>
  <sheetData>
    <row r="1" spans="3:5" s="23" customFormat="1" x14ac:dyDescent="0.2">
      <c r="C1" s="102" t="s">
        <v>110</v>
      </c>
      <c r="D1" s="102"/>
      <c r="E1" s="102"/>
    </row>
    <row r="2" spans="3:5" s="24" customFormat="1" ht="15.75" customHeight="1" thickBot="1" x14ac:dyDescent="0.25">
      <c r="C2" s="103"/>
      <c r="D2" s="103"/>
      <c r="E2" s="103"/>
    </row>
    <row r="3" spans="3:5" ht="15.75" thickTop="1" x14ac:dyDescent="0.2"/>
    <row r="7" spans="3:5" x14ac:dyDescent="0.2">
      <c r="C7" s="4"/>
      <c r="D7" s="4"/>
      <c r="E7" s="4"/>
    </row>
    <row r="8" spans="3:5" x14ac:dyDescent="0.2">
      <c r="C8" s="6"/>
      <c r="D8" s="5"/>
      <c r="E8" s="6"/>
    </row>
    <row r="9" spans="3:5" x14ac:dyDescent="0.2">
      <c r="C9" s="6"/>
      <c r="D9" s="104" t="s">
        <v>59</v>
      </c>
      <c r="E9" s="6"/>
    </row>
    <row r="10" spans="3:5" x14ac:dyDescent="0.2">
      <c r="C10" s="6"/>
      <c r="D10" s="105"/>
      <c r="E10" s="6"/>
    </row>
    <row r="11" spans="3:5" x14ac:dyDescent="0.2">
      <c r="C11" s="6"/>
      <c r="D11" s="105"/>
      <c r="E11" s="6"/>
    </row>
    <row r="12" spans="3:5" x14ac:dyDescent="0.2">
      <c r="C12" s="6"/>
      <c r="D12" s="105"/>
      <c r="E12" s="6"/>
    </row>
    <row r="13" spans="3:5" x14ac:dyDescent="0.2">
      <c r="C13" s="6"/>
      <c r="D13" s="105"/>
      <c r="E13" s="6"/>
    </row>
    <row r="14" spans="3:5" x14ac:dyDescent="0.2">
      <c r="C14" s="6"/>
      <c r="D14" s="105"/>
      <c r="E14" s="6"/>
    </row>
    <row r="15" spans="3:5" x14ac:dyDescent="0.2">
      <c r="C15" s="6"/>
      <c r="D15" s="105"/>
      <c r="E15" s="6"/>
    </row>
    <row r="16" spans="3:5" ht="15" customHeight="1" x14ac:dyDescent="0.2">
      <c r="C16" s="6"/>
      <c r="D16" s="105"/>
      <c r="E16" s="6"/>
    </row>
    <row r="17" spans="3:5" x14ac:dyDescent="0.2">
      <c r="C17" s="6"/>
      <c r="D17" s="105"/>
      <c r="E17" s="6"/>
    </row>
    <row r="18" spans="3:5" x14ac:dyDescent="0.2">
      <c r="C18" s="6"/>
      <c r="D18" s="105"/>
      <c r="E18" s="6"/>
    </row>
    <row r="19" spans="3:5" x14ac:dyDescent="0.2">
      <c r="C19" s="6"/>
      <c r="D19" s="105"/>
      <c r="E19" s="6"/>
    </row>
    <row r="20" spans="3:5" x14ac:dyDescent="0.2">
      <c r="C20" s="6"/>
      <c r="D20" s="105"/>
      <c r="E20" s="6"/>
    </row>
    <row r="21" spans="3:5" x14ac:dyDescent="0.2">
      <c r="C21" s="6"/>
      <c r="D21" s="105"/>
      <c r="E21" s="6"/>
    </row>
    <row r="22" spans="3:5" x14ac:dyDescent="0.2">
      <c r="C22" s="6"/>
      <c r="D22" s="105"/>
      <c r="E22" s="6"/>
    </row>
    <row r="23" spans="3:5" x14ac:dyDescent="0.2">
      <c r="C23" s="6"/>
      <c r="D23" s="105"/>
      <c r="E23" s="6"/>
    </row>
    <row r="24" spans="3:5" x14ac:dyDescent="0.2">
      <c r="C24" s="6"/>
      <c r="D24" s="105"/>
      <c r="E24" s="6"/>
    </row>
    <row r="25" spans="3:5" x14ac:dyDescent="0.2">
      <c r="C25" s="6"/>
      <c r="D25" s="105"/>
      <c r="E25" s="6"/>
    </row>
    <row r="26" spans="3:5" x14ac:dyDescent="0.2">
      <c r="C26" s="6"/>
      <c r="D26" s="105"/>
      <c r="E26" s="6"/>
    </row>
    <row r="27" spans="3:5" x14ac:dyDescent="0.2">
      <c r="C27" s="6"/>
      <c r="D27" s="105"/>
      <c r="E27" s="6"/>
    </row>
    <row r="28" spans="3:5" x14ac:dyDescent="0.2">
      <c r="C28" s="6"/>
      <c r="D28" s="105"/>
      <c r="E28" s="6"/>
    </row>
    <row r="29" spans="3:5" x14ac:dyDescent="0.2">
      <c r="C29" s="6"/>
      <c r="D29" s="105"/>
      <c r="E29" s="6"/>
    </row>
    <row r="30" spans="3:5" x14ac:dyDescent="0.2">
      <c r="C30" s="6"/>
      <c r="D30" s="105"/>
      <c r="E30" s="6"/>
    </row>
    <row r="31" spans="3:5" x14ac:dyDescent="0.2">
      <c r="C31" s="6"/>
      <c r="D31" s="105"/>
      <c r="E31" s="6"/>
    </row>
    <row r="32" spans="3:5" x14ac:dyDescent="0.2">
      <c r="C32" s="6"/>
      <c r="D32" s="105"/>
      <c r="E32" s="6"/>
    </row>
    <row r="33" spans="3:5" x14ac:dyDescent="0.2">
      <c r="C33" s="6"/>
      <c r="D33" s="105"/>
      <c r="E33" s="6"/>
    </row>
    <row r="34" spans="3:5" x14ac:dyDescent="0.2">
      <c r="C34" s="6"/>
      <c r="D34" s="105"/>
      <c r="E34" s="6"/>
    </row>
    <row r="35" spans="3:5" x14ac:dyDescent="0.2">
      <c r="C35" s="6"/>
      <c r="D35" s="105"/>
      <c r="E35" s="6"/>
    </row>
    <row r="36" spans="3:5" x14ac:dyDescent="0.2">
      <c r="C36" s="6"/>
      <c r="D36" s="105"/>
      <c r="E36" s="6"/>
    </row>
    <row r="37" spans="3:5" x14ac:dyDescent="0.2">
      <c r="C37" s="6"/>
      <c r="D37" s="105"/>
      <c r="E37" s="6"/>
    </row>
    <row r="38" spans="3:5" x14ac:dyDescent="0.2">
      <c r="C38" s="6"/>
      <c r="D38" s="105"/>
      <c r="E38" s="6"/>
    </row>
    <row r="39" spans="3:5" x14ac:dyDescent="0.2">
      <c r="C39" s="6"/>
      <c r="D39" s="105"/>
      <c r="E39" s="6"/>
    </row>
    <row r="40" spans="3:5" x14ac:dyDescent="0.2">
      <c r="C40" s="6"/>
      <c r="D40" s="105"/>
      <c r="E40" s="6"/>
    </row>
    <row r="41" spans="3:5" x14ac:dyDescent="0.2">
      <c r="C41" s="6"/>
      <c r="D41" s="105"/>
      <c r="E41" s="6"/>
    </row>
    <row r="42" spans="3:5" x14ac:dyDescent="0.2">
      <c r="C42" s="6"/>
      <c r="D42" s="105"/>
      <c r="E42" s="6"/>
    </row>
    <row r="43" spans="3:5" x14ac:dyDescent="0.2">
      <c r="C43" s="6"/>
      <c r="D43" s="105"/>
      <c r="E43" s="6"/>
    </row>
    <row r="44" spans="3:5" x14ac:dyDescent="0.2">
      <c r="C44" s="6"/>
      <c r="D44" s="105"/>
      <c r="E44" s="6"/>
    </row>
    <row r="45" spans="3:5" x14ac:dyDescent="0.2">
      <c r="C45" s="6"/>
      <c r="D45" s="105"/>
      <c r="E45" s="6"/>
    </row>
    <row r="46" spans="3:5" x14ac:dyDescent="0.2">
      <c r="C46" s="6"/>
      <c r="D46" s="105"/>
      <c r="E46" s="6"/>
    </row>
    <row r="47" spans="3:5" x14ac:dyDescent="0.2">
      <c r="C47" s="6"/>
      <c r="D47" s="105"/>
      <c r="E47" s="6"/>
    </row>
    <row r="48" spans="3:5" x14ac:dyDescent="0.2">
      <c r="C48" s="6"/>
      <c r="D48" s="105"/>
      <c r="E48" s="6"/>
    </row>
    <row r="49" spans="3:5" x14ac:dyDescent="0.2">
      <c r="C49" s="6"/>
      <c r="D49" s="105"/>
      <c r="E49" s="6"/>
    </row>
    <row r="50" spans="3:5" x14ac:dyDescent="0.2">
      <c r="C50" s="6"/>
      <c r="D50" s="105"/>
      <c r="E50" s="6"/>
    </row>
    <row r="51" spans="3:5" x14ac:dyDescent="0.2">
      <c r="C51" s="6"/>
      <c r="D51" s="105"/>
      <c r="E51" s="6"/>
    </row>
    <row r="52" spans="3:5" x14ac:dyDescent="0.2">
      <c r="C52" s="6"/>
      <c r="D52" s="105"/>
      <c r="E52" s="6"/>
    </row>
    <row r="53" spans="3:5" x14ac:dyDescent="0.2">
      <c r="C53" s="6"/>
      <c r="D53" s="105"/>
      <c r="E53" s="6"/>
    </row>
    <row r="54" spans="3:5" x14ac:dyDescent="0.2">
      <c r="C54" s="15"/>
      <c r="D54" s="15"/>
      <c r="E54" s="15"/>
    </row>
    <row r="101" ht="15.75" customHeight="1" x14ac:dyDescent="0.2"/>
    <row r="122" ht="15" customHeight="1" x14ac:dyDescent="0.2"/>
  </sheetData>
  <mergeCells count="2">
    <mergeCell ref="D9:D53"/>
    <mergeCell ref="C1:E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1" tint="0.249977111117893"/>
  </sheetPr>
  <dimension ref="C1:E56"/>
  <sheetViews>
    <sheetView showGridLines="0" showRowColHeaders="0" workbookViewId="0">
      <selection activeCell="A3" sqref="A3"/>
    </sheetView>
  </sheetViews>
  <sheetFormatPr defaultColWidth="2.21875" defaultRowHeight="15" x14ac:dyDescent="0.2"/>
  <cols>
    <col min="3" max="3" width="26.33203125" customWidth="1"/>
    <col min="4" max="4" width="7.44140625" bestFit="1" customWidth="1"/>
    <col min="5" max="5" width="88.21875" customWidth="1"/>
  </cols>
  <sheetData>
    <row r="1" spans="3:5" s="16" customFormat="1" x14ac:dyDescent="0.2"/>
    <row r="2" spans="3:5" s="17" customFormat="1" ht="15.75" thickBot="1" x14ac:dyDescent="0.25"/>
    <row r="3" spans="3:5" ht="15.75" thickTop="1" x14ac:dyDescent="0.2"/>
    <row r="4" spans="3:5" x14ac:dyDescent="0.2">
      <c r="C4" s="18" t="s">
        <v>107</v>
      </c>
    </row>
    <row r="6" spans="3:5" x14ac:dyDescent="0.2">
      <c r="C6" s="19" t="s">
        <v>11</v>
      </c>
      <c r="D6" s="20" t="s">
        <v>127</v>
      </c>
      <c r="E6" s="20" t="s">
        <v>13</v>
      </c>
    </row>
    <row r="7" spans="3:5" x14ac:dyDescent="0.2">
      <c r="C7" s="21" t="s">
        <v>108</v>
      </c>
      <c r="D7" s="22" t="s">
        <v>14</v>
      </c>
      <c r="E7" s="22" t="s">
        <v>185</v>
      </c>
    </row>
    <row r="8" spans="3:5" x14ac:dyDescent="0.2">
      <c r="C8" s="21" t="s">
        <v>184</v>
      </c>
      <c r="D8" s="22" t="s">
        <v>14</v>
      </c>
      <c r="E8" s="22" t="s">
        <v>186</v>
      </c>
    </row>
    <row r="9" spans="3:5" x14ac:dyDescent="0.2">
      <c r="C9" s="21" t="s">
        <v>109</v>
      </c>
      <c r="D9" s="22" t="s">
        <v>14</v>
      </c>
      <c r="E9" s="22" t="s">
        <v>187</v>
      </c>
    </row>
    <row r="11" spans="3:5" x14ac:dyDescent="0.2">
      <c r="C11" s="18" t="s">
        <v>16</v>
      </c>
    </row>
    <row r="13" spans="3:5" x14ac:dyDescent="0.2">
      <c r="C13" s="19" t="s">
        <v>11</v>
      </c>
      <c r="D13" s="20" t="s">
        <v>127</v>
      </c>
      <c r="E13" s="20" t="s">
        <v>13</v>
      </c>
    </row>
    <row r="14" spans="3:5" x14ac:dyDescent="0.2">
      <c r="C14" s="21" t="s">
        <v>0</v>
      </c>
      <c r="D14" s="22" t="s">
        <v>14</v>
      </c>
      <c r="E14" s="22"/>
    </row>
    <row r="15" spans="3:5" x14ac:dyDescent="0.2">
      <c r="C15" s="21" t="s">
        <v>17</v>
      </c>
      <c r="D15" s="22" t="s">
        <v>14</v>
      </c>
      <c r="E15" s="22"/>
    </row>
    <row r="17" spans="3:5" x14ac:dyDescent="0.2">
      <c r="C17" s="18" t="s">
        <v>19</v>
      </c>
    </row>
    <row r="19" spans="3:5" x14ac:dyDescent="0.2">
      <c r="C19" s="19" t="s">
        <v>11</v>
      </c>
      <c r="D19" s="20" t="s">
        <v>127</v>
      </c>
      <c r="E19" s="20" t="s">
        <v>13</v>
      </c>
    </row>
    <row r="20" spans="3:5" x14ac:dyDescent="0.2">
      <c r="C20" s="21" t="s">
        <v>1</v>
      </c>
      <c r="D20" s="22" t="s">
        <v>14</v>
      </c>
      <c r="E20" s="22"/>
    </row>
    <row r="21" spans="3:5" x14ac:dyDescent="0.2">
      <c r="C21" s="21" t="s">
        <v>20</v>
      </c>
      <c r="D21" s="22" t="s">
        <v>14</v>
      </c>
      <c r="E21" s="22"/>
    </row>
    <row r="23" spans="3:5" x14ac:dyDescent="0.2">
      <c r="C23" s="18" t="s">
        <v>21</v>
      </c>
    </row>
    <row r="25" spans="3:5" x14ac:dyDescent="0.2">
      <c r="C25" s="19" t="s">
        <v>11</v>
      </c>
      <c r="D25" s="20" t="s">
        <v>127</v>
      </c>
      <c r="E25" s="20" t="s">
        <v>13</v>
      </c>
    </row>
    <row r="26" spans="3:5" x14ac:dyDescent="0.2">
      <c r="C26" s="21" t="s">
        <v>22</v>
      </c>
      <c r="D26" s="22" t="s">
        <v>14</v>
      </c>
      <c r="E26" s="22"/>
    </row>
    <row r="27" spans="3:5" x14ac:dyDescent="0.2">
      <c r="C27" s="21" t="s">
        <v>23</v>
      </c>
      <c r="D27" s="22" t="s">
        <v>14</v>
      </c>
      <c r="E27" s="22"/>
    </row>
    <row r="29" spans="3:5" x14ac:dyDescent="0.2">
      <c r="C29" s="18" t="s">
        <v>60</v>
      </c>
    </row>
    <row r="31" spans="3:5" x14ac:dyDescent="0.2">
      <c r="C31" s="19" t="s">
        <v>11</v>
      </c>
      <c r="D31" s="20" t="s">
        <v>127</v>
      </c>
      <c r="E31" s="20" t="s">
        <v>13</v>
      </c>
    </row>
    <row r="32" spans="3:5" x14ac:dyDescent="0.2">
      <c r="C32" s="21" t="s">
        <v>180</v>
      </c>
      <c r="D32" s="22" t="s">
        <v>14</v>
      </c>
      <c r="E32" s="22"/>
    </row>
    <row r="33" spans="3:5" x14ac:dyDescent="0.2">
      <c r="C33" s="21" t="s">
        <v>181</v>
      </c>
      <c r="D33" s="22" t="s">
        <v>14</v>
      </c>
      <c r="E33" s="22"/>
    </row>
    <row r="35" spans="3:5" x14ac:dyDescent="0.2">
      <c r="C35" s="18" t="s">
        <v>46</v>
      </c>
    </row>
    <row r="37" spans="3:5" x14ac:dyDescent="0.2">
      <c r="C37" s="19" t="s">
        <v>11</v>
      </c>
      <c r="D37" s="20" t="s">
        <v>127</v>
      </c>
      <c r="E37" s="20" t="s">
        <v>13</v>
      </c>
    </row>
    <row r="38" spans="3:5" x14ac:dyDescent="0.2">
      <c r="C38" s="21" t="s">
        <v>182</v>
      </c>
      <c r="D38" s="22" t="s">
        <v>14</v>
      </c>
      <c r="E38" s="22"/>
    </row>
    <row r="40" spans="3:5" x14ac:dyDescent="0.2">
      <c r="C40" s="18" t="s">
        <v>111</v>
      </c>
    </row>
    <row r="42" spans="3:5" x14ac:dyDescent="0.2">
      <c r="C42" s="19" t="s">
        <v>11</v>
      </c>
      <c r="D42" s="20" t="s">
        <v>127</v>
      </c>
      <c r="E42" s="20" t="s">
        <v>13</v>
      </c>
    </row>
    <row r="43" spans="3:5" x14ac:dyDescent="0.2">
      <c r="C43" s="21" t="s">
        <v>112</v>
      </c>
      <c r="D43" s="22" t="s">
        <v>126</v>
      </c>
      <c r="E43" s="22" t="b">
        <v>0</v>
      </c>
    </row>
    <row r="44" spans="3:5" x14ac:dyDescent="0.2">
      <c r="C44" s="21" t="s">
        <v>113</v>
      </c>
      <c r="D44" s="22" t="s">
        <v>126</v>
      </c>
      <c r="E44" s="22" t="b">
        <v>0</v>
      </c>
    </row>
    <row r="45" spans="3:5" x14ac:dyDescent="0.2">
      <c r="C45" s="21" t="s">
        <v>114</v>
      </c>
      <c r="D45" s="22" t="s">
        <v>126</v>
      </c>
      <c r="E45" s="22" t="b">
        <v>0</v>
      </c>
    </row>
    <row r="46" spans="3:5" x14ac:dyDescent="0.2">
      <c r="C46" s="21" t="s">
        <v>115</v>
      </c>
      <c r="D46" s="22" t="s">
        <v>126</v>
      </c>
      <c r="E46" s="22" t="b">
        <v>0</v>
      </c>
    </row>
    <row r="47" spans="3:5" x14ac:dyDescent="0.2">
      <c r="C47" s="21" t="s">
        <v>116</v>
      </c>
      <c r="D47" s="22" t="s">
        <v>126</v>
      </c>
      <c r="E47" s="22" t="b">
        <v>0</v>
      </c>
    </row>
    <row r="48" spans="3:5" x14ac:dyDescent="0.2">
      <c r="C48" s="21" t="s">
        <v>117</v>
      </c>
      <c r="D48" s="22" t="s">
        <v>126</v>
      </c>
      <c r="E48" s="22" t="b">
        <v>0</v>
      </c>
    </row>
    <row r="49" spans="3:5" x14ac:dyDescent="0.2">
      <c r="C49" s="21" t="s">
        <v>118</v>
      </c>
      <c r="D49" s="22" t="s">
        <v>126</v>
      </c>
      <c r="E49" s="22" t="b">
        <v>0</v>
      </c>
    </row>
    <row r="50" spans="3:5" x14ac:dyDescent="0.2">
      <c r="C50" s="21" t="s">
        <v>119</v>
      </c>
      <c r="D50" s="22" t="s">
        <v>126</v>
      </c>
      <c r="E50" s="22" t="b">
        <v>0</v>
      </c>
    </row>
    <row r="51" spans="3:5" x14ac:dyDescent="0.2">
      <c r="C51" s="21" t="s">
        <v>120</v>
      </c>
      <c r="D51" s="22" t="s">
        <v>126</v>
      </c>
      <c r="E51" s="22" t="b">
        <v>0</v>
      </c>
    </row>
    <row r="52" spans="3:5" x14ac:dyDescent="0.2">
      <c r="C52" s="21" t="s">
        <v>121</v>
      </c>
      <c r="D52" s="22" t="s">
        <v>126</v>
      </c>
      <c r="E52" s="22" t="b">
        <v>0</v>
      </c>
    </row>
    <row r="53" spans="3:5" x14ac:dyDescent="0.2">
      <c r="C53" s="21" t="s">
        <v>122</v>
      </c>
      <c r="D53" s="22" t="s">
        <v>126</v>
      </c>
      <c r="E53" s="22" t="b">
        <v>0</v>
      </c>
    </row>
    <row r="54" spans="3:5" x14ac:dyDescent="0.2">
      <c r="C54" s="21" t="s">
        <v>123</v>
      </c>
      <c r="D54" s="22" t="s">
        <v>126</v>
      </c>
      <c r="E54" s="22" t="b">
        <v>0</v>
      </c>
    </row>
    <row r="55" spans="3:5" x14ac:dyDescent="0.2">
      <c r="C55" s="21" t="s">
        <v>124</v>
      </c>
      <c r="D55" s="22" t="s">
        <v>126</v>
      </c>
      <c r="E55" s="22" t="b">
        <v>0</v>
      </c>
    </row>
    <row r="56" spans="3:5" x14ac:dyDescent="0.2">
      <c r="C56" s="21" t="s">
        <v>125</v>
      </c>
      <c r="D56" s="22" t="s">
        <v>126</v>
      </c>
      <c r="E56" s="22" t="b">
        <v>0</v>
      </c>
    </row>
  </sheetData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249977111117893"/>
  </sheetPr>
  <dimension ref="C1:N187"/>
  <sheetViews>
    <sheetView showGridLines="0" showRowColHeaders="0" zoomScaleNormal="100" workbookViewId="0">
      <selection activeCell="A3" sqref="A3"/>
    </sheetView>
  </sheetViews>
  <sheetFormatPr defaultRowHeight="15" x14ac:dyDescent="0.2"/>
  <cols>
    <col min="1" max="2" width="2.21875" style="25" customWidth="1"/>
    <col min="3" max="3" width="24.21875" style="25" customWidth="1"/>
    <col min="4" max="4" width="6.21875" style="25" customWidth="1"/>
    <col min="5" max="5" width="5.77734375" style="25" customWidth="1"/>
    <col min="6" max="6" width="2.21875" style="25" customWidth="1"/>
    <col min="7" max="7" width="4.88671875" style="25" customWidth="1"/>
    <col min="8" max="8" width="9.109375" style="25" customWidth="1"/>
    <col min="9" max="9" width="8.109375" style="25" customWidth="1"/>
    <col min="10" max="11" width="31.6640625" style="25" customWidth="1"/>
    <col min="12" max="12" width="26.33203125" style="25" customWidth="1"/>
    <col min="13" max="13" width="24.6640625" style="25" customWidth="1"/>
    <col min="14" max="14" width="26" style="25" customWidth="1"/>
    <col min="15" max="183" width="2.21875" style="25" customWidth="1"/>
    <col min="184" max="16384" width="8.88671875" style="25"/>
  </cols>
  <sheetData>
    <row r="1" spans="3:14" s="39" customFormat="1" x14ac:dyDescent="0.2"/>
    <row r="2" spans="3:14" s="40" customFormat="1" ht="15.75" customHeight="1" thickBot="1" x14ac:dyDescent="0.25"/>
    <row r="3" spans="3:14" ht="15.75" thickTop="1" x14ac:dyDescent="0.2"/>
    <row r="4" spans="3:14" ht="15.75" x14ac:dyDescent="0.25">
      <c r="C4" s="41" t="s">
        <v>61</v>
      </c>
      <c r="D4" s="42"/>
      <c r="E4" s="42"/>
      <c r="F4" s="42"/>
      <c r="G4" s="42"/>
      <c r="H4" s="42"/>
      <c r="I4" s="42"/>
      <c r="J4" s="42"/>
    </row>
    <row r="5" spans="3:14" ht="15.75" x14ac:dyDescent="0.25">
      <c r="C5" s="41"/>
      <c r="D5" s="42"/>
      <c r="E5" s="42"/>
      <c r="F5" s="42"/>
      <c r="G5" s="42"/>
      <c r="H5" s="42"/>
      <c r="I5" s="42"/>
      <c r="J5" s="42"/>
    </row>
    <row r="6" spans="3:14" s="42" customFormat="1" x14ac:dyDescent="0.25">
      <c r="C6" s="43" t="s">
        <v>11</v>
      </c>
      <c r="D6" s="44" t="s">
        <v>12</v>
      </c>
      <c r="E6" s="44" t="s">
        <v>13</v>
      </c>
      <c r="G6" s="43" t="s">
        <v>11</v>
      </c>
      <c r="H6" s="44" t="s">
        <v>62</v>
      </c>
      <c r="I6" s="44" t="s">
        <v>8</v>
      </c>
      <c r="J6" s="44" t="s">
        <v>188</v>
      </c>
      <c r="K6" s="44" t="s">
        <v>190</v>
      </c>
      <c r="L6" s="44" t="s">
        <v>189</v>
      </c>
      <c r="M6" s="44" t="s">
        <v>194</v>
      </c>
      <c r="N6" s="44" t="s">
        <v>195</v>
      </c>
    </row>
    <row r="7" spans="3:14" s="42" customFormat="1" ht="15.75" x14ac:dyDescent="0.25">
      <c r="C7" s="45" t="s">
        <v>18</v>
      </c>
      <c r="D7" s="46" t="s">
        <v>14</v>
      </c>
      <c r="E7" s="47" t="s">
        <v>15</v>
      </c>
      <c r="G7" s="45" t="s">
        <v>15</v>
      </c>
      <c r="H7" s="46"/>
      <c r="I7" s="46"/>
      <c r="J7" s="46" t="s">
        <v>63</v>
      </c>
      <c r="K7" s="47" t="s">
        <v>64</v>
      </c>
      <c r="L7" s="47" t="s">
        <v>192</v>
      </c>
      <c r="M7" s="47"/>
      <c r="N7" s="47"/>
    </row>
    <row r="8" spans="3:14" ht="15.75" x14ac:dyDescent="0.25">
      <c r="C8" s="42"/>
      <c r="D8" s="42"/>
      <c r="E8" s="42"/>
      <c r="F8" s="42"/>
      <c r="G8" s="45" t="s">
        <v>65</v>
      </c>
      <c r="H8" s="46"/>
      <c r="I8" s="46"/>
      <c r="J8" s="46" t="s">
        <v>66</v>
      </c>
      <c r="K8" s="47" t="s">
        <v>67</v>
      </c>
      <c r="L8" s="47" t="s">
        <v>191</v>
      </c>
      <c r="M8" s="47"/>
      <c r="N8" s="47"/>
    </row>
    <row r="9" spans="3:14" x14ac:dyDescent="0.2">
      <c r="G9" s="45" t="s">
        <v>68</v>
      </c>
      <c r="H9" s="46"/>
      <c r="I9" s="46"/>
      <c r="J9" s="46" t="s">
        <v>69</v>
      </c>
      <c r="K9" s="47" t="s">
        <v>70</v>
      </c>
      <c r="L9" s="47" t="s">
        <v>191</v>
      </c>
      <c r="M9" s="47"/>
      <c r="N9" s="47"/>
    </row>
    <row r="10" spans="3:14" x14ac:dyDescent="0.2">
      <c r="G10" s="45" t="s">
        <v>71</v>
      </c>
      <c r="H10" s="46"/>
      <c r="I10" s="46"/>
      <c r="J10" s="46" t="s">
        <v>72</v>
      </c>
      <c r="K10" s="47" t="s">
        <v>73</v>
      </c>
      <c r="L10" s="47" t="s">
        <v>193</v>
      </c>
      <c r="M10" s="47"/>
      <c r="N10" s="47"/>
    </row>
    <row r="26" ht="15.75" customHeight="1" x14ac:dyDescent="0.2"/>
    <row r="84" ht="15" customHeight="1" x14ac:dyDescent="0.2"/>
    <row r="166" ht="15.75" customHeight="1" x14ac:dyDescent="0.2"/>
    <row r="187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103</vt:i4>
      </vt:variant>
    </vt:vector>
  </HeadingPairs>
  <TitlesOfParts>
    <vt:vector size="128" baseType="lpstr">
      <vt:lpstr>11</vt:lpstr>
      <vt:lpstr>12</vt:lpstr>
      <vt:lpstr>13</vt:lpstr>
      <vt:lpstr>14</vt:lpstr>
      <vt:lpstr>15</vt:lpstr>
      <vt:lpstr>151</vt:lpstr>
      <vt:lpstr>16</vt:lpstr>
      <vt:lpstr>Po</vt:lpstr>
      <vt:lpstr>Su</vt:lpstr>
      <vt:lpstr>Pr</vt:lpstr>
      <vt:lpstr>S1</vt:lpstr>
      <vt:lpstr>S2</vt:lpstr>
      <vt:lpstr>S3</vt:lpstr>
      <vt:lpstr>S4</vt:lpstr>
      <vt:lpstr>S5</vt:lpstr>
      <vt:lpstr>S6</vt:lpstr>
      <vt:lpstr>S7</vt:lpstr>
      <vt:lpstr>S8</vt:lpstr>
      <vt:lpstr>S9</vt:lpstr>
      <vt:lpstr>S10</vt:lpstr>
      <vt:lpstr>Pk</vt:lpstr>
      <vt:lpstr>Rekapitulacija</vt:lpstr>
      <vt:lpstr>17</vt:lpstr>
      <vt:lpstr>Podesavanja</vt:lpstr>
      <vt:lpstr>Vrste tehnicke dokumentacije</vt:lpstr>
      <vt:lpstr>'Vrste tehnicke dokumentacije'!IDP</vt:lpstr>
      <vt:lpstr>'Vrste tehnicke dokumentacije'!IDR</vt:lpstr>
      <vt:lpstr>Podesavanja!InformacijePutanjaBaze</vt:lpstr>
      <vt:lpstr>Podesavanja!Investitor</vt:lpstr>
      <vt:lpstr>Podesavanja!InvestitorIzKonteksta</vt:lpstr>
      <vt:lpstr>Podesavanja!LicaPutanjaDirektorijuma</vt:lpstr>
      <vt:lpstr>Pk!Naslov</vt:lpstr>
      <vt:lpstr>Po!Naslov</vt:lpstr>
      <vt:lpstr>Pr!Naslov</vt:lpstr>
      <vt:lpstr>'S1'!Naslov</vt:lpstr>
      <vt:lpstr>'S10'!Naslov</vt:lpstr>
      <vt:lpstr>'S2'!Naslov</vt:lpstr>
      <vt:lpstr>'S3'!Naslov</vt:lpstr>
      <vt:lpstr>'S4'!Naslov</vt:lpstr>
      <vt:lpstr>'S5'!Naslov</vt:lpstr>
      <vt:lpstr>'S6'!Naslov</vt:lpstr>
      <vt:lpstr>'S7'!Naslov</vt:lpstr>
      <vt:lpstr>'S8'!Naslov</vt:lpstr>
      <vt:lpstr>'S9'!Naslov</vt:lpstr>
      <vt:lpstr>Su!Naslov</vt:lpstr>
      <vt:lpstr>Podesavanja!Objekat</vt:lpstr>
      <vt:lpstr>Podesavanja!ObjekatIzKonteksta</vt:lpstr>
      <vt:lpstr>Podesavanja!OdgovorniProjektant</vt:lpstr>
      <vt:lpstr>'11'!OdgovorniProjektantPotpisPecat</vt:lpstr>
      <vt:lpstr>'14'!OdgovorniProjektantPotpisPecat</vt:lpstr>
      <vt:lpstr>'151'!OdgovorniProjektantPotpisPecat</vt:lpstr>
      <vt:lpstr>Rekapitulacija!OdgovorniProjektantPotpisPecat</vt:lpstr>
      <vt:lpstr>Podesavanja!OdgovornoLice</vt:lpstr>
      <vt:lpstr>'Vrste tehnicke dokumentacije'!PGD</vt:lpstr>
      <vt:lpstr>Podesavanja!Pk</vt:lpstr>
      <vt:lpstr>Rekapitulacija!Pk</vt:lpstr>
      <vt:lpstr>Podesavanja!Po</vt:lpstr>
      <vt:lpstr>Rekapitulacija!Po</vt:lpstr>
      <vt:lpstr>Podesavanja!Pr</vt:lpstr>
      <vt:lpstr>Rekapitulacija!Pr</vt:lpstr>
      <vt:lpstr>'11'!Print_Area</vt:lpstr>
      <vt:lpstr>'12'!Print_Area</vt:lpstr>
      <vt:lpstr>'13'!Print_Area</vt:lpstr>
      <vt:lpstr>'14'!Print_Area</vt:lpstr>
      <vt:lpstr>'15'!Print_Area</vt:lpstr>
      <vt:lpstr>'151'!Print_Area</vt:lpstr>
      <vt:lpstr>'16'!Print_Area</vt:lpstr>
      <vt:lpstr>'17'!Print_Area</vt:lpstr>
      <vt:lpstr>Pk!Print_Area</vt:lpstr>
      <vt:lpstr>Po!Print_Area</vt:lpstr>
      <vt:lpstr>Pr!Print_Area</vt:lpstr>
      <vt:lpstr>Rekapitulacija!Print_Area</vt:lpstr>
      <vt:lpstr>'S1'!Print_Area</vt:lpstr>
      <vt:lpstr>'S10'!Print_Area</vt:lpstr>
      <vt:lpstr>'S2'!Print_Area</vt:lpstr>
      <vt:lpstr>'S3'!Print_Area</vt:lpstr>
      <vt:lpstr>'S4'!Print_Area</vt:lpstr>
      <vt:lpstr>'S5'!Print_Area</vt:lpstr>
      <vt:lpstr>'S6'!Print_Area</vt:lpstr>
      <vt:lpstr>'S7'!Print_Area</vt:lpstr>
      <vt:lpstr>'S8'!Print_Area</vt:lpstr>
      <vt:lpstr>'S9'!Print_Area</vt:lpstr>
      <vt:lpstr>Su!Print_Area</vt:lpstr>
      <vt:lpstr>Podesavanja!ProjektatiPutanjaDirektorijumaA</vt:lpstr>
      <vt:lpstr>Podesavanja!ProjektnaOrganizacija</vt:lpstr>
      <vt:lpstr>'11'!ProjektnaOrganizacijaPotpisPecat</vt:lpstr>
      <vt:lpstr>'13'!ProjektnaOrganizacijaPotpisPecat</vt:lpstr>
      <vt:lpstr>'Vrste tehnicke dokumentacije'!PZI</vt:lpstr>
      <vt:lpstr>Podesavanja!Sprat1</vt:lpstr>
      <vt:lpstr>Rekapitulacija!Sprat1</vt:lpstr>
      <vt:lpstr>Podesavanja!Sprat10</vt:lpstr>
      <vt:lpstr>Rekapitulacija!Sprat10</vt:lpstr>
      <vt:lpstr>Podesavanja!Sprat2</vt:lpstr>
      <vt:lpstr>Rekapitulacija!Sprat2</vt:lpstr>
      <vt:lpstr>Podesavanja!Sprat3</vt:lpstr>
      <vt:lpstr>Rekapitulacija!Sprat3</vt:lpstr>
      <vt:lpstr>Podesavanja!Sprat4</vt:lpstr>
      <vt:lpstr>Rekapitulacija!Sprat4</vt:lpstr>
      <vt:lpstr>Podesavanja!Sprat5</vt:lpstr>
      <vt:lpstr>Rekapitulacija!Sprat5</vt:lpstr>
      <vt:lpstr>Podesavanja!Sprat6</vt:lpstr>
      <vt:lpstr>Rekapitulacija!Sprat6</vt:lpstr>
      <vt:lpstr>Podesavanja!Sprat7</vt:lpstr>
      <vt:lpstr>Rekapitulacija!Sprat7</vt:lpstr>
      <vt:lpstr>Podesavanja!Sprat8</vt:lpstr>
      <vt:lpstr>Rekapitulacija!Sprat8</vt:lpstr>
      <vt:lpstr>Podesavanja!Sprat9</vt:lpstr>
      <vt:lpstr>Rekapitulacija!Sprat9</vt:lpstr>
      <vt:lpstr>Podesavanja!Su</vt:lpstr>
      <vt:lpstr>Rekapitulacija!Su</vt:lpstr>
      <vt:lpstr>'Vrste tehnicke dokumentacije'!tblVrsteTehnickeDokumentacije</vt:lpstr>
      <vt:lpstr>Pk!UkupnaBrutoPovrsina</vt:lpstr>
      <vt:lpstr>Po!UkupnaBrutoPovrsina</vt:lpstr>
      <vt:lpstr>Pr!UkupnaBrutoPovrsina</vt:lpstr>
      <vt:lpstr>'S1'!UkupnaBrutoPovrsina</vt:lpstr>
      <vt:lpstr>'S10'!UkupnaBrutoPovrsina</vt:lpstr>
      <vt:lpstr>'S2'!UkupnaBrutoPovrsina</vt:lpstr>
      <vt:lpstr>'S3'!UkupnaBrutoPovrsina</vt:lpstr>
      <vt:lpstr>'S4'!UkupnaBrutoPovrsina</vt:lpstr>
      <vt:lpstr>'S5'!UkupnaBrutoPovrsina</vt:lpstr>
      <vt:lpstr>'S6'!UkupnaBrutoPovrsina</vt:lpstr>
      <vt:lpstr>'S7'!UkupnaBrutoPovrsina</vt:lpstr>
      <vt:lpstr>'S8'!UkupnaBrutoPovrsina</vt:lpstr>
      <vt:lpstr>'S9'!UkupnaBrutoPovrsina</vt:lpstr>
      <vt:lpstr>Su!UkupnaBrutoPovrsina</vt:lpstr>
      <vt:lpstr>Podesavanja!VrstaRadova</vt:lpstr>
      <vt:lpstr>Podesavanja!VrstaRadovaIzKonteksta</vt:lpstr>
      <vt:lpstr>'Vrste tehnicke dokumentacije'!VrstaTehnickeDokumentacije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2017-11-10T00:53:35Z</cp:lastPrinted>
  <dcterms:created xsi:type="dcterms:W3CDTF">2017-10-15T17:16:37Z</dcterms:created>
  <dcterms:modified xsi:type="dcterms:W3CDTF">2017-11-20T01:06:23Z</dcterms:modified>
</cp:coreProperties>
</file>