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st\Dropbox\STOING (DOO)\Programi\Klasika\Mehanizam\Mehanizam\Resources\"/>
    </mc:Choice>
  </mc:AlternateContent>
  <bookViews>
    <workbookView xWindow="120" yWindow="150" windowWidth="24975" windowHeight="12015"/>
  </bookViews>
  <sheets>
    <sheet name="Priznanica" sheetId="20" r:id="rId1"/>
    <sheet name="Podesavanja" sheetId="21" r:id="rId2"/>
  </sheets>
  <definedNames>
    <definedName name="Broj" localSheetId="1">Podesavanja!$E$14</definedName>
    <definedName name="CenaPoJediniciMere" localSheetId="1">Podesavanja!$E$23</definedName>
    <definedName name="Datum" localSheetId="1">Podesavanja!$E$15</definedName>
    <definedName name="GranicaDodajBrisi" localSheetId="0">Priznanica!$K$29</definedName>
    <definedName name="Iznos" localSheetId="1">Podesavanja!$E$24</definedName>
    <definedName name="JedinicaMere" localSheetId="1">Podesavanja!$E$20</definedName>
    <definedName name="Kolicina" localSheetId="1">Podesavanja!$E$21</definedName>
    <definedName name="Mesto" localSheetId="1">Podesavanja!$E$16</definedName>
    <definedName name="OstaloZaUplatu" localSheetId="1">Podesavanja!$E$26</definedName>
    <definedName name="OstaloZaUplatuSlovima" localSheetId="1">Podesavanja!$E$27</definedName>
    <definedName name="Primaoc" localSheetId="1">Podesavanja!$E$18</definedName>
    <definedName name="_xlnm.Print_Area" localSheetId="0">Priznanica!$D$7:$J$58</definedName>
    <definedName name="Uplatilac" localSheetId="1">Podesavanja!$E$17</definedName>
    <definedName name="Uplatio" localSheetId="1">Podesavanja!$E$25</definedName>
    <definedName name="Valuta" localSheetId="1">Podesavanja!$E$22</definedName>
    <definedName name="VrstaRobeUsluge" localSheetId="1">Podesavanja!$E$19</definedName>
  </definedNames>
  <calcPr calcId="162913"/>
</workbook>
</file>

<file path=xl/calcChain.xml><?xml version="1.0" encoding="utf-8"?>
<calcChain xmlns="http://schemas.openxmlformats.org/spreadsheetml/2006/main">
  <c r="D15" i="20" l="1"/>
  <c r="D13" i="20"/>
  <c r="L15" i="20" l="1"/>
  <c r="L13" i="20"/>
  <c r="D9" i="20"/>
  <c r="E20" i="20"/>
  <c r="M20" i="20" s="1"/>
  <c r="D57" i="20"/>
  <c r="D27" i="20"/>
  <c r="L27" i="20" s="1"/>
  <c r="J23" i="20"/>
  <c r="E24" i="21"/>
  <c r="I20" i="20"/>
  <c r="H20" i="20"/>
  <c r="G20" i="20"/>
  <c r="F20" i="20"/>
  <c r="J22" i="20" l="1"/>
  <c r="E26" i="21"/>
  <c r="D25" i="20" s="1"/>
  <c r="J20" i="20"/>
</calcChain>
</file>

<file path=xl/sharedStrings.xml><?xml version="1.0" encoding="utf-8"?>
<sst xmlns="http://schemas.openxmlformats.org/spreadsheetml/2006/main" count="68" uniqueCount="42">
  <si>
    <t>Mesto i datum</t>
  </si>
  <si>
    <t>Autorska prava © Stoing, 2017. Sva prava su zadržana.</t>
  </si>
  <si>
    <t>gr</t>
  </si>
  <si>
    <t>Izdao</t>
  </si>
  <si>
    <t>Primio</t>
  </si>
  <si>
    <t>Uplatioc</t>
  </si>
  <si>
    <t>Primaoc</t>
  </si>
  <si>
    <t>Vrsta robe ili usluge</t>
  </si>
  <si>
    <t>Količina</t>
  </si>
  <si>
    <t>Iznos</t>
  </si>
  <si>
    <t>Ukupno:</t>
  </si>
  <si>
    <t>Uplatioc je uplatio:</t>
  </si>
  <si>
    <t>Cena po
jedinici mere</t>
  </si>
  <si>
    <t>Redni
broj</t>
  </si>
  <si>
    <t>Jedinica
mere</t>
  </si>
  <si>
    <t>Ostalo za uplatu</t>
  </si>
  <si>
    <t>Ostalo za uplatu slovima</t>
  </si>
  <si>
    <t>Valuta</t>
  </si>
  <si>
    <t>PILOT</t>
  </si>
  <si>
    <t>Naziv</t>
  </si>
  <si>
    <t>Vrednost</t>
  </si>
  <si>
    <t>InformacijePutanjaBaze</t>
  </si>
  <si>
    <t>String</t>
  </si>
  <si>
    <t>PutanjaPotpisaPecata</t>
  </si>
  <si>
    <t>LozinkaZaPodesavanja</t>
  </si>
  <si>
    <t>Broj</t>
  </si>
  <si>
    <t>Mesto</t>
  </si>
  <si>
    <t>Uplatilac</t>
  </si>
  <si>
    <t>VrstaRobeUsluge</t>
  </si>
  <si>
    <t>JedinicaMere</t>
  </si>
  <si>
    <t>Kolicina</t>
  </si>
  <si>
    <t>CenaPoJediniciMere</t>
  </si>
  <si>
    <t>Datum</t>
  </si>
  <si>
    <t>Uplatio</t>
  </si>
  <si>
    <t>OstaloZaUplatu</t>
  </si>
  <si>
    <t>OstaloZaUplatuSlovima</t>
  </si>
  <si>
    <t>PRIZNANICA</t>
  </si>
  <si>
    <t>Tip podatka</t>
  </si>
  <si>
    <t>31.10.2017.</t>
  </si>
  <si>
    <t>Beograd (Voždovac)</t>
  </si>
  <si>
    <t>asdahzg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</si>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</sst>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#,##0\ &quot;RSD&quot;;[Red]\-#,##0\ &quot;RSD&quot;"/>
    <numFmt numFmtId="8" formatCode="#,##0.00\ &quot;RSD&quot;;[Red]\-#,##0.00\ &quot;RSD&quot;"/>
  </numFmts>
  <fonts count="12" x14ac:knownFonts="1">
    <font>
      <sz val="12"/>
      <color theme="1"/>
      <name val="Arial"/>
      <family val="2"/>
    </font>
    <font>
      <b/>
      <sz val="12"/>
      <color theme="1"/>
      <name val="Arial"/>
      <family val="2"/>
      <charset val="238"/>
    </font>
    <font>
      <i/>
      <sz val="8"/>
      <color rgb="FF808080"/>
      <name val="Arial"/>
      <family val="2"/>
      <charset val="238"/>
    </font>
    <font>
      <sz val="10"/>
      <color theme="1" tint="0.249977111117893"/>
      <name val="Arial"/>
      <family val="2"/>
      <charset val="238"/>
    </font>
    <font>
      <sz val="8"/>
      <color theme="1" tint="0.249977111117893"/>
      <name val="Forte"/>
      <family val="4"/>
    </font>
    <font>
      <b/>
      <i/>
      <sz val="8"/>
      <color theme="1" tint="0.499984740745262"/>
      <name val="Arial"/>
      <family val="2"/>
      <charset val="238"/>
    </font>
    <font>
      <sz val="12"/>
      <name val="Arial"/>
      <family val="2"/>
      <charset val="238"/>
    </font>
    <font>
      <b/>
      <sz val="12"/>
      <name val="Arial"/>
      <family val="2"/>
      <charset val="238"/>
    </font>
    <font>
      <sz val="12"/>
      <color theme="5" tint="-0.249977111117893"/>
      <name val="Arial"/>
      <family val="2"/>
    </font>
    <font>
      <b/>
      <sz val="10"/>
      <color theme="1" tint="0.249977111117893"/>
      <name val="Arial"/>
      <family val="2"/>
      <charset val="238"/>
    </font>
    <font>
      <sz val="8"/>
      <color theme="1" tint="0.24994659260841701"/>
      <name val="Arial"/>
      <family val="2"/>
      <charset val="238"/>
    </font>
    <font>
      <sz val="12"/>
      <color theme="0" tint="-0.2499465926084170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1" tint="0.2499465926084170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0" tint="-0.249977111117893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ck">
        <color theme="0" tint="-4.9989318521683403E-2"/>
      </bottom>
      <diagonal/>
    </border>
    <border>
      <left style="thin">
        <color theme="0" tint="-0.24994659260841701"/>
      </left>
      <right/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ont="1" applyFill="1" applyAlignment="1">
      <alignment horizontal="justify"/>
    </xf>
    <xf numFmtId="0" fontId="0" fillId="0" borderId="0" xfId="0" applyFont="1" applyAlignment="1">
      <alignment horizontal="justify"/>
    </xf>
    <xf numFmtId="0" fontId="0" fillId="0" borderId="0" xfId="0" applyFont="1" applyFill="1" applyAlignment="1">
      <alignment horizontal="justify"/>
    </xf>
    <xf numFmtId="0" fontId="0" fillId="4" borderId="0" xfId="0" applyFill="1"/>
    <xf numFmtId="0" fontId="3" fillId="0" borderId="0" xfId="0" applyFont="1" applyAlignment="1">
      <alignment horizontal="right" vertical="center"/>
    </xf>
    <xf numFmtId="0" fontId="4" fillId="3" borderId="0" xfId="0" applyFont="1" applyFill="1" applyAlignment="1">
      <alignment horizontal="center" vertical="top"/>
    </xf>
    <xf numFmtId="0" fontId="2" fillId="0" borderId="2" xfId="0" applyFont="1" applyBorder="1" applyAlignment="1">
      <alignment horizontal="right"/>
    </xf>
    <xf numFmtId="0" fontId="2" fillId="0" borderId="2" xfId="0" applyFont="1" applyBorder="1" applyAlignment="1"/>
    <xf numFmtId="0" fontId="0" fillId="0" borderId="2" xfId="0" applyFont="1" applyBorder="1" applyAlignment="1">
      <alignment horizontal="justify"/>
    </xf>
    <xf numFmtId="0" fontId="5" fillId="0" borderId="0" xfId="0" applyFont="1" applyAlignment="1">
      <alignment horizontal="right"/>
    </xf>
    <xf numFmtId="0" fontId="0" fillId="0" borderId="0" xfId="0" applyFont="1" applyBorder="1" applyAlignment="1">
      <alignment horizontal="justify"/>
    </xf>
    <xf numFmtId="0" fontId="5" fillId="0" borderId="0" xfId="0" applyFont="1" applyBorder="1" applyAlignment="1">
      <alignment horizontal="right"/>
    </xf>
    <xf numFmtId="8" fontId="6" fillId="0" borderId="0" xfId="0" applyNumberFormat="1" applyFont="1" applyBorder="1" applyAlignment="1">
      <alignment horizontal="right" wrapText="1"/>
    </xf>
    <xf numFmtId="0" fontId="2" fillId="0" borderId="0" xfId="0" applyFont="1" applyBorder="1" applyAlignment="1">
      <alignment vertical="top"/>
    </xf>
    <xf numFmtId="0" fontId="2" fillId="5" borderId="0" xfId="0" applyFont="1" applyFill="1" applyBorder="1" applyAlignment="1">
      <alignment vertical="top"/>
    </xf>
    <xf numFmtId="0" fontId="0" fillId="5" borderId="0" xfId="0" applyFont="1" applyFill="1" applyBorder="1" applyAlignment="1">
      <alignment horizontal="justify"/>
    </xf>
    <xf numFmtId="0" fontId="6" fillId="0" borderId="2" xfId="0" applyFont="1" applyBorder="1" applyAlignment="1">
      <alignment horizontal="center" vertical="top" wrapText="1"/>
    </xf>
    <xf numFmtId="0" fontId="6" fillId="0" borderId="2" xfId="0" applyFont="1" applyBorder="1" applyAlignment="1">
      <alignment horizontal="justify" vertical="top"/>
    </xf>
    <xf numFmtId="0" fontId="6" fillId="0" borderId="2" xfId="0" applyFont="1" applyBorder="1" applyAlignment="1">
      <alignment horizontal="center" wrapText="1"/>
    </xf>
    <xf numFmtId="0" fontId="6" fillId="0" borderId="2" xfId="0" applyFont="1" applyBorder="1" applyAlignment="1">
      <alignment horizontal="center"/>
    </xf>
    <xf numFmtId="0" fontId="2" fillId="0" borderId="2" xfId="0" applyFont="1" applyBorder="1" applyAlignment="1">
      <alignment vertical="top"/>
    </xf>
    <xf numFmtId="0" fontId="2" fillId="5" borderId="0" xfId="0" applyFont="1" applyFill="1" applyBorder="1" applyAlignment="1">
      <alignment horizontal="right" vertical="center"/>
    </xf>
    <xf numFmtId="8" fontId="7" fillId="0" borderId="0" xfId="0" applyNumberFormat="1" applyFont="1" applyBorder="1" applyAlignment="1">
      <alignment horizontal="right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justify" vertical="top"/>
    </xf>
    <xf numFmtId="0" fontId="6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center"/>
    </xf>
    <xf numFmtId="8" fontId="6" fillId="0" borderId="0" xfId="0" applyNumberFormat="1" applyFont="1" applyBorder="1" applyAlignment="1">
      <alignment horizontal="center" wrapText="1"/>
    </xf>
    <xf numFmtId="0" fontId="6" fillId="0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justify"/>
    </xf>
    <xf numFmtId="0" fontId="0" fillId="0" borderId="0" xfId="0" applyFont="1" applyAlignment="1">
      <alignment horizontal="justify"/>
    </xf>
    <xf numFmtId="4" fontId="6" fillId="0" borderId="0" xfId="0" applyNumberFormat="1" applyFont="1" applyFill="1" applyBorder="1" applyAlignment="1">
      <alignment horizontal="center" vertical="center" wrapText="1"/>
    </xf>
    <xf numFmtId="4" fontId="6" fillId="0" borderId="0" xfId="0" applyNumberFormat="1" applyFont="1" applyFill="1" applyBorder="1" applyAlignment="1">
      <alignment horizontal="right" vertical="center"/>
    </xf>
    <xf numFmtId="4" fontId="6" fillId="0" borderId="0" xfId="0" applyNumberFormat="1" applyFont="1" applyBorder="1" applyAlignment="1">
      <alignment horizontal="right" wrapText="1"/>
    </xf>
    <xf numFmtId="40" fontId="6" fillId="0" borderId="2" xfId="0" applyNumberFormat="1" applyFont="1" applyBorder="1" applyAlignment="1">
      <alignment horizontal="right" wrapText="1"/>
    </xf>
    <xf numFmtId="40" fontId="6" fillId="0" borderId="2" xfId="0" applyNumberFormat="1" applyFont="1" applyBorder="1" applyAlignment="1">
      <alignment horizontal="center" wrapText="1"/>
    </xf>
    <xf numFmtId="0" fontId="0" fillId="0" borderId="0" xfId="0" applyFont="1" applyAlignment="1">
      <alignment horizontal="justify"/>
    </xf>
    <xf numFmtId="0" fontId="0" fillId="6" borderId="0" xfId="0" applyFill="1"/>
    <xf numFmtId="0" fontId="0" fillId="6" borderId="5" xfId="0" applyFill="1" applyBorder="1"/>
    <xf numFmtId="0" fontId="0" fillId="5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0" fillId="6" borderId="0" xfId="0" applyFont="1" applyFill="1" applyAlignment="1">
      <alignment horizontal="justify"/>
    </xf>
    <xf numFmtId="0" fontId="9" fillId="0" borderId="0" xfId="0" applyFont="1" applyAlignment="1">
      <alignment horizontal="left" vertical="center"/>
    </xf>
    <xf numFmtId="0" fontId="10" fillId="7" borderId="0" xfId="0" applyFont="1" applyFill="1" applyBorder="1" applyAlignment="1">
      <alignment horizontal="left" vertical="center"/>
    </xf>
    <xf numFmtId="0" fontId="10" fillId="7" borderId="6" xfId="0" applyFont="1" applyFill="1" applyBorder="1" applyAlignment="1">
      <alignment horizontal="left" vertical="center"/>
    </xf>
    <xf numFmtId="0" fontId="11" fillId="8" borderId="7" xfId="0" applyFont="1" applyFill="1" applyBorder="1"/>
    <xf numFmtId="0" fontId="11" fillId="8" borderId="8" xfId="0" applyFont="1" applyFill="1" applyBorder="1"/>
    <xf numFmtId="0" fontId="11" fillId="8" borderId="8" xfId="0" applyFont="1" applyFill="1" applyBorder="1" applyAlignment="1">
      <alignment horizontal="left"/>
    </xf>
    <xf numFmtId="14" fontId="11" fillId="8" borderId="8" xfId="0" applyNumberFormat="1" applyFont="1" applyFill="1" applyBorder="1" applyAlignment="1">
      <alignment horizontal="left"/>
    </xf>
    <xf numFmtId="6" fontId="0" fillId="4" borderId="0" xfId="0" applyNumberFormat="1" applyFill="1" applyAlignment="1">
      <alignment horizontal="justify"/>
    </xf>
    <xf numFmtId="0" fontId="2" fillId="0" borderId="0" xfId="0" applyFont="1" applyAlignment="1">
      <alignment horizontal="left" vertical="top"/>
    </xf>
    <xf numFmtId="0" fontId="0" fillId="0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4" fontId="8" fillId="5" borderId="0" xfId="0" applyNumberFormat="1" applyFont="1" applyFill="1" applyBorder="1" applyAlignment="1">
      <alignment horizontal="justify"/>
    </xf>
    <xf numFmtId="6" fontId="8" fillId="5" borderId="0" xfId="0" applyNumberFormat="1" applyFont="1" applyFill="1" applyBorder="1" applyAlignment="1">
      <alignment horizontal="justify"/>
    </xf>
    <xf numFmtId="0" fontId="8" fillId="5" borderId="0" xfId="0" applyFont="1" applyFill="1" applyBorder="1" applyAlignment="1">
      <alignment horizontal="justify"/>
    </xf>
    <xf numFmtId="0" fontId="0" fillId="0" borderId="0" xfId="0" applyFont="1" applyAlignment="1">
      <alignment horizontal="justify"/>
    </xf>
    <xf numFmtId="0" fontId="0" fillId="0" borderId="0" xfId="0" applyFont="1" applyFill="1" applyBorder="1" applyAlignment="1">
      <alignment horizontal="justify" wrapText="1"/>
    </xf>
  </cellXfs>
  <cellStyles count="1">
    <cellStyle name="Normal" xfId="0" builtinId="0"/>
  </cellStyles>
  <dxfs count="2">
    <dxf>
      <font>
        <b val="0"/>
        <i val="0"/>
        <color theme="1" tint="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1" tint="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TableStyleMedium9" defaultPivotStyle="PivotStyleLight16">
    <tableStyle name="Mehanizam2" pivot="0" count="2">
      <tableStyleElement type="wholeTable" dxfId="1"/>
      <tableStyleElement type="headerRow" dxfId="0"/>
    </tableStyle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58</xdr:row>
      <xdr:rowOff>0</xdr:rowOff>
    </xdr:from>
    <xdr:to>
      <xdr:col>11</xdr:col>
      <xdr:colOff>0</xdr:colOff>
      <xdr:row>59</xdr:row>
      <xdr:rowOff>1</xdr:rowOff>
    </xdr:to>
    <xdr:sp macro="[0]!DodajRedLokacija1" textlink="">
      <xdr:nvSpPr>
        <xdr:cNvPr id="4" name="shpDodajRed"/>
        <xdr:cNvSpPr/>
      </xdr:nvSpPr>
      <xdr:spPr>
        <a:xfrm flipH="1">
          <a:off x="7245569" y="8224345"/>
          <a:ext cx="190500" cy="1905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+</a:t>
          </a:r>
        </a:p>
      </xdr:txBody>
    </xdr:sp>
    <xdr:clientData/>
  </xdr:twoCellAnchor>
  <xdr:twoCellAnchor>
    <xdr:from>
      <xdr:col>2</xdr:col>
      <xdr:colOff>0</xdr:colOff>
      <xdr:row>58</xdr:row>
      <xdr:rowOff>0</xdr:rowOff>
    </xdr:from>
    <xdr:to>
      <xdr:col>3</xdr:col>
      <xdr:colOff>0</xdr:colOff>
      <xdr:row>59</xdr:row>
      <xdr:rowOff>0</xdr:rowOff>
    </xdr:to>
    <xdr:sp macro="[0]!ObrisiRedLokacija1" textlink="">
      <xdr:nvSpPr>
        <xdr:cNvPr id="5" name="shpObrisiRed"/>
        <xdr:cNvSpPr/>
      </xdr:nvSpPr>
      <xdr:spPr>
        <a:xfrm flipH="1">
          <a:off x="190500" y="8224345"/>
          <a:ext cx="1905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sr-Latn-RS" sz="120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-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7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;</a:t>
          </a:r>
        </a:p>
      </xdr:txBody>
    </xdr:sp>
    <xdr:clientData/>
  </xdr:twoCellAnchor>
  <xdr:twoCellAnchor editAs="oneCell">
    <xdr:from>
      <xdr:col>10</xdr:col>
      <xdr:colOff>28575</xdr:colOff>
      <xdr:row>4</xdr:row>
      <xdr:rowOff>19050</xdr:rowOff>
    </xdr:from>
    <xdr:to>
      <xdr:col>10</xdr:col>
      <xdr:colOff>180996</xdr:colOff>
      <xdr:row>4</xdr:row>
      <xdr:rowOff>171471</xdr:rowOff>
    </xdr:to>
    <xdr:pic>
      <xdr:nvPicPr>
        <xdr:cNvPr id="8" name="btnPodesavanje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9975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4</xdr:row>
      <xdr:rowOff>19050</xdr:rowOff>
    </xdr:from>
    <xdr:to>
      <xdr:col>3</xdr:col>
      <xdr:colOff>200046</xdr:colOff>
      <xdr:row>4</xdr:row>
      <xdr:rowOff>171471</xdr:rowOff>
    </xdr:to>
    <xdr:pic macro="[0]!Stampanje">
      <xdr:nvPicPr>
        <xdr:cNvPr id="9" name="btnStampa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800100"/>
          <a:ext cx="152421" cy="15242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4</xdr:row>
      <xdr:rowOff>28575</xdr:rowOff>
    </xdr:from>
    <xdr:to>
      <xdr:col>2</xdr:col>
      <xdr:colOff>171431</xdr:colOff>
      <xdr:row>4</xdr:row>
      <xdr:rowOff>180956</xdr:rowOff>
    </xdr:to>
    <xdr:pic macro="[0]!frmUrediPrikazi">
      <xdr:nvPicPr>
        <xdr:cNvPr id="10" name="btn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190625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1</xdr:row>
      <xdr:rowOff>190500</xdr:rowOff>
    </xdr:to>
    <xdr:sp macro="" textlink="">
      <xdr:nvSpPr>
        <xdr:cNvPr id="2" name="Logo"/>
        <xdr:cNvSpPr/>
      </xdr:nvSpPr>
      <xdr:spPr>
        <a:xfrm>
          <a:off x="0" y="0"/>
          <a:ext cx="381000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2400">
              <a:solidFill>
                <a:schemeClr val="bg1">
                  <a:lumMod val="75000"/>
                </a:schemeClr>
              </a:solidFill>
              <a:latin typeface="Stoing, symbol" panose="020B0603050302020204" pitchFamily="34" charset="2"/>
            </a:rPr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C1:M224"/>
  <sheetViews>
    <sheetView showGridLines="0" showRowColHeaders="0" tabSelected="1" zoomScaleNormal="100" workbookViewId="0">
      <selection activeCell="A3" sqref="A3"/>
    </sheetView>
  </sheetViews>
  <sheetFormatPr defaultRowHeight="15" x14ac:dyDescent="0.2"/>
  <cols>
    <col min="1" max="3" width="2.21875" customWidth="1"/>
    <col min="4" max="4" width="4.77734375" customWidth="1"/>
    <col min="5" max="5" width="26.77734375" customWidth="1"/>
    <col min="6" max="8" width="5.77734375" customWidth="1"/>
    <col min="9" max="10" width="15.33203125" customWidth="1"/>
    <col min="11" max="11" width="2.21875" customWidth="1"/>
    <col min="12" max="12" width="66.77734375" hidden="1" customWidth="1"/>
    <col min="13" max="13" width="26.77734375" hidden="1" customWidth="1"/>
    <col min="14" max="197" width="2.21875" customWidth="1"/>
  </cols>
  <sheetData>
    <row r="1" spans="3:12" s="45" customFormat="1" x14ac:dyDescent="0.2"/>
    <row r="2" spans="3:12" s="46" customFormat="1" ht="15.75" thickBot="1" x14ac:dyDescent="0.25"/>
    <row r="3" spans="3:12" ht="15.75" thickTop="1" x14ac:dyDescent="0.2"/>
    <row r="5" spans="3:12" x14ac:dyDescent="0.2">
      <c r="C5" s="47"/>
      <c r="D5" s="47"/>
      <c r="E5" s="47"/>
      <c r="F5" s="47"/>
      <c r="G5" s="47"/>
      <c r="H5" s="47"/>
      <c r="I5" s="47"/>
      <c r="J5" s="47"/>
      <c r="K5" s="47"/>
    </row>
    <row r="6" spans="3:12" x14ac:dyDescent="0.2">
      <c r="C6" s="3"/>
      <c r="D6" s="48"/>
      <c r="E6" s="48"/>
      <c r="F6" s="48"/>
      <c r="G6" s="48"/>
      <c r="H6" s="48"/>
      <c r="I6" s="48"/>
      <c r="J6" s="48"/>
      <c r="K6" s="3"/>
    </row>
    <row r="7" spans="3:12" x14ac:dyDescent="0.2">
      <c r="C7" s="3"/>
      <c r="D7" s="4"/>
      <c r="E7" s="4"/>
      <c r="F7" s="4"/>
      <c r="G7" s="4"/>
      <c r="H7" s="38"/>
      <c r="I7" s="4"/>
      <c r="J7" s="4"/>
      <c r="K7" s="3"/>
    </row>
    <row r="8" spans="3:12" x14ac:dyDescent="0.2">
      <c r="C8" s="3"/>
      <c r="D8" s="4"/>
      <c r="E8" s="4"/>
      <c r="F8" s="4"/>
      <c r="G8" s="4"/>
      <c r="H8" s="38"/>
      <c r="I8" s="4"/>
      <c r="J8" s="4"/>
      <c r="K8" s="3"/>
    </row>
    <row r="9" spans="3:12" ht="15.75" x14ac:dyDescent="0.25">
      <c r="C9" s="3"/>
      <c r="D9" s="60" t="str">
        <f>IF(Podesavanja!Broj="","...","PRIZNANICA N° " &amp; Podesavanja!Broj)</f>
        <v>PRIZNANICA N° 1</v>
      </c>
      <c r="E9" s="60"/>
      <c r="F9" s="60"/>
      <c r="G9" s="60"/>
      <c r="H9" s="60"/>
      <c r="I9" s="60"/>
      <c r="J9" s="60"/>
      <c r="K9" s="3"/>
    </row>
    <row r="10" spans="3:12" x14ac:dyDescent="0.2">
      <c r="C10" s="3"/>
      <c r="D10" s="4"/>
      <c r="E10" s="4"/>
      <c r="F10" s="4"/>
      <c r="G10" s="4"/>
      <c r="H10" s="38"/>
      <c r="I10" s="4"/>
      <c r="J10" s="4"/>
      <c r="K10" s="3"/>
    </row>
    <row r="11" spans="3:12" x14ac:dyDescent="0.2">
      <c r="C11" s="3"/>
      <c r="D11" s="4"/>
      <c r="E11" s="4"/>
      <c r="F11" s="4"/>
      <c r="G11" s="4"/>
      <c r="H11" s="38"/>
      <c r="I11" s="4"/>
      <c r="J11" s="4"/>
      <c r="K11" s="3"/>
    </row>
    <row r="12" spans="3:12" x14ac:dyDescent="0.2">
      <c r="C12" s="3"/>
      <c r="D12" s="11"/>
      <c r="E12" s="11"/>
      <c r="F12" s="11"/>
      <c r="G12" s="11"/>
      <c r="H12" s="11"/>
      <c r="I12" s="11"/>
      <c r="J12" s="11"/>
      <c r="K12" s="3"/>
    </row>
    <row r="13" spans="3:12" x14ac:dyDescent="0.2">
      <c r="C13" s="3"/>
      <c r="D13" s="64" t="str">
        <f>IF(Podesavanja!Uplatilac="","...",Podesavanja!Uplatilac)</f>
        <v>asdahzg</v>
      </c>
      <c r="E13" s="64"/>
      <c r="F13" s="64"/>
      <c r="G13" s="64"/>
      <c r="H13" s="64"/>
      <c r="I13" s="64"/>
      <c r="J13" s="64"/>
      <c r="K13" s="3"/>
      <c r="L13" s="37" t="str">
        <f>D13</f>
        <v>asdahzg</v>
      </c>
    </row>
    <row r="14" spans="3:12" x14ac:dyDescent="0.2">
      <c r="C14" s="3"/>
      <c r="D14" s="16" t="s">
        <v>5</v>
      </c>
      <c r="E14" s="13"/>
      <c r="F14" s="13"/>
      <c r="G14" s="13"/>
      <c r="H14" s="13"/>
      <c r="I14" s="13"/>
      <c r="J14" s="13"/>
      <c r="K14" s="3"/>
    </row>
    <row r="15" spans="3:12" x14ac:dyDescent="0.2">
      <c r="C15" s="3"/>
      <c r="D15" s="65" t="str">
        <f>IF(Podesavanja!Primaoc="","...",Podesavanja!Primaoc)</f>
        <v>asd</v>
      </c>
      <c r="E15" s="65"/>
      <c r="F15" s="65"/>
      <c r="G15" s="65"/>
      <c r="H15" s="65"/>
      <c r="I15" s="65"/>
      <c r="J15" s="65"/>
      <c r="K15" s="3"/>
      <c r="L15" s="37" t="str">
        <f>D15</f>
        <v>asd</v>
      </c>
    </row>
    <row r="16" spans="3:12" x14ac:dyDescent="0.2">
      <c r="C16" s="3"/>
      <c r="D16" s="23" t="s">
        <v>6</v>
      </c>
      <c r="E16" s="11"/>
      <c r="F16" s="11"/>
      <c r="G16" s="11"/>
      <c r="H16" s="11"/>
      <c r="I16" s="11"/>
      <c r="J16" s="11"/>
      <c r="K16" s="3"/>
    </row>
    <row r="17" spans="3:13" x14ac:dyDescent="0.2">
      <c r="C17" s="3"/>
      <c r="D17" s="16"/>
      <c r="E17" s="13"/>
      <c r="F17" s="13"/>
      <c r="G17" s="13"/>
      <c r="H17" s="13"/>
      <c r="I17" s="13"/>
      <c r="J17" s="13"/>
      <c r="K17" s="3"/>
    </row>
    <row r="18" spans="3:13" ht="22.5" x14ac:dyDescent="0.2">
      <c r="C18" s="3"/>
      <c r="D18" s="34" t="s">
        <v>13</v>
      </c>
      <c r="E18" s="35" t="s">
        <v>7</v>
      </c>
      <c r="F18" s="36" t="s">
        <v>14</v>
      </c>
      <c r="G18" s="35" t="s">
        <v>8</v>
      </c>
      <c r="H18" s="35" t="s">
        <v>17</v>
      </c>
      <c r="I18" s="36" t="s">
        <v>12</v>
      </c>
      <c r="J18" s="24" t="s">
        <v>9</v>
      </c>
      <c r="K18" s="3"/>
    </row>
    <row r="19" spans="3:13" x14ac:dyDescent="0.2">
      <c r="C19" s="3"/>
      <c r="D19" s="33"/>
      <c r="E19" s="27"/>
      <c r="F19" s="26"/>
      <c r="G19" s="27"/>
      <c r="H19" s="27"/>
      <c r="I19" s="39"/>
      <c r="J19" s="40"/>
      <c r="K19" s="3"/>
    </row>
    <row r="20" spans="3:13" x14ac:dyDescent="0.2">
      <c r="C20" s="3"/>
      <c r="D20" s="19">
        <v>1</v>
      </c>
      <c r="E20" s="20" t="str">
        <f>IF(Podesavanja!VrstaRobeUsluge="","...",Podesavanja!VrstaRobeUsluge)</f>
        <v>asd</v>
      </c>
      <c r="F20" s="21" t="str">
        <f>IF(Podesavanja!JedinicaMere="","...",Podesavanja!JedinicaMere)</f>
        <v>asd</v>
      </c>
      <c r="G20" s="22">
        <f>IF(Podesavanja!Kolicina=0,"...",Podesavanja!Kolicina)</f>
        <v>1</v>
      </c>
      <c r="H20" s="22" t="str">
        <f>IF(Podesavanja!Valuta="","...",Podesavanja!Valuta)</f>
        <v>asd</v>
      </c>
      <c r="I20" s="43">
        <f>IF(Podesavanja!CenaPoJediniciMere=0,"...",Podesavanja!CenaPoJediniciMere)</f>
        <v>500</v>
      </c>
      <c r="J20" s="42">
        <f>IF(Podesavanja!Iznos=0,"...",Podesavanja!Iznos)</f>
        <v>500</v>
      </c>
      <c r="K20" s="3"/>
      <c r="M20" s="37" t="str">
        <f>E20</f>
        <v>asd</v>
      </c>
    </row>
    <row r="21" spans="3:13" x14ac:dyDescent="0.2">
      <c r="C21" s="3"/>
      <c r="D21" s="28"/>
      <c r="E21" s="29"/>
      <c r="F21" s="30"/>
      <c r="G21" s="31"/>
      <c r="H21" s="31"/>
      <c r="I21" s="32"/>
      <c r="J21" s="15"/>
      <c r="K21" s="3"/>
    </row>
    <row r="22" spans="3:13" x14ac:dyDescent="0.2">
      <c r="C22" s="3"/>
      <c r="D22" s="4"/>
      <c r="E22" s="4"/>
      <c r="F22" s="4"/>
      <c r="G22" s="4"/>
      <c r="H22" s="38"/>
      <c r="I22" s="12" t="s">
        <v>10</v>
      </c>
      <c r="J22" s="41">
        <f>IF(Podesavanja!Iznos=0,"...",Podesavanja!Iznos)</f>
        <v>500</v>
      </c>
      <c r="K22" s="3"/>
    </row>
    <row r="23" spans="3:13" x14ac:dyDescent="0.2">
      <c r="C23" s="3"/>
      <c r="D23" s="4"/>
      <c r="E23" s="4"/>
      <c r="F23" s="4"/>
      <c r="G23" s="4"/>
      <c r="H23" s="38"/>
      <c r="I23" s="12" t="s">
        <v>11</v>
      </c>
      <c r="J23" s="41">
        <f>IF(Podesavanja!Uplatio=0,"...",Podesavanja!Uplatio)</f>
        <v>250</v>
      </c>
      <c r="K23" s="3"/>
    </row>
    <row r="24" spans="3:13" ht="15.75" x14ac:dyDescent="0.25">
      <c r="C24" s="3"/>
      <c r="D24" s="13"/>
      <c r="E24" s="13"/>
      <c r="F24" s="13"/>
      <c r="G24" s="13"/>
      <c r="H24" s="13"/>
      <c r="I24" s="14"/>
      <c r="J24" s="25"/>
      <c r="K24" s="3"/>
    </row>
    <row r="25" spans="3:13" x14ac:dyDescent="0.2">
      <c r="C25" s="3"/>
      <c r="D25" s="61">
        <f>IF(Podesavanja!OstaloZaUplatu=0,"...",Podesavanja!OstaloZaUplatu)</f>
        <v>250</v>
      </c>
      <c r="E25" s="61"/>
      <c r="F25" s="61"/>
      <c r="G25" s="61"/>
      <c r="H25" s="61"/>
      <c r="I25" s="61"/>
      <c r="J25" s="61"/>
      <c r="K25" s="3"/>
    </row>
    <row r="26" spans="3:13" x14ac:dyDescent="0.2">
      <c r="C26" s="3"/>
      <c r="D26" s="17" t="s">
        <v>15</v>
      </c>
      <c r="E26" s="18"/>
      <c r="F26" s="18"/>
      <c r="G26" s="18"/>
      <c r="H26" s="18"/>
      <c r="I26" s="18"/>
      <c r="J26" s="18"/>
      <c r="K26" s="3"/>
    </row>
    <row r="27" spans="3:13" x14ac:dyDescent="0.2">
      <c r="C27" s="3"/>
      <c r="D27" s="62" t="str">
        <f>IF(Podesavanja!OstaloZaUplatuSlovima="","...",Podesavanja!OstaloZaUplatuSlovima)</f>
        <v>asd</v>
      </c>
      <c r="E27" s="63"/>
      <c r="F27" s="63"/>
      <c r="G27" s="63"/>
      <c r="H27" s="63"/>
      <c r="I27" s="63"/>
      <c r="J27" s="63"/>
      <c r="K27" s="3"/>
      <c r="L27" s="57" t="str">
        <f>D27</f>
        <v>asd</v>
      </c>
    </row>
    <row r="28" spans="3:13" x14ac:dyDescent="0.2">
      <c r="C28" s="3"/>
      <c r="D28" s="17" t="s">
        <v>16</v>
      </c>
      <c r="E28" s="18"/>
      <c r="F28" s="18"/>
      <c r="G28" s="18"/>
      <c r="H28" s="18"/>
      <c r="I28" s="18"/>
      <c r="J28" s="18"/>
      <c r="K28" s="3"/>
    </row>
    <row r="29" spans="3:13" x14ac:dyDescent="0.2">
      <c r="C29" s="3"/>
      <c r="D29" s="4"/>
      <c r="E29" s="4"/>
      <c r="F29" s="4"/>
      <c r="G29" s="4"/>
      <c r="H29" s="38"/>
      <c r="I29" s="4"/>
      <c r="J29" s="4"/>
      <c r="K29" s="3"/>
    </row>
    <row r="30" spans="3:13" x14ac:dyDescent="0.2">
      <c r="C30" s="3"/>
      <c r="D30" s="44"/>
      <c r="E30" s="44"/>
      <c r="F30" s="44"/>
      <c r="G30" s="44"/>
      <c r="H30" s="44"/>
      <c r="I30" s="44"/>
      <c r="J30" s="44"/>
      <c r="K30" s="3"/>
    </row>
    <row r="31" spans="3:13" x14ac:dyDescent="0.2">
      <c r="C31" s="3"/>
      <c r="D31" s="44"/>
      <c r="E31" s="44"/>
      <c r="F31" s="44"/>
      <c r="G31" s="44"/>
      <c r="H31" s="44"/>
      <c r="I31" s="44"/>
      <c r="J31" s="44"/>
      <c r="K31" s="3"/>
    </row>
    <row r="32" spans="3:13" x14ac:dyDescent="0.2">
      <c r="C32" s="3"/>
      <c r="D32" s="44"/>
      <c r="E32" s="44"/>
      <c r="F32" s="44"/>
      <c r="G32" s="44"/>
      <c r="H32" s="44"/>
      <c r="I32" s="44"/>
      <c r="J32" s="44"/>
      <c r="K32" s="3"/>
    </row>
    <row r="33" spans="3:11" x14ac:dyDescent="0.2">
      <c r="C33" s="3"/>
      <c r="D33" s="44"/>
      <c r="E33" s="44"/>
      <c r="F33" s="44"/>
      <c r="G33" s="44"/>
      <c r="H33" s="44"/>
      <c r="I33" s="44"/>
      <c r="J33" s="44"/>
      <c r="K33" s="3"/>
    </row>
    <row r="34" spans="3:11" x14ac:dyDescent="0.2">
      <c r="C34" s="3"/>
      <c r="D34" s="44"/>
      <c r="E34" s="44"/>
      <c r="F34" s="44"/>
      <c r="G34" s="44"/>
      <c r="H34" s="44"/>
      <c r="I34" s="44"/>
      <c r="J34" s="44"/>
      <c r="K34" s="3"/>
    </row>
    <row r="35" spans="3:11" x14ac:dyDescent="0.2">
      <c r="C35" s="3"/>
      <c r="D35" s="4"/>
      <c r="E35" s="4"/>
      <c r="F35" s="4"/>
      <c r="G35" s="4"/>
      <c r="H35" s="38"/>
      <c r="I35" s="4"/>
      <c r="J35" s="4"/>
      <c r="K35" s="3"/>
    </row>
    <row r="36" spans="3:11" x14ac:dyDescent="0.2">
      <c r="C36" s="3"/>
      <c r="D36" s="4"/>
      <c r="E36" s="4"/>
      <c r="F36" s="4"/>
      <c r="G36" s="4"/>
      <c r="H36" s="38"/>
      <c r="I36" s="4"/>
      <c r="J36" s="4"/>
      <c r="K36" s="3"/>
    </row>
    <row r="37" spans="3:11" x14ac:dyDescent="0.2">
      <c r="C37" s="3"/>
      <c r="D37" s="4"/>
      <c r="E37" s="4"/>
      <c r="F37" s="4"/>
      <c r="G37" s="4"/>
      <c r="H37" s="38"/>
      <c r="I37" s="4"/>
      <c r="J37" s="4"/>
      <c r="K37" s="3"/>
    </row>
    <row r="38" spans="3:11" x14ac:dyDescent="0.2">
      <c r="C38" s="3"/>
      <c r="D38" s="4"/>
      <c r="E38" s="4"/>
      <c r="F38" s="4"/>
      <c r="G38" s="4"/>
      <c r="H38" s="38"/>
      <c r="I38" s="4"/>
      <c r="J38" s="4"/>
      <c r="K38" s="3"/>
    </row>
    <row r="39" spans="3:11" x14ac:dyDescent="0.2">
      <c r="C39" s="3"/>
      <c r="D39" s="4"/>
      <c r="E39" s="4"/>
      <c r="F39" s="4"/>
      <c r="G39" s="4"/>
      <c r="H39" s="38"/>
      <c r="I39" s="4"/>
      <c r="J39" s="4"/>
      <c r="K39" s="3"/>
    </row>
    <row r="40" spans="3:11" x14ac:dyDescent="0.2">
      <c r="C40" s="3"/>
      <c r="D40" s="4"/>
      <c r="E40" s="4"/>
      <c r="F40" s="4"/>
      <c r="G40" s="4"/>
      <c r="H40" s="38"/>
      <c r="I40" s="4"/>
      <c r="J40" s="4"/>
      <c r="K40" s="3"/>
    </row>
    <row r="41" spans="3:11" x14ac:dyDescent="0.2">
      <c r="C41" s="3"/>
      <c r="D41" s="4"/>
      <c r="E41" s="4"/>
      <c r="F41" s="4"/>
      <c r="G41" s="4"/>
      <c r="H41" s="38"/>
      <c r="I41" s="4"/>
      <c r="J41" s="4"/>
      <c r="K41" s="3"/>
    </row>
    <row r="42" spans="3:11" x14ac:dyDescent="0.2">
      <c r="C42" s="3"/>
      <c r="D42" s="4"/>
      <c r="E42" s="4"/>
      <c r="F42" s="4"/>
      <c r="G42" s="4"/>
      <c r="H42" s="38"/>
      <c r="I42" s="4"/>
      <c r="J42" s="4"/>
      <c r="K42" s="3"/>
    </row>
    <row r="43" spans="3:11" x14ac:dyDescent="0.2">
      <c r="C43" s="3"/>
      <c r="D43" s="4"/>
      <c r="E43" s="4"/>
      <c r="F43" s="4"/>
      <c r="G43" s="4"/>
      <c r="H43" s="38"/>
      <c r="I43" s="4"/>
      <c r="J43" s="4"/>
      <c r="K43" s="3"/>
    </row>
    <row r="44" spans="3:11" x14ac:dyDescent="0.2">
      <c r="C44" s="3"/>
      <c r="D44" s="4"/>
      <c r="E44" s="4"/>
      <c r="F44" s="4"/>
      <c r="G44" s="4"/>
      <c r="H44" s="38"/>
      <c r="I44" s="4"/>
      <c r="J44" s="4"/>
      <c r="K44" s="3"/>
    </row>
    <row r="45" spans="3:11" x14ac:dyDescent="0.2">
      <c r="C45" s="3"/>
      <c r="D45" s="4"/>
      <c r="E45" s="4"/>
      <c r="F45" s="4"/>
      <c r="G45" s="4"/>
      <c r="H45" s="38"/>
      <c r="I45" s="4"/>
      <c r="J45" s="4"/>
      <c r="K45" s="3"/>
    </row>
    <row r="46" spans="3:11" x14ac:dyDescent="0.2">
      <c r="C46" s="3"/>
      <c r="D46" s="4"/>
      <c r="E46" s="4"/>
      <c r="F46" s="4"/>
      <c r="G46" s="4"/>
      <c r="H46" s="38"/>
      <c r="I46" s="4"/>
      <c r="J46" s="4"/>
      <c r="K46" s="3"/>
    </row>
    <row r="47" spans="3:11" x14ac:dyDescent="0.2">
      <c r="C47" s="3"/>
      <c r="D47" s="4"/>
      <c r="E47" s="4"/>
      <c r="F47" s="4"/>
      <c r="G47" s="4"/>
      <c r="H47" s="38"/>
      <c r="I47" s="4"/>
      <c r="J47" s="4"/>
      <c r="K47" s="3"/>
    </row>
    <row r="48" spans="3:11" x14ac:dyDescent="0.2">
      <c r="C48" s="3"/>
      <c r="D48" s="4"/>
      <c r="E48" s="4"/>
      <c r="F48" s="4"/>
      <c r="G48" s="4"/>
      <c r="H48" s="38"/>
      <c r="I48" s="4"/>
      <c r="J48" s="4"/>
      <c r="K48" s="3"/>
    </row>
    <row r="49" spans="3:11" x14ac:dyDescent="0.2">
      <c r="C49" s="3"/>
      <c r="D49" s="4"/>
      <c r="E49" s="4"/>
      <c r="F49" s="4"/>
      <c r="G49" s="4"/>
      <c r="H49" s="38"/>
      <c r="I49" s="4"/>
      <c r="J49" s="4"/>
      <c r="K49" s="3"/>
    </row>
    <row r="50" spans="3:11" x14ac:dyDescent="0.2">
      <c r="C50" s="3"/>
      <c r="D50" s="4"/>
      <c r="E50" s="4"/>
      <c r="F50" s="4"/>
      <c r="G50" s="4"/>
      <c r="H50" s="38"/>
      <c r="I50" s="4"/>
      <c r="J50" s="4"/>
      <c r="K50" s="3"/>
    </row>
    <row r="51" spans="3:11" x14ac:dyDescent="0.2">
      <c r="C51" s="3"/>
      <c r="D51" s="4"/>
      <c r="E51" s="4"/>
      <c r="F51" s="4"/>
      <c r="G51" s="4"/>
      <c r="H51" s="38"/>
      <c r="I51" s="4"/>
      <c r="J51" s="4"/>
      <c r="K51" s="8" t="s">
        <v>2</v>
      </c>
    </row>
    <row r="52" spans="3:11" x14ac:dyDescent="0.2">
      <c r="C52" s="3"/>
      <c r="D52" s="4"/>
      <c r="E52" s="4"/>
      <c r="F52" s="4"/>
      <c r="G52" s="4"/>
      <c r="H52" s="38"/>
      <c r="I52" s="4"/>
      <c r="J52" s="4"/>
      <c r="K52" s="3"/>
    </row>
    <row r="53" spans="3:11" x14ac:dyDescent="0.2">
      <c r="C53" s="3"/>
      <c r="D53" s="5"/>
      <c r="E53" s="5"/>
      <c r="F53" s="5"/>
      <c r="G53" s="5"/>
      <c r="H53" s="5"/>
      <c r="I53" s="5"/>
      <c r="J53" s="5"/>
      <c r="K53" s="6"/>
    </row>
    <row r="54" spans="3:11" x14ac:dyDescent="0.2">
      <c r="C54" s="3"/>
      <c r="D54" s="10" t="s">
        <v>3</v>
      </c>
      <c r="E54" s="9"/>
      <c r="F54" s="9"/>
      <c r="G54" s="9"/>
      <c r="H54" s="9"/>
      <c r="I54" s="9"/>
      <c r="J54" s="9" t="s">
        <v>4</v>
      </c>
      <c r="K54" s="3"/>
    </row>
    <row r="55" spans="3:11" x14ac:dyDescent="0.2">
      <c r="C55" s="3"/>
      <c r="D55" s="4"/>
      <c r="E55" s="4"/>
      <c r="F55" s="4"/>
      <c r="G55" s="4"/>
      <c r="H55" s="38"/>
      <c r="I55" s="4"/>
      <c r="J55" s="4"/>
      <c r="K55" s="3"/>
    </row>
    <row r="56" spans="3:11" x14ac:dyDescent="0.2">
      <c r="C56" s="3"/>
      <c r="D56" s="4"/>
      <c r="E56" s="4"/>
      <c r="F56" s="4"/>
      <c r="G56" s="4"/>
      <c r="H56" s="38"/>
      <c r="I56" s="4"/>
      <c r="J56" s="4"/>
      <c r="K56" s="3"/>
    </row>
    <row r="57" spans="3:11" x14ac:dyDescent="0.2">
      <c r="C57" s="3"/>
      <c r="D57" s="59" t="str">
        <f>IF(OR(Podesavanja!Datum="",Podesavanja!Mesto=""),"...",Podesavanja!Mesto &amp;", " &amp; Podesavanja!Datum &amp; " godine")</f>
        <v>Beograd (Voždovac), 31.10.2017. godine</v>
      </c>
      <c r="E57" s="59"/>
      <c r="F57" s="59"/>
      <c r="G57" s="59"/>
      <c r="H57" s="59"/>
      <c r="I57" s="59"/>
      <c r="J57" s="59"/>
      <c r="K57" s="6"/>
    </row>
    <row r="58" spans="3:11" x14ac:dyDescent="0.2">
      <c r="C58" s="3"/>
      <c r="D58" s="58" t="s">
        <v>0</v>
      </c>
      <c r="E58" s="58"/>
      <c r="F58" s="58"/>
      <c r="G58" s="58"/>
      <c r="H58" s="58"/>
      <c r="I58" s="58"/>
      <c r="J58" s="58"/>
      <c r="K58" s="3"/>
    </row>
    <row r="59" spans="3:11" ht="15" customHeight="1" x14ac:dyDescent="0.2">
      <c r="C59" s="49"/>
      <c r="D59" s="49"/>
      <c r="E59" s="49"/>
      <c r="F59" s="49"/>
      <c r="G59" s="49"/>
      <c r="H59" s="49"/>
      <c r="I59" s="49"/>
      <c r="J59" s="49"/>
      <c r="K59" s="49"/>
    </row>
    <row r="60" spans="3:11" x14ac:dyDescent="0.2">
      <c r="K60" s="7" t="s">
        <v>1</v>
      </c>
    </row>
    <row r="121" ht="15" customHeight="1" x14ac:dyDescent="0.2"/>
    <row r="203" ht="15.75" customHeight="1" x14ac:dyDescent="0.2"/>
    <row r="224" ht="15" customHeight="1" x14ac:dyDescent="0.2"/>
  </sheetData>
  <mergeCells count="7">
    <mergeCell ref="D58:J58"/>
    <mergeCell ref="D57:J57"/>
    <mergeCell ref="D9:J9"/>
    <mergeCell ref="D25:J25"/>
    <mergeCell ref="D27:J27"/>
    <mergeCell ref="D13:J13"/>
    <mergeCell ref="D15:J15"/>
  </mergeCells>
  <printOptions horizontalCentered="1"/>
  <pageMargins left="0.39370078740157483" right="0.39370078740157483" top="0.39370078740157483" bottom="0.39370078740157483" header="0" footer="0"/>
  <pageSetup paperSize="151" orientation="portrait" horizontalDpi="4294967292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C1:E27"/>
  <sheetViews>
    <sheetView showGridLines="0" showRowColHeaders="0" workbookViewId="0">
      <selection activeCell="C17" sqref="C17"/>
    </sheetView>
  </sheetViews>
  <sheetFormatPr defaultColWidth="2.21875" defaultRowHeight="15" x14ac:dyDescent="0.2"/>
  <cols>
    <col min="3" max="3" width="19.33203125" bestFit="1" customWidth="1"/>
    <col min="4" max="4" width="6.88671875" bestFit="1" customWidth="1"/>
    <col min="5" max="5" width="43.88671875" bestFit="1" customWidth="1"/>
  </cols>
  <sheetData>
    <row r="1" spans="3:5" s="1" customFormat="1" x14ac:dyDescent="0.2"/>
    <row r="2" spans="3:5" s="2" customFormat="1" ht="15.75" thickBot="1" x14ac:dyDescent="0.25"/>
    <row r="3" spans="3:5" ht="15.75" thickTop="1" x14ac:dyDescent="0.2"/>
    <row r="4" spans="3:5" x14ac:dyDescent="0.2">
      <c r="C4" s="50" t="s">
        <v>18</v>
      </c>
    </row>
    <row r="6" spans="3:5" x14ac:dyDescent="0.2">
      <c r="C6" s="51" t="s">
        <v>19</v>
      </c>
      <c r="D6" s="52" t="s">
        <v>37</v>
      </c>
      <c r="E6" s="52" t="s">
        <v>20</v>
      </c>
    </row>
    <row r="7" spans="3:5" x14ac:dyDescent="0.2">
      <c r="C7" s="53" t="s">
        <v>21</v>
      </c>
      <c r="D7" s="54" t="s">
        <v>22</v>
      </c>
      <c r="E7" s="54"/>
    </row>
    <row r="8" spans="3:5" x14ac:dyDescent="0.2">
      <c r="C8" s="53" t="s">
        <v>23</v>
      </c>
      <c r="D8" s="54" t="s">
        <v>22</v>
      </c>
      <c r="E8" s="54"/>
    </row>
    <row r="9" spans="3:5" x14ac:dyDescent="0.2">
      <c r="C9" s="53" t="s">
        <v>24</v>
      </c>
      <c r="D9" s="54" t="s">
        <v>22</v>
      </c>
      <c r="E9" s="55"/>
    </row>
    <row r="11" spans="3:5" x14ac:dyDescent="0.2">
      <c r="C11" s="50" t="s">
        <v>36</v>
      </c>
    </row>
    <row r="13" spans="3:5" x14ac:dyDescent="0.2">
      <c r="C13" s="51" t="s">
        <v>19</v>
      </c>
      <c r="D13" s="52" t="s">
        <v>37</v>
      </c>
      <c r="E13" s="52" t="s">
        <v>20</v>
      </c>
    </row>
    <row r="14" spans="3:5" x14ac:dyDescent="0.2">
      <c r="C14" s="53" t="s">
        <v>25</v>
      </c>
      <c r="D14" s="54" t="s">
        <v>22</v>
      </c>
      <c r="E14" s="55">
        <v>1</v>
      </c>
    </row>
    <row r="15" spans="3:5" x14ac:dyDescent="0.2">
      <c r="C15" s="53" t="s">
        <v>32</v>
      </c>
      <c r="D15" s="54" t="s">
        <v>22</v>
      </c>
      <c r="E15" s="56" t="s">
        <v>38</v>
      </c>
    </row>
    <row r="16" spans="3:5" x14ac:dyDescent="0.2">
      <c r="C16" s="53" t="s">
        <v>26</v>
      </c>
      <c r="D16" s="54" t="s">
        <v>22</v>
      </c>
      <c r="E16" s="55" t="s">
        <v>39</v>
      </c>
    </row>
    <row r="17" spans="3:5" x14ac:dyDescent="0.2">
      <c r="C17" s="53" t="s">
        <v>27</v>
      </c>
      <c r="D17" s="54" t="s">
        <v>22</v>
      </c>
      <c r="E17" s="55" t="s">
        <v>40</v>
      </c>
    </row>
    <row r="18" spans="3:5" x14ac:dyDescent="0.2">
      <c r="C18" s="53" t="s">
        <v>6</v>
      </c>
      <c r="D18" s="54" t="s">
        <v>22</v>
      </c>
      <c r="E18" s="55" t="s">
        <v>41</v>
      </c>
    </row>
    <row r="19" spans="3:5" x14ac:dyDescent="0.2">
      <c r="C19" s="53" t="s">
        <v>28</v>
      </c>
      <c r="D19" s="54" t="s">
        <v>22</v>
      </c>
      <c r="E19" s="55" t="s">
        <v>41</v>
      </c>
    </row>
    <row r="20" spans="3:5" x14ac:dyDescent="0.2">
      <c r="C20" s="53" t="s">
        <v>29</v>
      </c>
      <c r="D20" s="54" t="s">
        <v>22</v>
      </c>
      <c r="E20" s="55" t="s">
        <v>41</v>
      </c>
    </row>
    <row r="21" spans="3:5" x14ac:dyDescent="0.2">
      <c r="C21" s="53" t="s">
        <v>30</v>
      </c>
      <c r="D21" s="54" t="s">
        <v>22</v>
      </c>
      <c r="E21" s="55">
        <v>1</v>
      </c>
    </row>
    <row r="22" spans="3:5" x14ac:dyDescent="0.2">
      <c r="C22" s="53" t="s">
        <v>17</v>
      </c>
      <c r="D22" s="54" t="s">
        <v>22</v>
      </c>
      <c r="E22" s="55" t="s">
        <v>41</v>
      </c>
    </row>
    <row r="23" spans="3:5" x14ac:dyDescent="0.2">
      <c r="C23" s="53" t="s">
        <v>31</v>
      </c>
      <c r="D23" s="54" t="s">
        <v>22</v>
      </c>
      <c r="E23" s="55">
        <v>500</v>
      </c>
    </row>
    <row r="24" spans="3:5" x14ac:dyDescent="0.2">
      <c r="C24" s="53" t="s">
        <v>9</v>
      </c>
      <c r="D24" s="54" t="s">
        <v>22</v>
      </c>
      <c r="E24" s="55">
        <f>E21*CenaPoJediniciMere</f>
        <v>500</v>
      </c>
    </row>
    <row r="25" spans="3:5" x14ac:dyDescent="0.2">
      <c r="C25" s="53" t="s">
        <v>33</v>
      </c>
      <c r="D25" s="54" t="s">
        <v>22</v>
      </c>
      <c r="E25" s="55">
        <v>250</v>
      </c>
    </row>
    <row r="26" spans="3:5" x14ac:dyDescent="0.2">
      <c r="C26" s="53" t="s">
        <v>34</v>
      </c>
      <c r="D26" s="54" t="s">
        <v>22</v>
      </c>
      <c r="E26" s="55">
        <f>Iznos-Uplatio</f>
        <v>250</v>
      </c>
    </row>
    <row r="27" spans="3:5" x14ac:dyDescent="0.2">
      <c r="C27" s="53" t="s">
        <v>35</v>
      </c>
      <c r="D27" s="54" t="s">
        <v>22</v>
      </c>
      <c r="E27" s="55" t="s">
        <v>41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Priznanica</vt:lpstr>
      <vt:lpstr>Podesavanja</vt:lpstr>
      <vt:lpstr>Podesavanja!Broj</vt:lpstr>
      <vt:lpstr>Podesavanja!CenaPoJediniciMere</vt:lpstr>
      <vt:lpstr>Podesavanja!Datum</vt:lpstr>
      <vt:lpstr>Priznanica!GranicaDodajBrisi</vt:lpstr>
      <vt:lpstr>Podesavanja!Iznos</vt:lpstr>
      <vt:lpstr>Podesavanja!JedinicaMere</vt:lpstr>
      <vt:lpstr>Podesavanja!Kolicina</vt:lpstr>
      <vt:lpstr>Podesavanja!Mesto</vt:lpstr>
      <vt:lpstr>Podesavanja!OstaloZaUplatu</vt:lpstr>
      <vt:lpstr>Podesavanja!OstaloZaUplatuSlovima</vt:lpstr>
      <vt:lpstr>Podesavanja!Primaoc</vt:lpstr>
      <vt:lpstr>Priznanica!Print_Area</vt:lpstr>
      <vt:lpstr>Podesavanja!Uplatilac</vt:lpstr>
      <vt:lpstr>Podesavanja!Uplatio</vt:lpstr>
      <vt:lpstr>Podesavanja!Valuta</vt:lpstr>
      <vt:lpstr>Podesavanja!VrstaRobeUsluge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Vuk Stojanovic</dc:creator>
  <cp:lastModifiedBy>Vuk Stojanovic</cp:lastModifiedBy>
  <cp:lastPrinted>2017-10-14T19:11:40Z</cp:lastPrinted>
  <dcterms:created xsi:type="dcterms:W3CDTF">2015-09-10T18:25:48Z</dcterms:created>
  <dcterms:modified xsi:type="dcterms:W3CDTF">2017-10-31T20:35:33Z</dcterms:modified>
</cp:coreProperties>
</file>