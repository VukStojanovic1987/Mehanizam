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uk\Dropbox\Mehanizam\Mehanizam\Resources\"/>
    </mc:Choice>
  </mc:AlternateContent>
  <bookViews>
    <workbookView xWindow="120" yWindow="150" windowWidth="24975" windowHeight="12015"/>
  </bookViews>
  <sheets>
    <sheet name="Index" sheetId="35" r:id="rId1"/>
    <sheet name="01" sheetId="36" r:id="rId2"/>
    <sheet name="02" sheetId="37" r:id="rId3"/>
    <sheet name="03" sheetId="38" r:id="rId4"/>
    <sheet name="04" sheetId="39" r:id="rId5"/>
    <sheet name="05" sheetId="40" r:id="rId6"/>
    <sheet name="06" sheetId="41" r:id="rId7"/>
    <sheet name="07" sheetId="42" r:id="rId8"/>
    <sheet name="08" sheetId="43" r:id="rId9"/>
    <sheet name="09" sheetId="44" r:id="rId10"/>
    <sheet name="11" sheetId="45" r:id="rId11"/>
    <sheet name="13" sheetId="46" r:id="rId12"/>
    <sheet name="14" sheetId="47" r:id="rId13"/>
    <sheet name="17" sheetId="48" r:id="rId14"/>
    <sheet name="22" sheetId="49" r:id="rId15"/>
    <sheet name="23" sheetId="50" r:id="rId16"/>
    <sheet name="241" sheetId="51" r:id="rId17"/>
  </sheets>
  <externalReferences>
    <externalReference r:id="rId18"/>
    <externalReference r:id="rId19"/>
  </externalReferences>
  <definedNames>
    <definedName name="BrojFunkcionalnihJedinica">Index!$F$267</definedName>
    <definedName name="BrojParkingMesta">Index!$F$271</definedName>
    <definedName name="BrutoPovrsinaPr">Index!$F$243</definedName>
    <definedName name="CenaPoM2">Index!$F$309</definedName>
    <definedName name="Datum">Index!$F$24</definedName>
    <definedName name="EvidencioniBroj">Index!$F$28</definedName>
    <definedName name="GlavnaSveskaPozicijaSlike">[1]Index!$F$310</definedName>
    <definedName name="GlavniProjektant">Index!#REF!</definedName>
    <definedName name="GlavniProjektantPozicijaSlike">[1]Index!$F$315</definedName>
    <definedName name="IndeksIzgradjenosti">Index!$F$305</definedName>
    <definedName name="IndeksZauzetosti">Index!$F$301</definedName>
    <definedName name="Investitor">Index!$F$39</definedName>
    <definedName name="InvestitorIzKonteksta">[2]Index!$F$43</definedName>
    <definedName name="InvestitorPozicijaSlike">[1]Index!$F$305</definedName>
    <definedName name="KatastarskeParcele">Index!$F$198</definedName>
    <definedName name="KategorijaObjekta">Index!$F$186</definedName>
    <definedName name="LokacijskiUslovi">Index!$F$220</definedName>
    <definedName name="Mesto">Index!$F$32</definedName>
    <definedName name="NagibKrova">Index!$F$286</definedName>
    <definedName name="nEtazaPk">[2]Index!$C$50</definedName>
    <definedName name="nEtazaPo">[2]Index!$C$42</definedName>
    <definedName name="nEtazaPr">[2]Index!$C$44</definedName>
    <definedName name="nEtazaS1">[2]Index!$C$45</definedName>
    <definedName name="nEtazaS2">[2]Index!$C$46</definedName>
    <definedName name="nEtazaS3">[2]Index!$C$47</definedName>
    <definedName name="nEtazaS4">[2]Index!$C$48</definedName>
    <definedName name="nEtazaS5">[2]Index!$C$49</definedName>
    <definedName name="nEtazaSu">[2]Index!$C$43</definedName>
    <definedName name="nSpratnaVisninaPk">[2]Index!$F$266</definedName>
    <definedName name="nSpratnaVisninaPo">[2]Index!$F$234</definedName>
    <definedName name="nSpratnaVisninaPr">[2]Index!$F$242</definedName>
    <definedName name="nSpratnaVisninaS1">[2]Index!$F$246</definedName>
    <definedName name="nSpratnaVisninaS2">[2]Index!$F$250</definedName>
    <definedName name="nSpratnaVisninaS3">[2]Index!$F$254</definedName>
    <definedName name="nSpratnaVisninaS4">[2]Index!$F$258</definedName>
    <definedName name="nSpratnaVisninaS5">[2]Index!$F$262</definedName>
    <definedName name="nSpratnaVisninaSu">[2]Index!$F$238</definedName>
    <definedName name="nUkupnaBrutoPovrsinaPk">[2]Index!$F$180</definedName>
    <definedName name="nUkupnaBrutoPovrsinaPo">[2]Index!$F$148</definedName>
    <definedName name="nUkupnaBrutoPovrsinaPr">[2]Index!$F$156</definedName>
    <definedName name="nUkupnaBrutoPovrsinaS1">[2]Index!$F$160</definedName>
    <definedName name="nUkupnaBrutoPovrsinaS2">[2]Index!$F$164</definedName>
    <definedName name="nUkupnaBrutoPovrsinaS3">[2]Index!$F$168</definedName>
    <definedName name="nUkupnaBrutoPovrsinaS4">[2]Index!$F$172</definedName>
    <definedName name="nUkupnaBrutoPovrsinaS5">[2]Index!$F$176</definedName>
    <definedName name="nUkupnaBrutoPovrsinaSu">[2]Index!$F$152</definedName>
    <definedName name="nVisinaSlemena">[2]Index!$F$274</definedName>
    <definedName name="nVisinaVenca">[2]Index!$F$270</definedName>
    <definedName name="Objekat">Index!$F$53</definedName>
    <definedName name="ObjekatIzKonteksta">Index!$F$57</definedName>
    <definedName name="ObradaFasade">Index!$F$278</definedName>
    <definedName name="ObradaKrova">Index!$F$290</definedName>
    <definedName name="OdgovorniProjektantA">Index!#REF!</definedName>
    <definedName name="OdgovorniProjektantE">Index!#REF!</definedName>
    <definedName name="OdgovorniProjektantEEE">Index!#REF!</definedName>
    <definedName name="OdgovorniProjektantH">Index!#REF!</definedName>
    <definedName name="OdgovorniProjektantK">Index!#REF!</definedName>
    <definedName name="OdgovorniProjektantM">Index!#REF!</definedName>
    <definedName name="OdgovorniProjektantPPZ">Index!#REF!</definedName>
    <definedName name="OdgovorniProjektantSlikaA">[2]Index!$F$292</definedName>
    <definedName name="OdgovorniProjektantSlikaR">[2]Index!$F$297</definedName>
    <definedName name="OdgovorniProjektantTS">Index!#REF!</definedName>
    <definedName name="OdgovornoLice">Index!$F$43</definedName>
    <definedName name="OdgovornoLiceA">[2]Index!$F$76</definedName>
    <definedName name="OdgovornoLiceGS">Index!$F$79</definedName>
    <definedName name="OrjentacijaSlemena">Index!$F$282</definedName>
    <definedName name="pEtazaPk">[2]Index!$C$40</definedName>
    <definedName name="pEtazaPo">[2]Index!$C$32</definedName>
    <definedName name="pEtazaPr">[2]Index!$C$34</definedName>
    <definedName name="pEtazaS1">[2]Index!$C$35</definedName>
    <definedName name="pEtazaS2">[2]Index!$C$36</definedName>
    <definedName name="pEtazaS3">[2]Index!$C$37</definedName>
    <definedName name="pEtazaS4">[2]Index!$C$38</definedName>
    <definedName name="pEtazaS5">[2]Index!$C$39</definedName>
    <definedName name="pEtazaSu">[2]Index!$C$33</definedName>
    <definedName name="Pilot">Index!$F$8</definedName>
    <definedName name="PovrsinaParcele">Index!$F$227</definedName>
    <definedName name="PrikazNaslovaPodnaslovaEtaza">[2]Index!$G$102</definedName>
    <definedName name="PrikljucakNaKanalizaciju">Index!$F$209</definedName>
    <definedName name="PrikljucakNaStruju">Index!$F$213</definedName>
    <definedName name="PrikljucakNaVodovod">Index!$F$205</definedName>
    <definedName name="_xlnm.Print_Area" localSheetId="1">'01'!$D$9:$D$46</definedName>
    <definedName name="_xlnm.Print_Area" localSheetId="2">'02'!$D$9:$D$32</definedName>
    <definedName name="_xlnm.Print_Area" localSheetId="3">'03'!$D$9:$D$40</definedName>
    <definedName name="_xlnm.Print_Area" localSheetId="4">'04'!$D$9:$D$49</definedName>
    <definedName name="_xlnm.Print_Area" localSheetId="5">'05'!$D$9:$D$19</definedName>
    <definedName name="_xlnm.Print_Area" localSheetId="6">'06'!$D$9:$D$113</definedName>
    <definedName name="_xlnm.Print_Area" localSheetId="7">'07'!$D$9:$D$92</definedName>
    <definedName name="_xlnm.Print_Area" localSheetId="8">'08'!$D$9:$D$41</definedName>
    <definedName name="_xlnm.Print_Area" localSheetId="9">'09'!$D$9:$D$41</definedName>
    <definedName name="_xlnm.Print_Area" localSheetId="10">'11'!$D$9:$D$46</definedName>
    <definedName name="_xlnm.Print_Area" localSheetId="11">'13'!$D$9:$D$40</definedName>
    <definedName name="_xlnm.Print_Area" localSheetId="12">'14'!$D$9:$D$42</definedName>
    <definedName name="_xlnm.Print_Area" localSheetId="13">'17'!$D$9:$D$53</definedName>
    <definedName name="_xlnm.Print_Area" localSheetId="14">'22'!$D$9:$D$82</definedName>
    <definedName name="_xlnm.Print_Area" localSheetId="15">'23'!$D$9:$D$36</definedName>
    <definedName name="_xlnm.Print_Area" localSheetId="16">'241'!$D$9:$D$74</definedName>
    <definedName name="_xlnm.Print_Area" localSheetId="0">Index!$D$2:$H$369</definedName>
    <definedName name="ProcenatZelenihPovrsina">Index!$F$297</definedName>
    <definedName name="ProjekatA">Index!$G$86</definedName>
    <definedName name="ProjekatE">Index!#REF!</definedName>
    <definedName name="ProjekatEEE">Index!#REF!</definedName>
    <definedName name="ProjekatH">Index!#REF!</definedName>
    <definedName name="ProjekatK">Index!#REF!</definedName>
    <definedName name="ProjekatM">Index!#REF!</definedName>
    <definedName name="ProjekatPPZ">Index!#REF!</definedName>
    <definedName name="ProjekatTS">Index!#REF!</definedName>
    <definedName name="ProjektantAPozicijaSlike">[1]Index!$F$320</definedName>
    <definedName name="ProjektantEEEPozicijaSlike">[1]Index!$F$350</definedName>
    <definedName name="ProjektantEPozicijaSlike">[1]Index!$F$335</definedName>
    <definedName name="ProjektantHPozicijaSlike">[1]Index!$F$330</definedName>
    <definedName name="ProjektantKPozicijaSlike">[1]Index!$F$325</definedName>
    <definedName name="ProjektantMPozicijaSlike">[1]Index!$F$345</definedName>
    <definedName name="ProjektantPPZPozicijaSlike">[1]Index!$F$355</definedName>
    <definedName name="ProjektantTSPozicijaSlike">[1]Index!$F$340</definedName>
    <definedName name="ProjektnaOrganizacijaA">Index!$F$88</definedName>
    <definedName name="ProjektnaOrganizacijaE">Index!#REF!</definedName>
    <definedName name="ProjektnaOrganizacijaEEE">Index!#REF!</definedName>
    <definedName name="ProjektnaOrganizacijaGS">Index!$F$75</definedName>
    <definedName name="ProjektnaOrganizacijaH">Index!#REF!</definedName>
    <definedName name="ProjektnaOrganizacijaK">Index!#REF!</definedName>
    <definedName name="ProjektnaOrganizacijaM">Index!#REF!</definedName>
    <definedName name="ProjektnaOrganizacijaPPZ">Index!#REF!</definedName>
    <definedName name="ProjektnaOrganizacijaR">[2]Index!$F$81</definedName>
    <definedName name="ProjektnaOrganizacijaSlikaA">[2]Index!$F$282</definedName>
    <definedName name="ProjektnaOrganizacijaTS">Index!#REF!</definedName>
    <definedName name="pSpratnaVisninaPk">[2]Index!$F$219</definedName>
    <definedName name="pSpratnaVisninaPo">[2]Index!$F$187</definedName>
    <definedName name="pSpratnaVisninaPr">[2]Index!$F$195</definedName>
    <definedName name="pSpratnaVisninaS1">[2]Index!$F$199</definedName>
    <definedName name="pSpratnaVisninaS2">[2]Index!$F$203</definedName>
    <definedName name="pSpratnaVisninaS3">[2]Index!$F$207</definedName>
    <definedName name="pSpratnaVisninaS4">[2]Index!$F$211</definedName>
    <definedName name="pSpratnaVisninaS5">[2]Index!$F$215</definedName>
    <definedName name="pSpratnaVisninaSu">[2]Index!$F$191</definedName>
    <definedName name="pUkupnaBrutoPovrsinaPk">[2]Index!$F$141</definedName>
    <definedName name="pUkupnaBrutoPovrsinaPo">[2]Index!$F$109</definedName>
    <definedName name="pUkupnaBrutoPovrsinaPr">[2]Index!$F$117</definedName>
    <definedName name="pUkupnaBrutoPovrsinaS1">[2]Index!$F$121</definedName>
    <definedName name="pUkupnaBrutoPovrsinaS2">[2]Index!$F$125</definedName>
    <definedName name="pUkupnaBrutoPovrsinaS3">[2]Index!$F$129</definedName>
    <definedName name="pUkupnaBrutoPovrsinaS4">[2]Index!$F$133</definedName>
    <definedName name="pUkupnaBrutoPovrsinaS5">[2]Index!$F$137</definedName>
    <definedName name="pUkupnaBrutoPovrsinaSu">[2]Index!$F$113</definedName>
    <definedName name="PutanjaBaze">Index!$F$15</definedName>
    <definedName name="pVisinaSlemena">[2]Index!$F$227</definedName>
    <definedName name="pVisinaVenca">[2]Index!$F$223</definedName>
    <definedName name="RevidentA">[2]Index!$F$95</definedName>
    <definedName name="SpratnaVisina">Index!$F$263</definedName>
    <definedName name="Spratnost">Index!$F$251</definedName>
    <definedName name="TipObjekta">Index!$F$182</definedName>
    <definedName name="UcesceKlasifikacija">Index!$F$190</definedName>
    <definedName name="UkupnaBrutoPovrsina">Index!$F$235</definedName>
    <definedName name="UkupnaBrutoPovrsinaNadzemno">Index!$F$231</definedName>
    <definedName name="UkupnaNetoPovrsina">Index!$F$239</definedName>
    <definedName name="UrbanistickiPlan">Index!$F$194</definedName>
    <definedName name="VisinaSlemena">Index!$F$259</definedName>
    <definedName name="VisinaVenca">Index!$F$255</definedName>
    <definedName name="VrstaRadova">Index!$F$64</definedName>
    <definedName name="VrstaRadovaIzKonteksta">Index!$F$68</definedName>
    <definedName name="Zauzetost">Index!$F$247</definedName>
  </definedNames>
  <calcPr calcId="162913"/>
</workbook>
</file>

<file path=xl/calcChain.xml><?xml version="1.0" encoding="utf-8"?>
<calcChain xmlns="http://schemas.openxmlformats.org/spreadsheetml/2006/main">
  <c r="E92" i="35" l="1"/>
  <c r="E96" i="35"/>
  <c r="E83" i="35"/>
  <c r="D21" i="51" l="1"/>
  <c r="D17" i="51"/>
  <c r="D15" i="51"/>
  <c r="D74" i="49"/>
  <c r="D21" i="49"/>
  <c r="D17" i="49"/>
  <c r="D15" i="49"/>
  <c r="D36" i="49"/>
  <c r="D40" i="47" l="1"/>
  <c r="D34" i="47"/>
  <c r="D19" i="47"/>
  <c r="D15" i="47"/>
  <c r="D32" i="46"/>
  <c r="D27" i="46"/>
  <c r="D23" i="46"/>
  <c r="D45" i="45"/>
  <c r="D43" i="45"/>
  <c r="D39" i="45"/>
  <c r="D25" i="45"/>
  <c r="D23" i="45"/>
  <c r="D17" i="45"/>
  <c r="D15" i="45"/>
  <c r="D39" i="44" l="1"/>
  <c r="D33" i="44"/>
  <c r="D19" i="44"/>
  <c r="D15" i="44"/>
  <c r="D39" i="43"/>
  <c r="D33" i="43"/>
  <c r="D19" i="43"/>
  <c r="D15" i="43"/>
  <c r="D90" i="42"/>
  <c r="D78" i="42"/>
  <c r="D76" i="42"/>
  <c r="D74" i="42"/>
  <c r="D72" i="42"/>
  <c r="D66" i="42"/>
  <c r="D64" i="42"/>
  <c r="D62" i="42"/>
  <c r="D60" i="42"/>
  <c r="D58" i="42"/>
  <c r="D56" i="42"/>
  <c r="D54" i="42"/>
  <c r="D52" i="42"/>
  <c r="D50" i="42"/>
  <c r="D48" i="42"/>
  <c r="D46" i="42"/>
  <c r="D44" i="42"/>
  <c r="D39" i="42"/>
  <c r="D33" i="42"/>
  <c r="D31" i="42"/>
  <c r="D29" i="42"/>
  <c r="D23" i="42"/>
  <c r="D21" i="42"/>
  <c r="D19" i="42"/>
  <c r="D17" i="42"/>
  <c r="D15" i="42"/>
  <c r="D111" i="41"/>
  <c r="D105" i="41"/>
  <c r="D100" i="41"/>
  <c r="D94" i="41"/>
  <c r="D88" i="41"/>
  <c r="D82" i="41"/>
  <c r="D77" i="41"/>
  <c r="D71" i="41"/>
  <c r="D66" i="41"/>
  <c r="D60" i="41"/>
  <c r="D55" i="41"/>
  <c r="D49" i="41"/>
  <c r="D43" i="41"/>
  <c r="D37" i="41"/>
  <c r="D32" i="41"/>
  <c r="D26" i="41"/>
  <c r="D21" i="41"/>
  <c r="D15" i="41"/>
  <c r="D31" i="40"/>
  <c r="D29" i="40"/>
  <c r="D27" i="40"/>
  <c r="D25" i="40"/>
  <c r="D23" i="40"/>
  <c r="D21" i="40"/>
  <c r="D19" i="40"/>
  <c r="D17" i="40"/>
  <c r="D47" i="39"/>
  <c r="D40" i="39"/>
  <c r="D39" i="39"/>
  <c r="D38" i="39"/>
  <c r="D37" i="39"/>
  <c r="D36" i="39"/>
  <c r="D35" i="39"/>
  <c r="D34" i="39"/>
  <c r="D33" i="39"/>
  <c r="D19" i="39"/>
  <c r="D15" i="39"/>
  <c r="D38" i="38"/>
  <c r="D32" i="38"/>
  <c r="D27" i="38"/>
  <c r="D23" i="38"/>
  <c r="D31" i="37"/>
  <c r="D29" i="37"/>
  <c r="D45" i="36"/>
  <c r="D43" i="36"/>
  <c r="D39" i="36"/>
  <c r="D31" i="36"/>
  <c r="D25" i="36"/>
  <c r="D23" i="36"/>
  <c r="D17" i="36"/>
  <c r="D15" i="36"/>
  <c r="E309" i="35"/>
  <c r="F305" i="35"/>
  <c r="D88" i="42" s="1"/>
  <c r="F297" i="35"/>
  <c r="E297" i="35" s="1"/>
  <c r="E290" i="35"/>
  <c r="E286" i="35"/>
  <c r="E282" i="35"/>
  <c r="E278" i="35"/>
  <c r="E271" i="35"/>
  <c r="E267" i="35"/>
  <c r="E263" i="35"/>
  <c r="E259" i="35"/>
  <c r="E255" i="35"/>
  <c r="E251" i="35"/>
  <c r="E247" i="35"/>
  <c r="E243" i="35"/>
  <c r="E239" i="35"/>
  <c r="E235" i="35"/>
  <c r="E231" i="35"/>
  <c r="E227" i="35"/>
  <c r="E220" i="35"/>
  <c r="E213" i="35"/>
  <c r="E209" i="35"/>
  <c r="E205" i="35"/>
  <c r="E198" i="35"/>
  <c r="E194" i="35"/>
  <c r="E190" i="35"/>
  <c r="E186" i="35"/>
  <c r="E182" i="35"/>
  <c r="E88" i="35"/>
  <c r="E79" i="35"/>
  <c r="E75" i="35"/>
  <c r="E68" i="35"/>
  <c r="E64" i="35"/>
  <c r="E57" i="35"/>
  <c r="E53" i="35"/>
  <c r="E43" i="35"/>
  <c r="E39" i="35"/>
  <c r="E32" i="35"/>
  <c r="E28" i="35"/>
  <c r="E24" i="35"/>
  <c r="E15" i="35"/>
  <c r="E8" i="35"/>
  <c r="D84" i="42" l="1"/>
  <c r="F301" i="35"/>
  <c r="E301" i="35" s="1"/>
  <c r="E305" i="35"/>
  <c r="D86" i="42" l="1"/>
</calcChain>
</file>

<file path=xl/sharedStrings.xml><?xml version="1.0" encoding="utf-8"?>
<sst xmlns="http://schemas.openxmlformats.org/spreadsheetml/2006/main" count="306" uniqueCount="192">
  <si>
    <t>PODEŠAVANJA</t>
  </si>
  <si>
    <t>Pilot</t>
  </si>
  <si>
    <t>Naziv pilota</t>
  </si>
  <si>
    <t>Baza</t>
  </si>
  <si>
    <t>Informacije</t>
  </si>
  <si>
    <t>Putanja baze podataka (.accdb)</t>
  </si>
  <si>
    <t>PODACI</t>
  </si>
  <si>
    <t>Evidencija</t>
  </si>
  <si>
    <t>Datum</t>
  </si>
  <si>
    <t>(primer: 23.11.2017)</t>
  </si>
  <si>
    <t>Evidencioni broj</t>
  </si>
  <si>
    <t>(primer: 23-1/11/2017)</t>
  </si>
  <si>
    <t>Mesto</t>
  </si>
  <si>
    <t>(primer: Ćuprija 35230)</t>
  </si>
  <si>
    <t>Investitor</t>
  </si>
  <si>
    <t>(primer: Vuk Stojanović, JMBG 1234567891234, Ćuprija 35230, Alekse Šantića 3)</t>
  </si>
  <si>
    <t>Odgovorno lice</t>
  </si>
  <si>
    <t>(primer: Vuk Stojanović)</t>
  </si>
  <si>
    <t>Objekat</t>
  </si>
  <si>
    <t>(primer: Stambena zgrada sa jednim stanom - porodična kuća, spratnosti Pr+2+Pk, Ćuprija 35230, Alekse Šantića 3, k. p. br. 100 k. o. Ćuprija)</t>
  </si>
  <si>
    <t>Objekat iz konteksta</t>
  </si>
  <si>
    <t>(primer: stambene zgrade sa jednim stanom - porodične kuće, spratnosti Pr+2+Pk, Ćuprija 35230, Alekse Šantića 3, k. p. br. 100 k. o. Ćuprija)</t>
  </si>
  <si>
    <t>Vrsta radova</t>
  </si>
  <si>
    <t>(primer: Nova gradnja)</t>
  </si>
  <si>
    <t>Vrsta radova iz konteksta</t>
  </si>
  <si>
    <t>(primer: novu gradnju)</t>
  </si>
  <si>
    <t>Projektne organizacije</t>
  </si>
  <si>
    <t>Projektna organizacija koja je izradila glavnu svesku</t>
  </si>
  <si>
    <t>(primer: Stoing (DOO), Ćuprija 35230, Alekse Šantića 3)</t>
  </si>
  <si>
    <t>Odgovorno lice projektne organizacije koja je izradila glavnu svesku</t>
  </si>
  <si>
    <t>(primer: Vesna Stojanović, Dipl. inž. građ.)</t>
  </si>
  <si>
    <t>Projektna organizacija koja je izradila projekat arhitekture</t>
  </si>
  <si>
    <t>Glavni projektant</t>
  </si>
  <si>
    <t>(primer: Zoran Stojanović, Dipl. inž. građ. sa brojem licence 317 A335 04)</t>
  </si>
  <si>
    <t>Odgovorni projektant projekta arhitekture</t>
  </si>
  <si>
    <t>Odgovorni projektant projekta konstrukcije</t>
  </si>
  <si>
    <t>Odgovorni projektant projekta hidrotehničkih instalacija</t>
  </si>
  <si>
    <t>Odgovorni projektant projekta elektroenergetskih instalacija</t>
  </si>
  <si>
    <t>Odgovorni projektant projekta telekomunikacionih i signalnih instalacija</t>
  </si>
  <si>
    <t>Odgovorni projektant projekta mašinskih instalacija</t>
  </si>
  <si>
    <t>Odgovorni projektant eleborata energetske efikasnosti</t>
  </si>
  <si>
    <t>Opšti podaci o objektu i lokaciji</t>
  </si>
  <si>
    <t>Tip objekta</t>
  </si>
  <si>
    <t>(primer: samo-stojeći objekat)</t>
  </si>
  <si>
    <t>Kategorija objekta</t>
  </si>
  <si>
    <t>(primer: A)</t>
  </si>
  <si>
    <t>Učešće u ukupnoj površini objekta (%) i klasifikaciona oznaka</t>
  </si>
  <si>
    <t>(primer: Stambene zgrade sa jednim stanom sa klasifikacion oznakom 111011 i sa učešćem u ukupnoj površini od 100%)</t>
  </si>
  <si>
    <t>Naziv prostornog odnosno urbanističkog plana</t>
  </si>
  <si>
    <t>(primer: Generalni urbanistički plan opštine Ćuprija)</t>
  </si>
  <si>
    <t>Spisak katastarskih parcela i katastarska opština</t>
  </si>
  <si>
    <t>(primer: k. p. br. 100 k. o. Ćuprija)</t>
  </si>
  <si>
    <t>Priključci na infrastrukturu</t>
  </si>
  <si>
    <t>Priključak na vodovodnu mrežu</t>
  </si>
  <si>
    <t>(primer: Instalacije vodovoda se priključuju na postojeću vodovodnu mrežu.)</t>
  </si>
  <si>
    <t>Priključak na kanalizacijonu mrežu</t>
  </si>
  <si>
    <t>(primer: Instalacije kanalizacije se priključuju na postojeću kanalizacionu mrežu.)</t>
  </si>
  <si>
    <t>Priključak na nisko-naponsku elektro mrežu</t>
  </si>
  <si>
    <t>(primer: Elektro instalacije se priključuju na postojeću elektro mrežu.)</t>
  </si>
  <si>
    <t>Informacije o lokaciji</t>
  </si>
  <si>
    <t>Lokacijski uslovi</t>
  </si>
  <si>
    <t>(primer: ...)</t>
  </si>
  <si>
    <t>Dimenzije objekta</t>
  </si>
  <si>
    <r>
      <t>Ukupna površina parcele/parcela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</si>
  <si>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t>(primer: 1000)</t>
  </si>
  <si>
    <t>Ukupna BRGP nadzemno (m²)</t>
  </si>
  <si>
    <t>(primer: 100)</t>
  </si>
  <si>
    <t>Ukupna BRUTO izgrađena površina (m²)</t>
  </si>
  <si>
    <t>Ukupna NETO korisna površina (m²)</t>
  </si>
  <si>
    <t>(primer: 80)</t>
  </si>
  <si>
    <t>Bruto površina prizemlja (m²)</t>
  </si>
  <si>
    <t>Površina zemljišta pod objektom/zauzetost (m²)</t>
  </si>
  <si>
    <t>Spratnost (nadzemnih i podzemnih etaža)</t>
  </si>
  <si>
    <t>(primer: Po+Su+Pr+1+Pk)</t>
  </si>
  <si>
    <t>Visina venca (m)</t>
  </si>
  <si>
    <t>(primer: 3,50)</t>
  </si>
  <si>
    <t>Visina slemena (m)</t>
  </si>
  <si>
    <t>(primer: 5,50)</t>
  </si>
  <si>
    <t>Spratna visina (m)</t>
  </si>
  <si>
    <t>(primer: 2,60)</t>
  </si>
  <si>
    <t>Broj funkcionalnih jedinica/broj stanova</t>
  </si>
  <si>
    <t>(primer: 1)</t>
  </si>
  <si>
    <t>Broj parking mesta</t>
  </si>
  <si>
    <t>Materalizacija objekta</t>
  </si>
  <si>
    <t>Materalizacija fasade</t>
  </si>
  <si>
    <t>(primer: demit)</t>
  </si>
  <si>
    <t>Orjentacija slemena</t>
  </si>
  <si>
    <t>(primer: sever - jug)</t>
  </si>
  <si>
    <t>Nagib krova (°)</t>
  </si>
  <si>
    <t>(primer: 30)</t>
  </si>
  <si>
    <t>Materalizacija krova</t>
  </si>
  <si>
    <t>(primer: crep)</t>
  </si>
  <si>
    <t>Ostali podaci o objektu</t>
  </si>
  <si>
    <t>Procenat zelenih površina (%)</t>
  </si>
  <si>
    <t>(formula)</t>
  </si>
  <si>
    <t>Indeks zauzetosti</t>
  </si>
  <si>
    <t>Indeks izgrađenosti</t>
  </si>
  <si>
    <r>
      <t>Cena po jedinici mere (m</t>
    </r>
    <r>
      <rPr>
        <sz val="10"/>
        <color theme="1" tint="0.249977111117893"/>
        <rFont val="Calibri"/>
        <family val="2"/>
        <charset val="238"/>
      </rPr>
      <t>²)</t>
    </r>
  </si>
  <si>
    <t>(primer: 20000,00)</t>
  </si>
  <si>
    <t>POTPISI I PEČATI</t>
  </si>
  <si>
    <t>Projektne organizacije (Glavna sveska)</t>
  </si>
  <si>
    <t>Odgovorni projektant eleborata zaštite od požara</t>
  </si>
  <si>
    <t>0.1. NASLOVNA STRANA GLAVNE SVESKE TEHNICKE DOKUMENTACIJE</t>
  </si>
  <si>
    <t>Projekat za građevinsku dozvolu (PGD)</t>
  </si>
  <si>
    <t>Vrsta tehničke dokumentacije</t>
  </si>
  <si>
    <t>0. Glavna sveska</t>
  </si>
  <si>
    <t>Naziv i oznaka dela projekta</t>
  </si>
  <si>
    <t>Za gradjenje / izvodjenje radova</t>
  </si>
  <si>
    <t>Projektant</t>
  </si>
  <si>
    <t>Broj tehničke dokumentacije</t>
  </si>
  <si>
    <t>Mesto i datum</t>
  </si>
  <si>
    <t>0.2. SADRŽAJ GLAVNE SVESKE</t>
  </si>
  <si>
    <t>0.1. Naslovna strana glavne sveske</t>
  </si>
  <si>
    <t>0.2. Sadržaj glavne sveske</t>
  </si>
  <si>
    <t>0.3. Odluka o određivanju glavnog projektanta</t>
  </si>
  <si>
    <t>0.4. Izjava glavnog projektanta</t>
  </si>
  <si>
    <t>0.5. Sadržaj tehničke dokumentacije</t>
  </si>
  <si>
    <t>0.6. Podaci o projektantima</t>
  </si>
  <si>
    <t>0.7. Opšti podaci o objektu</t>
  </si>
  <si>
    <t>0.3. ODLUKA O ODREĐIVANJU GLAVNOG PROJEKTANTA</t>
  </si>
  <si>
    <t>Na osnovu člana 128a. Zakona o planiranju i izgradnji (Službeni glasnik RS, br. 72/09, 81/09-ispravka, 64/10 odluka US, 24/11 i 121/12, 42/13-odluka US, 50/2013-odluka US, 98/2013-odluka US, 132/14 i 145/14) i odredbi Pravilnika o sadržini, načinu i postupku izrade i način vršenja kontrole tehničke dokumentacije prema klasi i nameni objekata (Službeni glasnik RS, br. XX/2015.) kao:</t>
  </si>
  <si>
    <t>GLAVNI PROJEKTANT</t>
  </si>
  <si>
    <t>Ime i prezime, stručni naziv i broj licnce IKS</t>
  </si>
  <si>
    <t>0.4. IZJAVA GLAVNOG PROJEKTANTA</t>
  </si>
  <si>
    <t>IZJAVLJUJEM</t>
  </si>
  <si>
    <t>da su delovi Projekta za građevinsku dozvolu (PGD) međusobno usaglašeni, da podaci u glavnoj svesci odgovaraju sadržini projekta i da su projektu priloženi odgovarajući elaborti i studije.</t>
  </si>
  <si>
    <t>0. GLAVNA SVESKA</t>
  </si>
  <si>
    <t>0.5. SADRŽAJ TEHNIČKE DOKUMENTACIJE</t>
  </si>
  <si>
    <t>0.6. PODACI O PROJEKTANTIMA</t>
  </si>
  <si>
    <t>1. PROJEKAT ARHITEKTURE</t>
  </si>
  <si>
    <t>2/1. PROJEKAT KONSTRUKCIJE</t>
  </si>
  <si>
    <t>3. PROJEKAT HIDROTEHNIČKIH INSTALACIJA</t>
  </si>
  <si>
    <t>4. PROJEKAT ELEKTROENERGETSKIH INSTALACIJA</t>
  </si>
  <si>
    <t>5. PROJEKAT TELEKOMUNIKACIONIH I SIGNALNIH INSTALACIJA</t>
  </si>
  <si>
    <t>6. PROJEKAT MAŠINSKIH INSTALACIJA</t>
  </si>
  <si>
    <t>ELABORAT ENERGETSKE EFIKASNOSTI</t>
  </si>
  <si>
    <t>Odgovorni projektant elaborata energetske efikasnosti</t>
  </si>
  <si>
    <t>ELABORAT ZAŠTITE OD POŽARA</t>
  </si>
  <si>
    <t>Odgovorni projektant elaborata zaštite od požara</t>
  </si>
  <si>
    <t>0.7. OPŠTI PODACI O OBJEKTU I LOKACIJI</t>
  </si>
  <si>
    <t>OPŠTI PODACI O OBJEKTU I LOKACIJI</t>
  </si>
  <si>
    <t>PRIKLJUČCI NA INFRASTRUKTURU</t>
  </si>
  <si>
    <t>LOKACIJSKI USLOVI</t>
  </si>
  <si>
    <t>DIMENZIJE OBJEKTA</t>
  </si>
  <si>
    <r>
      <t>Ukupna površina parcele/parcela (m</t>
    </r>
    <r>
      <rPr>
        <sz val="8"/>
        <color rgb="FF808080"/>
        <rFont val="Calibri"/>
        <family val="2"/>
        <charset val="238"/>
      </rPr>
      <t>²</t>
    </r>
    <r>
      <rPr>
        <i/>
        <sz val="8"/>
        <color rgb="FF808080"/>
        <rFont val="Arial"/>
        <family val="2"/>
        <charset val="238"/>
      </rPr>
      <t>)</t>
    </r>
  </si>
  <si>
    <t>Površina prizemlja (m²)</t>
  </si>
  <si>
    <t>MATERIJALIZACIJA OBJEKTA</t>
  </si>
  <si>
    <t>Materijalizacija fasade</t>
  </si>
  <si>
    <t>Materijalizacija krova</t>
  </si>
  <si>
    <t>OSTALI PODACI O OBJEKTU</t>
  </si>
  <si>
    <t>Predračunska vrednost objekta (RSD)</t>
  </si>
  <si>
    <t>0.8. IZJAVA OVLAŠĆENOG LICA KOJE JE IZRADILO
ELABORAT ENERGETSKE EFIKASNOSTI</t>
  </si>
  <si>
    <t>1. da je elaborat izrađen u svemu prema u skladu sa Zakonom o planiranju i izgradnji, propisima, standardima i normativima iz oblasti energetske efikasnosti objekata i pravilima struke;</t>
  </si>
  <si>
    <t>2. da elaborat sadrži propisane i utvrđene mere i preporuke za ispunjenje osnovnog zahteva za objekat energetske efikasnosti.</t>
  </si>
  <si>
    <t>Odgovorni projektan eleborata energetske efikasnosti</t>
  </si>
  <si>
    <t>0.9. IZJAVA OVLAŠĆENOG LICA KOJE JE IZRADILO
ELABORAT ZAŠTITE OD POŽARA</t>
  </si>
  <si>
    <t>1. da je elaborat izrađen u svemu prema u skladu sa Zakonom o planiranju i izgradnji, propisima, standardima i normativima iz oblasti zaštite od požara i pravilima struke;</t>
  </si>
  <si>
    <t>2. da elaborat sadrži propisane i utvrđene mere i preporuke za ispunjenje osnovnog zahteva za objekat zaštite od požara.</t>
  </si>
  <si>
    <t>1.1. NASLOVNA STRANA PROJEKTA ARHITEKTURE</t>
  </si>
  <si>
    <t>1. Projekat arhitekture</t>
  </si>
  <si>
    <t>Odgovorni projektant</t>
  </si>
  <si>
    <t>1.3. REŠENJE O ODREĐIVANJU ODGOVORNOG PROJEKTANTA_x000D_
PROJEKTA ARHITEKTURE</t>
  </si>
  <si>
    <t>ODGOVORNI PROJEKTANT</t>
  </si>
  <si>
    <t>1.4. IZJAVA ODGOVORNOG PROJEKTANTA PROJEKTA ARHITEKTURE</t>
  </si>
  <si>
    <t>1. da je projekat u svemu u skladu sa izdatim lokacijskim uslovima;</t>
  </si>
  <si>
    <t>2. da je projekat izrađen u skladu sa Zakonom o planiranju i izgradnji, propisima, standardima i normativima iz oblasti izgradnje objekata i pravilima struke;</t>
  </si>
  <si>
    <t>3. da su pri izradi projekta poštovane sve propisne i utvrđene mere i preporuke za ispunjenje osnovnih zahteva za objekat i da je projekat izrađen u skladu sa merama i preporukama kojima se dokazuje ispunjenost osnovnih zahteva.</t>
  </si>
  <si>
    <t>Graficka
dokumentacija</t>
  </si>
  <si>
    <t>(primer: Izvod iz projekta)</t>
  </si>
  <si>
    <t>Izvod iz projekta</t>
  </si>
  <si>
    <t>...</t>
  </si>
  <si>
    <t>Kao zastupnik vršioca tehničke kontrole kontrole Projekta za građevinsku dozvolu (PGD) za novu gradnju stambenog objekta, spratnosti (Pr), selo Pretrkovac, 37215 Ražanj, k. p. br. 1285/4 k. o. Pretrkovac,</t>
  </si>
  <si>
    <t>Vršilac tehničke kontrole:</t>
  </si>
  <si>
    <t>Odgovorno lice vršioca tehničke kontrole</t>
  </si>
  <si>
    <t>1. da  je projekat za građevinsku dozvolu urađen u skladu sa lokacijskim uslovima;</t>
  </si>
  <si>
    <t>2. da  je projekat za građevinsku dozvolu usklađen sa zakonima i drugim propisima i da  je izrađen u svemu prema tehničkim propisima, standardima i normativima koji se odnose na projektovanje i građenje te vrste i klase objekta;</t>
  </si>
  <si>
    <t>3. da  projekat za građevinsku dozvolu ima sve neophodne delove utvrđene odredbama pravilnika kojim se uređuje sadržina tehničke dokumentacije;</t>
  </si>
  <si>
    <t>4. da su u projektu za građevinsku dozvolu ispravno primenjeni rezultati svih prethodnih i istražnih radova izvršenih za potrebe izrade projekta za građevinsku dozvolu, kao i da su u projektu sadržane sve opšte i posebne tehničke, tehnološke i druge podloge i podaci;</t>
  </si>
  <si>
    <t>5. da su projektom za građevinsku dozvolu obezbeđene tehničke mere za ispunjenje osnovnih zahteva za predmetni objekat.</t>
  </si>
  <si>
    <t>Datum, broj, mesto tehničke kontrole</t>
  </si>
  <si>
    <t>2.3. VRŠIOCI TEHNIČKE KONTROLE 
PROJEKTA ZA GRAĐEVINSKU DOZVOLU (PGD)</t>
  </si>
  <si>
    <t>???</t>
  </si>
  <si>
    <t>2.2. IZJAVA VRŠIOCA TEHNIČKE KONTROLE 
PROJEKTA ZA GRAĐEVINSKU DOZVOLU (PGD)</t>
  </si>
  <si>
    <t>2.4.1. REZIME IZVEŠTAJA O IZVRŠENOJ TEHNIČKOJ KONTROLI 
PROJEKTA ARHITEKTURE</t>
  </si>
  <si>
    <t>Projektna organizacija</t>
  </si>
  <si>
    <t>„Stoing” (DOO), Alekse Šantića 3, 35230 Ćuprija</t>
  </si>
  <si>
    <t>Izvršena je tehnička kontrola izrađene tehničke dokumentacije i tom prilikom je konstatovano da je predmetna dokumentacija urađena u svemu prema odredbama Zakona o planiranju i izgradnji (Službeni glasnik Republike Srbije br. 72/2009 i 81/2009), Zakona o izemnama i dopunama Zakona o planiranju i izgradnji (Službeni glasnik Republike Srbije br. 64/2010), Zakona o izemnama i dopunama Zakona o planiranju i izgradnji (Službeni glasnik Republike Srbije br. 24/2011), Zakona o izemnama i dopunama Zakona o planiranju i izgradnji (Službeni glasnik Republike Srbije br. 121/2012), Zakona o izemnama i dopunama Zakona o planiranju i izgradnji (Službeni glasnik Republike Srbije br. 42/2013, 50/2013, 98/2013, 132/2014 i 145/2014) i važećim tehničkim propisima za ovu vrstu objekata.</t>
  </si>
  <si>
    <t>STRUČNI NALAZ</t>
  </si>
  <si>
    <t>Na bazi izvršene tehničke kontrole projekta arhitekture koji je deo Projekta građevinsku dozvolu (PGD), za rekonstrukciju, dogradnju i nadogradnju stambene zgrade sa dva stana - porodične kuće, spratnosti (Pr+Pk), selo Varoš,  k. p. br. 1988 k. o. Varoš, mišljenja sam da se isti može prihvatiti,  odnosno da se za isti može izdati odobrenje za gradnju.</t>
  </si>
  <si>
    <t>MIŠLJENJE</t>
  </si>
  <si>
    <t>Odgovorno lice projektne organizacije koja je izradila projekat arhitekture</t>
  </si>
  <si>
    <t>Skenirani potpis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</si>
</sst>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#,##0.00\ &quot;RSD&quot;;[Red]\-#,##0.00\ &quot;RSD&quot;"/>
    <numFmt numFmtId="164" formatCode="#,##0.00\ &quot;RSD&quot;"/>
  </numFmts>
  <fonts count="19" x14ac:knownFonts="1"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  <charset val="238"/>
    </font>
    <font>
      <b/>
      <u/>
      <sz val="11"/>
      <color theme="1" tint="0.249977111117893"/>
      <name val="Arial"/>
      <family val="2"/>
      <charset val="238"/>
    </font>
    <font>
      <b/>
      <sz val="10"/>
      <color theme="1" tint="0.249977111117893"/>
      <name val="Arial"/>
      <family val="2"/>
      <charset val="238"/>
    </font>
    <font>
      <sz val="10"/>
      <color theme="1" tint="0.249977111117893"/>
      <name val="Arial"/>
      <family val="2"/>
      <charset val="238"/>
    </font>
    <font>
      <sz val="12"/>
      <color theme="5" tint="-0.249977111117893"/>
      <name val="Arial"/>
      <family val="2"/>
    </font>
    <font>
      <sz val="10"/>
      <color theme="1"/>
      <name val="Arial"/>
      <family val="2"/>
      <charset val="238"/>
    </font>
    <font>
      <i/>
      <sz val="8"/>
      <color theme="1" tint="0.249977111117893"/>
      <name val="Arial"/>
      <family val="2"/>
      <charset val="238"/>
    </font>
    <font>
      <sz val="10"/>
      <name val="Arial"/>
      <family val="2"/>
      <charset val="238"/>
    </font>
    <font>
      <sz val="10"/>
      <color theme="1" tint="0.249977111117893"/>
      <name val="Calibri"/>
      <family val="2"/>
      <charset val="238"/>
    </font>
    <font>
      <b/>
      <sz val="12"/>
      <color theme="1"/>
      <name val="Arial"/>
      <family val="2"/>
      <charset val="238"/>
    </font>
    <font>
      <i/>
      <sz val="8"/>
      <color rgb="FF808080"/>
      <name val="Arial"/>
      <family val="2"/>
      <charset val="238"/>
    </font>
    <font>
      <i/>
      <sz val="10"/>
      <color rgb="FF808080"/>
      <name val="Arial"/>
      <family val="2"/>
      <charset val="238"/>
    </font>
    <font>
      <i/>
      <sz val="10"/>
      <color theme="1" tint="0.499984740745262"/>
      <name val="Arial"/>
      <family val="2"/>
      <charset val="238"/>
    </font>
    <font>
      <sz val="8"/>
      <color rgb="FF808080"/>
      <name val="Calibri"/>
      <family val="2"/>
      <charset val="238"/>
    </font>
    <font>
      <sz val="12"/>
      <color theme="0" tint="-0.249977111117893"/>
      <name val="Arial"/>
      <family val="2"/>
    </font>
    <font>
      <sz val="58"/>
      <color theme="1"/>
      <name val="Brush Script MT"/>
      <family val="4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C0C0"/>
        <bgColor indexed="64"/>
      </patternFill>
    </fill>
  </fills>
  <borders count="25">
    <border>
      <left/>
      <right/>
      <top/>
      <bottom/>
      <diagonal/>
    </border>
    <border>
      <left/>
      <right/>
      <top style="thick">
        <color theme="0" tint="-4.9989318521683403E-2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/>
      <right style="medium">
        <color theme="1" tint="0.499984740745262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/>
      <right style="medium">
        <color theme="0" tint="-0.499984740745262"/>
      </right>
      <top/>
      <bottom style="medium">
        <color theme="1" tint="0.499984740745262"/>
      </bottom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/>
      <right style="thin">
        <color theme="1" tint="0.499984740745262"/>
      </right>
      <top style="medium">
        <color theme="0" tint="-0.499984740745262"/>
      </top>
      <bottom/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/>
      <top/>
      <bottom style="thick">
        <color theme="0" tint="-4.9989318521683403E-2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 style="thin">
        <color rgb="FF808080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123">
    <xf numFmtId="0" fontId="0" fillId="0" borderId="0" xfId="0"/>
    <xf numFmtId="0" fontId="2" fillId="2" borderId="0" xfId="1" applyFill="1" applyBorder="1" applyProtection="1"/>
    <xf numFmtId="0" fontId="2" fillId="3" borderId="1" xfId="1" applyFill="1" applyBorder="1" applyProtection="1"/>
    <xf numFmtId="0" fontId="3" fillId="3" borderId="1" xfId="2" applyFill="1" applyBorder="1" applyProtection="1"/>
    <xf numFmtId="0" fontId="2" fillId="0" borderId="1" xfId="1" applyBorder="1" applyProtection="1"/>
    <xf numFmtId="0" fontId="3" fillId="0" borderId="1" xfId="2" applyBorder="1" applyProtection="1"/>
    <xf numFmtId="0" fontId="3" fillId="4" borderId="1" xfId="2" applyFill="1" applyBorder="1" applyProtection="1"/>
    <xf numFmtId="0" fontId="2" fillId="3" borderId="0" xfId="1" applyFill="1" applyProtection="1"/>
    <xf numFmtId="0" fontId="3" fillId="3" borderId="0" xfId="2" applyFill="1" applyProtection="1"/>
    <xf numFmtId="0" fontId="2" fillId="0" borderId="0" xfId="1" applyProtection="1"/>
    <xf numFmtId="0" fontId="4" fillId="0" borderId="0" xfId="2" applyFont="1" applyBorder="1" applyAlignment="1" applyProtection="1">
      <alignment horizontal="center" vertical="center"/>
    </xf>
    <xf numFmtId="0" fontId="3" fillId="4" borderId="0" xfId="2" applyFill="1" applyProtection="1"/>
    <xf numFmtId="0" fontId="5" fillId="0" borderId="0" xfId="1" applyFont="1" applyAlignment="1" applyProtection="1">
      <alignment horizontal="left" vertical="center"/>
    </xf>
    <xf numFmtId="0" fontId="3" fillId="0" borderId="0" xfId="2" applyProtection="1"/>
    <xf numFmtId="0" fontId="2" fillId="0" borderId="2" xfId="1" applyBorder="1" applyProtection="1"/>
    <xf numFmtId="0" fontId="3" fillId="0" borderId="3" xfId="2" applyBorder="1" applyProtection="1"/>
    <xf numFmtId="0" fontId="2" fillId="0" borderId="4" xfId="1" applyBorder="1" applyProtection="1"/>
    <xf numFmtId="0" fontId="2" fillId="0" borderId="5" xfId="1" applyBorder="1" applyProtection="1"/>
    <xf numFmtId="0" fontId="6" fillId="0" borderId="0" xfId="2" applyFont="1" applyBorder="1" applyAlignment="1" applyProtection="1">
      <alignment horizontal="left" vertical="center"/>
    </xf>
    <xf numFmtId="0" fontId="2" fillId="0" borderId="6" xfId="1" applyBorder="1" applyProtection="1"/>
    <xf numFmtId="0" fontId="2" fillId="0" borderId="7" xfId="1" applyBorder="1" applyProtection="1"/>
    <xf numFmtId="0" fontId="7" fillId="0" borderId="0" xfId="2" applyFont="1" applyFill="1" applyBorder="1" applyAlignment="1" applyProtection="1">
      <alignment horizontal="center"/>
    </xf>
    <xf numFmtId="0" fontId="8" fillId="0" borderId="8" xfId="2" applyNumberFormat="1" applyFont="1" applyBorder="1" applyAlignment="1" applyProtection="1">
      <alignment horizontal="justify"/>
    </xf>
    <xf numFmtId="0" fontId="7" fillId="0" borderId="6" xfId="2" applyFont="1" applyFill="1" applyBorder="1" applyAlignment="1" applyProtection="1">
      <alignment horizontal="center"/>
    </xf>
    <xf numFmtId="0" fontId="9" fillId="0" borderId="0" xfId="2" applyFont="1" applyBorder="1" applyAlignment="1" applyProtection="1">
      <alignment horizontal="left" vertical="top"/>
    </xf>
    <xf numFmtId="0" fontId="2" fillId="0" borderId="9" xfId="1" applyBorder="1" applyProtection="1"/>
    <xf numFmtId="0" fontId="3" fillId="0" borderId="10" xfId="2" applyBorder="1" applyProtection="1"/>
    <xf numFmtId="0" fontId="2" fillId="0" borderId="11" xfId="1" applyBorder="1" applyProtection="1"/>
    <xf numFmtId="0" fontId="5" fillId="3" borderId="0" xfId="1" applyFont="1" applyFill="1" applyAlignment="1" applyProtection="1">
      <alignment horizontal="left" vertical="center"/>
    </xf>
    <xf numFmtId="0" fontId="8" fillId="0" borderId="8" xfId="2" applyNumberFormat="1" applyFont="1" applyBorder="1" applyAlignment="1" applyProtection="1">
      <alignment horizontal="justify"/>
      <protection locked="0"/>
    </xf>
    <xf numFmtId="0" fontId="2" fillId="0" borderId="0" xfId="1" applyBorder="1" applyProtection="1"/>
    <xf numFmtId="0" fontId="3" fillId="0" borderId="0" xfId="2" applyBorder="1" applyProtection="1"/>
    <xf numFmtId="14" fontId="10" fillId="0" borderId="8" xfId="2" applyNumberFormat="1" applyFont="1" applyBorder="1" applyAlignment="1" applyProtection="1">
      <alignment horizontal="justify"/>
      <protection locked="0"/>
    </xf>
    <xf numFmtId="0" fontId="9" fillId="0" borderId="0" xfId="2" applyFont="1" applyBorder="1" applyAlignment="1" applyProtection="1">
      <alignment horizontal="justify" vertical="top"/>
    </xf>
    <xf numFmtId="0" fontId="2" fillId="0" borderId="12" xfId="1" applyBorder="1" applyProtection="1"/>
    <xf numFmtId="0" fontId="3" fillId="0" borderId="13" xfId="2" applyBorder="1" applyProtection="1"/>
    <xf numFmtId="0" fontId="2" fillId="0" borderId="14" xfId="1" applyBorder="1" applyProtection="1"/>
    <xf numFmtId="0" fontId="8" fillId="0" borderId="8" xfId="2" applyFont="1" applyBorder="1" applyAlignment="1" applyProtection="1">
      <alignment horizontal="justify"/>
      <protection locked="0"/>
    </xf>
    <xf numFmtId="0" fontId="3" fillId="0" borderId="7" xfId="2" applyBorder="1" applyProtection="1"/>
    <xf numFmtId="0" fontId="2" fillId="0" borderId="15" xfId="1" applyBorder="1" applyProtection="1"/>
    <xf numFmtId="0" fontId="2" fillId="0" borderId="16" xfId="1" applyBorder="1" applyProtection="1"/>
    <xf numFmtId="0" fontId="2" fillId="0" borderId="3" xfId="1" applyBorder="1" applyProtection="1"/>
    <xf numFmtId="0" fontId="2" fillId="0" borderId="13" xfId="1" applyBorder="1" applyProtection="1"/>
    <xf numFmtId="0" fontId="3" fillId="0" borderId="17" xfId="2" applyBorder="1" applyProtection="1"/>
    <xf numFmtId="1" fontId="10" fillId="0" borderId="18" xfId="2" applyNumberFormat="1" applyFont="1" applyBorder="1" applyAlignment="1" applyProtection="1">
      <alignment horizontal="center" vertical="center"/>
      <protection locked="0"/>
    </xf>
    <xf numFmtId="4" fontId="8" fillId="0" borderId="8" xfId="2" applyNumberFormat="1" applyFont="1" applyBorder="1" applyAlignment="1" applyProtection="1">
      <alignment horizontal="justify"/>
      <protection locked="0"/>
    </xf>
    <xf numFmtId="0" fontId="6" fillId="0" borderId="0" xfId="2" applyFont="1" applyBorder="1" applyAlignment="1" applyProtection="1">
      <alignment horizontal="justify"/>
    </xf>
    <xf numFmtId="1" fontId="8" fillId="0" borderId="8" xfId="2" applyNumberFormat="1" applyFont="1" applyBorder="1" applyAlignment="1" applyProtection="1">
      <alignment horizontal="justify"/>
      <protection locked="0"/>
    </xf>
    <xf numFmtId="4" fontId="8" fillId="0" borderId="8" xfId="2" applyNumberFormat="1" applyFont="1" applyBorder="1" applyAlignment="1" applyProtection="1">
      <alignment horizontal="justify"/>
    </xf>
    <xf numFmtId="164" fontId="8" fillId="0" borderId="8" xfId="2" applyNumberFormat="1" applyFont="1" applyBorder="1" applyAlignment="1" applyProtection="1">
      <alignment horizontal="justify"/>
      <protection locked="0"/>
    </xf>
    <xf numFmtId="0" fontId="2" fillId="0" borderId="2" xfId="1" applyFill="1" applyBorder="1" applyProtection="1"/>
    <xf numFmtId="0" fontId="3" fillId="0" borderId="3" xfId="2" applyFill="1" applyBorder="1" applyProtection="1"/>
    <xf numFmtId="0" fontId="2" fillId="0" borderId="4" xfId="1" applyFill="1" applyBorder="1" applyProtection="1"/>
    <xf numFmtId="0" fontId="3" fillId="0" borderId="0" xfId="2" applyFill="1" applyProtection="1"/>
    <xf numFmtId="0" fontId="3" fillId="0" borderId="0" xfId="2" applyFill="1" applyBorder="1" applyAlignment="1" applyProtection="1">
      <alignment horizontal="left"/>
      <protection locked="0"/>
    </xf>
    <xf numFmtId="0" fontId="2" fillId="0" borderId="6" xfId="1" applyFill="1" applyBorder="1" applyProtection="1"/>
    <xf numFmtId="0" fontId="3" fillId="3" borderId="0" xfId="2" applyFill="1"/>
    <xf numFmtId="0" fontId="3" fillId="0" borderId="15" xfId="2" applyFill="1" applyBorder="1" applyProtection="1"/>
    <xf numFmtId="0" fontId="3" fillId="0" borderId="10" xfId="2" applyFill="1" applyBorder="1" applyProtection="1"/>
    <xf numFmtId="0" fontId="2" fillId="0" borderId="11" xfId="1" applyFill="1" applyBorder="1" applyProtection="1"/>
    <xf numFmtId="0" fontId="3" fillId="4" borderId="0" xfId="2" applyFill="1"/>
    <xf numFmtId="0" fontId="3" fillId="0" borderId="0" xfId="2"/>
    <xf numFmtId="0" fontId="2" fillId="0" borderId="0" xfId="1" applyFill="1" applyProtection="1"/>
    <xf numFmtId="0" fontId="5" fillId="0" borderId="0" xfId="1" applyFont="1" applyFill="1" applyAlignment="1" applyProtection="1">
      <alignment horizontal="left" vertical="center"/>
    </xf>
    <xf numFmtId="0" fontId="3" fillId="0" borderId="0" xfId="2" applyFill="1" applyBorder="1" applyProtection="1">
      <protection locked="0"/>
    </xf>
    <xf numFmtId="0" fontId="2" fillId="4" borderId="0" xfId="1" applyFill="1" applyProtection="1"/>
    <xf numFmtId="0" fontId="3" fillId="0" borderId="0" xfId="2" applyFill="1"/>
    <xf numFmtId="0" fontId="5" fillId="0" borderId="10" xfId="1" applyFont="1" applyFill="1" applyBorder="1" applyAlignment="1" applyProtection="1">
      <alignment horizontal="left" vertical="center"/>
    </xf>
    <xf numFmtId="0" fontId="2" fillId="0" borderId="10" xfId="1" applyFill="1" applyBorder="1" applyProtection="1"/>
    <xf numFmtId="0" fontId="3" fillId="0" borderId="16" xfId="2" applyFill="1" applyBorder="1" applyProtection="1"/>
    <xf numFmtId="0" fontId="2" fillId="2" borderId="0" xfId="1" applyFill="1" applyProtection="1"/>
    <xf numFmtId="0" fontId="2" fillId="2" borderId="19" xfId="1" applyFill="1" applyBorder="1"/>
    <xf numFmtId="0" fontId="2" fillId="0" borderId="0" xfId="1" applyFill="1"/>
    <xf numFmtId="0" fontId="2" fillId="0" borderId="0" xfId="1" applyFont="1" applyFill="1" applyAlignment="1">
      <alignment horizontal="justify"/>
    </xf>
    <xf numFmtId="0" fontId="2" fillId="0" borderId="0" xfId="1"/>
    <xf numFmtId="0" fontId="2" fillId="3" borderId="0" xfId="1" applyFont="1" applyFill="1" applyAlignment="1">
      <alignment horizontal="justify"/>
    </xf>
    <xf numFmtId="0" fontId="2" fillId="4" borderId="0" xfId="1" applyFont="1" applyFill="1" applyAlignment="1">
      <alignment horizontal="justify"/>
    </xf>
    <xf numFmtId="0" fontId="2" fillId="4" borderId="0" xfId="1" applyFill="1"/>
    <xf numFmtId="0" fontId="2" fillId="0" borderId="0" xfId="1" applyFont="1" applyAlignment="1">
      <alignment horizontal="justify"/>
    </xf>
    <xf numFmtId="0" fontId="12" fillId="0" borderId="0" xfId="1" applyFont="1" applyAlignment="1">
      <alignment horizontal="center"/>
    </xf>
    <xf numFmtId="0" fontId="2" fillId="4" borderId="0" xfId="1" applyFill="1" applyAlignment="1">
      <alignment horizontal="justify"/>
    </xf>
    <xf numFmtId="0" fontId="1" fillId="0" borderId="20" xfId="1" applyFont="1" applyBorder="1" applyAlignment="1">
      <alignment horizontal="justify" wrapText="1"/>
    </xf>
    <xf numFmtId="0" fontId="2" fillId="0" borderId="0" xfId="1" applyAlignment="1">
      <alignment horizontal="justify"/>
    </xf>
    <xf numFmtId="0" fontId="13" fillId="0" borderId="0" xfId="1" applyFont="1" applyAlignment="1">
      <alignment horizontal="left" vertical="top"/>
    </xf>
    <xf numFmtId="0" fontId="1" fillId="0" borderId="0" xfId="1" applyFont="1" applyAlignment="1">
      <alignment horizontal="justify" wrapText="1"/>
    </xf>
    <xf numFmtId="0" fontId="1" fillId="0" borderId="0" xfId="1" applyFont="1" applyAlignment="1">
      <alignment horizontal="justify"/>
    </xf>
    <xf numFmtId="0" fontId="13" fillId="0" borderId="21" xfId="1" applyFont="1" applyBorder="1" applyAlignment="1">
      <alignment horizontal="left" vertical="top"/>
    </xf>
    <xf numFmtId="0" fontId="2" fillId="5" borderId="0" xfId="1" applyFill="1"/>
    <xf numFmtId="0" fontId="2" fillId="5" borderId="0" xfId="1" applyFont="1" applyFill="1" applyAlignment="1">
      <alignment horizontal="justify"/>
    </xf>
    <xf numFmtId="0" fontId="6" fillId="0" borderId="0" xfId="2" applyFont="1" applyAlignment="1">
      <alignment horizontal="right" vertical="center"/>
    </xf>
    <xf numFmtId="0" fontId="1" fillId="2" borderId="19" xfId="1" applyFont="1" applyFill="1" applyBorder="1"/>
    <xf numFmtId="0" fontId="1" fillId="0" borderId="0" xfId="1" applyFont="1"/>
    <xf numFmtId="0" fontId="2" fillId="6" borderId="0" xfId="1" applyFont="1" applyFill="1" applyAlignment="1">
      <alignment horizontal="justify"/>
    </xf>
    <xf numFmtId="0" fontId="2" fillId="2" borderId="0" xfId="1" applyFont="1" applyFill="1" applyAlignment="1">
      <alignment horizontal="justify"/>
    </xf>
    <xf numFmtId="0" fontId="1" fillId="0" borderId="0" xfId="1" applyFont="1" applyAlignment="1">
      <alignment horizontal="center"/>
    </xf>
    <xf numFmtId="0" fontId="13" fillId="0" borderId="0" xfId="1" applyFont="1" applyAlignment="1">
      <alignment horizontal="center" vertical="top"/>
    </xf>
    <xf numFmtId="0" fontId="1" fillId="0" borderId="20" xfId="1" applyFont="1" applyBorder="1" applyAlignment="1">
      <alignment horizontal="justify"/>
    </xf>
    <xf numFmtId="0" fontId="2" fillId="0" borderId="20" xfId="1" applyFont="1" applyBorder="1" applyAlignment="1">
      <alignment horizontal="justify"/>
    </xf>
    <xf numFmtId="0" fontId="2" fillId="0" borderId="0" xfId="1" applyFont="1" applyBorder="1" applyAlignment="1">
      <alignment horizontal="justify"/>
    </xf>
    <xf numFmtId="0" fontId="2" fillId="0" borderId="22" xfId="1" applyFont="1" applyBorder="1" applyAlignment="1">
      <alignment horizontal="justify"/>
    </xf>
    <xf numFmtId="0" fontId="14" fillId="0" borderId="0" xfId="1" applyFont="1" applyAlignment="1">
      <alignment horizontal="right" vertical="center"/>
    </xf>
    <xf numFmtId="0" fontId="13" fillId="0" borderId="0" xfId="1" applyFont="1" applyBorder="1" applyAlignment="1">
      <alignment horizontal="left" vertical="top"/>
    </xf>
    <xf numFmtId="0" fontId="13" fillId="0" borderId="8" xfId="1" applyFont="1" applyBorder="1" applyAlignment="1">
      <alignment horizontal="left" vertical="top"/>
    </xf>
    <xf numFmtId="0" fontId="15" fillId="0" borderId="0" xfId="1" applyFont="1" applyAlignment="1">
      <alignment horizontal="right" vertical="center"/>
    </xf>
    <xf numFmtId="0" fontId="1" fillId="0" borderId="23" xfId="1" quotePrefix="1" applyFont="1" applyBorder="1" applyAlignment="1">
      <alignment horizontal="justify"/>
    </xf>
    <xf numFmtId="4" fontId="1" fillId="0" borderId="20" xfId="1" applyNumberFormat="1" applyFont="1" applyBorder="1" applyAlignment="1">
      <alignment horizontal="justify"/>
    </xf>
    <xf numFmtId="4" fontId="1" fillId="0" borderId="0" xfId="1" applyNumberFormat="1" applyFont="1" applyAlignment="1">
      <alignment horizontal="justify"/>
    </xf>
    <xf numFmtId="1" fontId="1" fillId="0" borderId="0" xfId="1" applyNumberFormat="1" applyFont="1" applyAlignment="1">
      <alignment horizontal="justify"/>
    </xf>
    <xf numFmtId="4" fontId="1" fillId="0" borderId="0" xfId="1" applyNumberFormat="1" applyFont="1" applyBorder="1" applyAlignment="1">
      <alignment horizontal="justify"/>
    </xf>
    <xf numFmtId="8" fontId="1" fillId="0" borderId="0" xfId="1" applyNumberFormat="1" applyFont="1" applyAlignment="1">
      <alignment horizontal="justify"/>
    </xf>
    <xf numFmtId="0" fontId="12" fillId="0" borderId="0" xfId="1" applyFont="1" applyAlignment="1">
      <alignment horizontal="center" wrapText="1"/>
    </xf>
    <xf numFmtId="0" fontId="2" fillId="0" borderId="0" xfId="1" applyFont="1" applyAlignment="1">
      <alignment horizontal="center"/>
    </xf>
    <xf numFmtId="0" fontId="0" fillId="3" borderId="0" xfId="0" applyFill="1"/>
    <xf numFmtId="0" fontId="2" fillId="0" borderId="24" xfId="1" applyFont="1" applyBorder="1" applyAlignment="1">
      <alignment horizontal="justify"/>
    </xf>
    <xf numFmtId="0" fontId="0" fillId="0" borderId="0" xfId="1" applyFont="1" applyAlignment="1">
      <alignment horizontal="justify"/>
    </xf>
    <xf numFmtId="0" fontId="0" fillId="0" borderId="20" xfId="1" applyFont="1" applyBorder="1" applyAlignment="1">
      <alignment horizontal="justify"/>
    </xf>
    <xf numFmtId="0" fontId="0" fillId="0" borderId="0" xfId="0" applyAlignment="1">
      <alignment horizontal="justify"/>
    </xf>
    <xf numFmtId="0" fontId="0" fillId="0" borderId="0" xfId="1" applyFont="1" applyAlignment="1">
      <alignment horizontal="left"/>
    </xf>
    <xf numFmtId="0" fontId="12" fillId="0" borderId="0" xfId="1" applyFont="1" applyAlignment="1">
      <alignment horizontal="left"/>
    </xf>
    <xf numFmtId="0" fontId="17" fillId="2" borderId="19" xfId="2" applyFont="1" applyFill="1" applyBorder="1" applyAlignment="1">
      <alignment horizontal="left" vertical="center"/>
    </xf>
    <xf numFmtId="0" fontId="17" fillId="2" borderId="19" xfId="1" applyFont="1" applyFill="1" applyBorder="1" applyAlignment="1">
      <alignment horizontal="left" vertical="center"/>
    </xf>
    <xf numFmtId="0" fontId="18" fillId="0" borderId="0" xfId="1" applyFont="1" applyAlignment="1">
      <alignment horizontal="center" vertical="center" wrapText="1"/>
    </xf>
    <xf numFmtId="0" fontId="18" fillId="0" borderId="0" xfId="1" applyFont="1" applyAlignment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0"/>
  <tableStyles count="0" defaultTableStyle="TableStyleMedium9" defaultPivotStyle="PivotStyleLight16"/>
  <colors>
    <mruColors>
      <color rgb="FF9C0006"/>
      <color rgb="FF9C6500"/>
      <color rgb="FFC0C0C0"/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hyperlink" Target="#PutanjaBaze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vestitorPozicijaSlike"/><Relationship Id="rId2" Type="http://schemas.openxmlformats.org/officeDocument/2006/relationships/hyperlink" Target="#PutanjaBaze"/><Relationship Id="rId1" Type="http://schemas.openxmlformats.org/officeDocument/2006/relationships/image" Target="../media/image6.emf"/><Relationship Id="rId6" Type="http://schemas.openxmlformats.org/officeDocument/2006/relationships/image" Target="NULL"/><Relationship Id="rId5" Type="http://schemas.openxmlformats.org/officeDocument/2006/relationships/image" Target="../media/image7.png"/><Relationship Id="rId4" Type="http://schemas.openxmlformats.org/officeDocument/2006/relationships/hyperlink" Target="#Datum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InvestitorPozicijaSlike"/><Relationship Id="rId2" Type="http://schemas.openxmlformats.org/officeDocument/2006/relationships/hyperlink" Target="#PutanjaBaze"/><Relationship Id="rId1" Type="http://schemas.openxmlformats.org/officeDocument/2006/relationships/image" Target="../media/image6.emf"/><Relationship Id="rId6" Type="http://schemas.openxmlformats.org/officeDocument/2006/relationships/image" Target="NULL"/><Relationship Id="rId5" Type="http://schemas.openxmlformats.org/officeDocument/2006/relationships/image" Target="../media/image7.png"/><Relationship Id="rId4" Type="http://schemas.openxmlformats.org/officeDocument/2006/relationships/hyperlink" Target="#Datum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vestitorPozicijaSlike"/><Relationship Id="rId2" Type="http://schemas.openxmlformats.org/officeDocument/2006/relationships/hyperlink" Target="#PutanjaBaze"/><Relationship Id="rId1" Type="http://schemas.openxmlformats.org/officeDocument/2006/relationships/image" Target="../media/image6.emf"/><Relationship Id="rId6" Type="http://schemas.openxmlformats.org/officeDocument/2006/relationships/image" Target="NULL"/><Relationship Id="rId5" Type="http://schemas.openxmlformats.org/officeDocument/2006/relationships/image" Target="../media/image7.png"/><Relationship Id="rId4" Type="http://schemas.openxmlformats.org/officeDocument/2006/relationships/hyperlink" Target="#Datum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InvestitorPozicijaSlike"/><Relationship Id="rId2" Type="http://schemas.openxmlformats.org/officeDocument/2006/relationships/hyperlink" Target="#PutanjaBaze"/><Relationship Id="rId1" Type="http://schemas.openxmlformats.org/officeDocument/2006/relationships/image" Target="../media/image6.emf"/><Relationship Id="rId6" Type="http://schemas.openxmlformats.org/officeDocument/2006/relationships/image" Target="NULL"/><Relationship Id="rId5" Type="http://schemas.openxmlformats.org/officeDocument/2006/relationships/image" Target="../media/image7.png"/><Relationship Id="rId4" Type="http://schemas.openxmlformats.org/officeDocument/2006/relationships/hyperlink" Target="#Datum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6.emf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6.emf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6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7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6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7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6.emf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7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7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7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14</xdr:row>
      <xdr:rowOff>38100</xdr:rowOff>
    </xdr:from>
    <xdr:to>
      <xdr:col>6</xdr:col>
      <xdr:colOff>152400</xdr:colOff>
      <xdr:row>15</xdr:row>
      <xdr:rowOff>0</xdr:rowOff>
    </xdr:to>
    <xdr:pic>
      <xdr:nvPicPr>
        <xdr:cNvPr id="2" name="Odaberi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9275" y="293370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38119</xdr:colOff>
      <xdr:row>314</xdr:row>
      <xdr:rowOff>0</xdr:rowOff>
    </xdr:from>
    <xdr:to>
      <xdr:col>7</xdr:col>
      <xdr:colOff>0</xdr:colOff>
      <xdr:row>314</xdr:row>
      <xdr:rowOff>152381</xdr:rowOff>
    </xdr:to>
    <xdr:pic>
      <xdr:nvPicPr>
        <xdr:cNvPr id="3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58340625"/>
          <a:ext cx="152381" cy="152381"/>
        </a:xfrm>
        <a:prstGeom prst="rect">
          <a:avLst/>
        </a:prstGeom>
      </xdr:spPr>
    </xdr:pic>
    <xdr:clientData/>
  </xdr:twoCellAnchor>
  <xdr:twoCellAnchor editAs="oneCell">
    <xdr:from>
      <xdr:col>6</xdr:col>
      <xdr:colOff>38119</xdr:colOff>
      <xdr:row>319</xdr:row>
      <xdr:rowOff>0</xdr:rowOff>
    </xdr:from>
    <xdr:to>
      <xdr:col>7</xdr:col>
      <xdr:colOff>0</xdr:colOff>
      <xdr:row>319</xdr:row>
      <xdr:rowOff>152381</xdr:rowOff>
    </xdr:to>
    <xdr:pic>
      <xdr:nvPicPr>
        <xdr:cNvPr id="4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0645675"/>
          <a:ext cx="152381" cy="152381"/>
        </a:xfrm>
        <a:prstGeom prst="rect">
          <a:avLst/>
        </a:prstGeom>
      </xdr:spPr>
    </xdr:pic>
    <xdr:clientData/>
  </xdr:twoCellAnchor>
  <xdr:twoCellAnchor editAs="oneCell">
    <xdr:from>
      <xdr:col>6</xdr:col>
      <xdr:colOff>38119</xdr:colOff>
      <xdr:row>324</xdr:row>
      <xdr:rowOff>0</xdr:rowOff>
    </xdr:from>
    <xdr:to>
      <xdr:col>7</xdr:col>
      <xdr:colOff>0</xdr:colOff>
      <xdr:row>324</xdr:row>
      <xdr:rowOff>152381</xdr:rowOff>
    </xdr:to>
    <xdr:pic>
      <xdr:nvPicPr>
        <xdr:cNvPr id="5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2950725"/>
          <a:ext cx="152381" cy="152381"/>
        </a:xfrm>
        <a:prstGeom prst="rect">
          <a:avLst/>
        </a:prstGeom>
      </xdr:spPr>
    </xdr:pic>
    <xdr:clientData/>
  </xdr:twoCellAnchor>
  <xdr:oneCellAnchor>
    <xdr:from>
      <xdr:col>6</xdr:col>
      <xdr:colOff>38119</xdr:colOff>
      <xdr:row>329</xdr:row>
      <xdr:rowOff>0</xdr:rowOff>
    </xdr:from>
    <xdr:ext cx="152381" cy="152381"/>
    <xdr:pic>
      <xdr:nvPicPr>
        <xdr:cNvPr id="6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525577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334</xdr:row>
      <xdr:rowOff>0</xdr:rowOff>
    </xdr:from>
    <xdr:ext cx="152381" cy="152381"/>
    <xdr:pic>
      <xdr:nvPicPr>
        <xdr:cNvPr id="7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756082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339</xdr:row>
      <xdr:rowOff>0</xdr:rowOff>
    </xdr:from>
    <xdr:ext cx="152381" cy="152381"/>
    <xdr:pic>
      <xdr:nvPicPr>
        <xdr:cNvPr id="8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986587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344</xdr:row>
      <xdr:rowOff>0</xdr:rowOff>
    </xdr:from>
    <xdr:ext cx="152381" cy="152381"/>
    <xdr:pic>
      <xdr:nvPicPr>
        <xdr:cNvPr id="9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7217092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349</xdr:row>
      <xdr:rowOff>0</xdr:rowOff>
    </xdr:from>
    <xdr:ext cx="152381" cy="152381"/>
    <xdr:pic>
      <xdr:nvPicPr>
        <xdr:cNvPr id="10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7447597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354</xdr:row>
      <xdr:rowOff>0</xdr:rowOff>
    </xdr:from>
    <xdr:ext cx="152381" cy="152381"/>
    <xdr:pic>
      <xdr:nvPicPr>
        <xdr:cNvPr id="11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7678102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359</xdr:row>
      <xdr:rowOff>0</xdr:rowOff>
    </xdr:from>
    <xdr:ext cx="152381" cy="152381"/>
    <xdr:pic>
      <xdr:nvPicPr>
        <xdr:cNvPr id="12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7908607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364</xdr:row>
      <xdr:rowOff>0</xdr:rowOff>
    </xdr:from>
    <xdr:ext cx="152381" cy="152381"/>
    <xdr:pic>
      <xdr:nvPicPr>
        <xdr:cNvPr id="13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81391125"/>
          <a:ext cx="152381" cy="152381"/>
        </a:xfrm>
        <a:prstGeom prst="rect">
          <a:avLst/>
        </a:prstGeom>
      </xdr:spPr>
    </xdr:pic>
    <xdr:clientData/>
  </xdr:oneCellAnchor>
  <xdr:twoCellAnchor>
    <xdr:from>
      <xdr:col>1</xdr:col>
      <xdr:colOff>2314575</xdr:colOff>
      <xdr:row>2</xdr:row>
      <xdr:rowOff>0</xdr:rowOff>
    </xdr:from>
    <xdr:to>
      <xdr:col>2</xdr:col>
      <xdr:colOff>0</xdr:colOff>
      <xdr:row>3</xdr:row>
      <xdr:rowOff>180676</xdr:rowOff>
    </xdr:to>
    <xdr:sp macro="" textlink="">
      <xdr:nvSpPr>
        <xdr:cNvPr id="16" name="PDF"/>
        <xdr:cNvSpPr/>
      </xdr:nvSpPr>
      <xdr:spPr>
        <a:xfrm>
          <a:off x="2505075" y="581025"/>
          <a:ext cx="381000" cy="371176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1</xdr:col>
      <xdr:colOff>1743075</xdr:colOff>
      <xdr:row>2</xdr:row>
      <xdr:rowOff>0</xdr:rowOff>
    </xdr:from>
    <xdr:to>
      <xdr:col>1</xdr:col>
      <xdr:colOff>2124075</xdr:colOff>
      <xdr:row>3</xdr:row>
      <xdr:rowOff>180676</xdr:rowOff>
    </xdr:to>
    <xdr:sp macro="" textlink="">
      <xdr:nvSpPr>
        <xdr:cNvPr id="17" name="Red"/>
        <xdr:cNvSpPr/>
      </xdr:nvSpPr>
      <xdr:spPr>
        <a:xfrm>
          <a:off x="1933575" y="581025"/>
          <a:ext cx="381000" cy="371176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1</xdr:col>
      <xdr:colOff>581044</xdr:colOff>
      <xdr:row>2</xdr:row>
      <xdr:rowOff>28594</xdr:rowOff>
    </xdr:from>
    <xdr:to>
      <xdr:col>1</xdr:col>
      <xdr:colOff>733425</xdr:colOff>
      <xdr:row>2</xdr:row>
      <xdr:rowOff>180975</xdr:rowOff>
    </xdr:to>
    <xdr:pic>
      <xdr:nvPicPr>
        <xdr:cNvPr id="21" name="Uredi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44" y="609619"/>
          <a:ext cx="152381" cy="152381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9</xdr:col>
      <xdr:colOff>0</xdr:colOff>
      <xdr:row>1</xdr:row>
      <xdr:rowOff>9525</xdr:rowOff>
    </xdr:to>
    <xdr:grpSp>
      <xdr:nvGrpSpPr>
        <xdr:cNvPr id="60" name="Zaglavlje"/>
        <xdr:cNvGrpSpPr/>
      </xdr:nvGrpSpPr>
      <xdr:grpSpPr>
        <a:xfrm>
          <a:off x="0" y="0"/>
          <a:ext cx="10010775" cy="390525"/>
          <a:chOff x="0" y="0"/>
          <a:chExt cx="10010775" cy="390525"/>
        </a:xfrm>
      </xdr:grpSpPr>
      <xdr:sp macro="" textlink="">
        <xdr:nvSpPr>
          <xdr:cNvPr id="61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62" name="Naslov"/>
          <xdr:cNvSpPr/>
        </xdr:nvSpPr>
        <xdr:spPr>
          <a:xfrm>
            <a:off x="381002" y="0"/>
            <a:ext cx="9439273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Izvod iz projekta</a:t>
            </a:r>
          </a:p>
        </xdr:txBody>
      </xdr:sp>
      <xdr:sp macro="" textlink="">
        <xdr:nvSpPr>
          <xdr:cNvPr id="63" name="Gore">
            <a:hlinkClick xmlns:r="http://schemas.openxmlformats.org/officeDocument/2006/relationships" r:id="rId4" tooltip="Gore"/>
          </xdr:cNvPr>
          <xdr:cNvSpPr/>
        </xdr:nvSpPr>
        <xdr:spPr>
          <a:xfrm>
            <a:off x="9820275" y="85725"/>
            <a:ext cx="190500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4</xdr:col>
      <xdr:colOff>28575</xdr:colOff>
      <xdr:row>45</xdr:row>
      <xdr:rowOff>28575</xdr:rowOff>
    </xdr:from>
    <xdr:to>
      <xdr:col>4</xdr:col>
      <xdr:colOff>180956</xdr:colOff>
      <xdr:row>45</xdr:row>
      <xdr:rowOff>180956</xdr:rowOff>
    </xdr:to>
    <xdr:pic>
      <xdr:nvPicPr>
        <xdr:cNvPr id="22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5650" y="8867775"/>
          <a:ext cx="152381" cy="1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885824</xdr:colOff>
      <xdr:row>32</xdr:row>
      <xdr:rowOff>0</xdr:rowOff>
    </xdr:from>
    <xdr:to>
      <xdr:col>3</xdr:col>
      <xdr:colOff>6867524</xdr:colOff>
      <xdr:row>40</xdr:row>
      <xdr:rowOff>0</xdr:rowOff>
    </xdr:to>
    <xdr:pic>
      <xdr:nvPicPr>
        <xdr:cNvPr id="2" name="Glavni projektant"/>
        <xdr:cNvPicPr>
          <a:picLocks noChangeAspect="1" noChangeArrowheads="1"/>
          <a:extLst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57324" y="6305550"/>
          <a:ext cx="5981700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876300</xdr:colOff>
      <xdr:row>23</xdr:row>
      <xdr:rowOff>180975</xdr:rowOff>
    </xdr:from>
    <xdr:to>
      <xdr:col>3</xdr:col>
      <xdr:colOff>6858000</xdr:colOff>
      <xdr:row>31</xdr:row>
      <xdr:rowOff>180975</xdr:rowOff>
    </xdr:to>
    <xdr:pic>
      <xdr:nvPicPr>
        <xdr:cNvPr id="3" name="Odgovorno lice GS"/>
        <xdr:cNvPicPr>
          <a:picLocks noChangeAspect="1" noChangeArrowheads="1"/>
          <a:extLst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47800" y="4772025"/>
          <a:ext cx="5981700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4" name="Zaglavlje"/>
        <xdr:cNvGrpSpPr/>
      </xdr:nvGrpSpPr>
      <xdr:grpSpPr>
        <a:xfrm>
          <a:off x="0" y="0"/>
          <a:ext cx="7629525" cy="390525"/>
          <a:chOff x="0" y="0"/>
          <a:chExt cx="7629525" cy="390525"/>
        </a:xfrm>
      </xdr:grpSpPr>
      <xdr:sp macro="" textlink="">
        <xdr:nvSpPr>
          <xdr:cNvPr id="5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6" name="Naslov"/>
          <xdr:cNvSpPr/>
        </xdr:nvSpPr>
        <xdr:spPr>
          <a:xfrm>
            <a:off x="381002" y="0"/>
            <a:ext cx="7248523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PGD</a:t>
            </a: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7" name="Navigacija"/>
        <xdr:cNvGrpSpPr/>
      </xdr:nvGrpSpPr>
      <xdr:grpSpPr>
        <a:xfrm>
          <a:off x="381000" y="581025"/>
          <a:ext cx="7248525" cy="581623"/>
          <a:chOff x="381000" y="581025"/>
          <a:chExt cx="7248525" cy="581623"/>
        </a:xfrm>
      </xdr:grpSpPr>
      <xdr:sp macro="" textlink="">
        <xdr:nvSpPr>
          <xdr:cNvPr id="8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9" name="Potpisi i pecati">
            <a:hlinkClick xmlns:r="http://schemas.openxmlformats.org/officeDocument/2006/relationships" r:id="rId3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10" name="Podaci">
            <a:hlinkClick xmlns:r="http://schemas.openxmlformats.org/officeDocument/2006/relationships" r:id="rId4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" textlink="">
        <xdr:nvSpPr>
          <xdr:cNvPr id="11" name="PDF"/>
          <xdr:cNvSpPr/>
        </xdr:nvSpPr>
        <xdr:spPr>
          <a:xfrm>
            <a:off x="7248525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2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" textlink="">
        <xdr:nvSpPr>
          <xdr:cNvPr id="13" name="Red"/>
          <xdr:cNvSpPr/>
        </xdr:nvSpPr>
        <xdr:spPr>
          <a:xfrm>
            <a:off x="6677025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3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PGD</a:t>
            </a: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5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6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7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" textlink="">
        <xdr:nvSpPr>
          <xdr:cNvPr id="9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" textlink="">
        <xdr:nvSpPr>
          <xdr:cNvPr id="11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31</xdr:row>
      <xdr:rowOff>1</xdr:rowOff>
    </xdr:from>
    <xdr:to>
      <xdr:col>4</xdr:col>
      <xdr:colOff>0</xdr:colOff>
      <xdr:row>39</xdr:row>
      <xdr:rowOff>1</xdr:rowOff>
    </xdr:to>
    <xdr:pic>
      <xdr:nvPicPr>
        <xdr:cNvPr id="2" name="Investitor"/>
        <xdr:cNvPicPr>
          <a:picLocks noChangeAspect="1" noChangeArrowheads="1"/>
          <a:extLst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71500" y="6886576"/>
          <a:ext cx="5981700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3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4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5" name="Potpisi i pecati">
            <a:hlinkClick xmlns:r="http://schemas.openxmlformats.org/officeDocument/2006/relationships" r:id="rId3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6" name="Podaci">
            <a:hlinkClick xmlns:r="http://schemas.openxmlformats.org/officeDocument/2006/relationships" r:id="rId4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" textlink="">
        <xdr:nvSpPr>
          <xdr:cNvPr id="7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" textlink="">
        <xdr:nvSpPr>
          <xdr:cNvPr id="9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11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PGD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40</xdr:row>
      <xdr:rowOff>0</xdr:rowOff>
    </xdr:from>
    <xdr:to>
      <xdr:col>4</xdr:col>
      <xdr:colOff>0</xdr:colOff>
      <xdr:row>48</xdr:row>
      <xdr:rowOff>0</xdr:rowOff>
    </xdr:to>
    <xdr:pic>
      <xdr:nvPicPr>
        <xdr:cNvPr id="2" name="Glavni projektant"/>
        <xdr:cNvPicPr>
          <a:picLocks noChangeAspect="1" noChangeArrowheads="1"/>
          <a:extLst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71500" y="8220075"/>
          <a:ext cx="5981700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3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4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5" name="Potpisi i pecati">
            <a:hlinkClick xmlns:r="http://schemas.openxmlformats.org/officeDocument/2006/relationships" r:id="rId3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6" name="Podaci">
            <a:hlinkClick xmlns:r="http://schemas.openxmlformats.org/officeDocument/2006/relationships" r:id="rId4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" textlink="">
        <xdr:nvSpPr>
          <xdr:cNvPr id="7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" textlink="">
        <xdr:nvSpPr>
          <xdr:cNvPr id="9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11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PGD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" textlink="">
        <xdr:nvSpPr>
          <xdr:cNvPr id="6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" textlink="">
        <xdr:nvSpPr>
          <xdr:cNvPr id="8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10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PGD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25</xdr:row>
      <xdr:rowOff>0</xdr:rowOff>
    </xdr:from>
    <xdr:to>
      <xdr:col>4</xdr:col>
      <xdr:colOff>0</xdr:colOff>
      <xdr:row>33</xdr:row>
      <xdr:rowOff>0</xdr:rowOff>
    </xdr:to>
    <xdr:pic>
      <xdr:nvPicPr>
        <xdr:cNvPr id="2" name="Odgovorni projektant A"/>
        <xdr:cNvPicPr>
          <a:picLocks noChangeAspect="1" noChangeArrowheads="1"/>
          <a:extLst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71500" y="4972050"/>
          <a:ext cx="5981700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4</xdr:col>
      <xdr:colOff>0</xdr:colOff>
      <xdr:row>22</xdr:row>
      <xdr:rowOff>0</xdr:rowOff>
    </xdr:to>
    <xdr:pic>
      <xdr:nvPicPr>
        <xdr:cNvPr id="3" name="Glavni projektant"/>
        <xdr:cNvPicPr>
          <a:picLocks noChangeAspect="1" noChangeArrowheads="1"/>
          <a:extLst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71500" y="2876550"/>
          <a:ext cx="5981700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4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5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6" name="Potpisi i pecati">
            <a:hlinkClick xmlns:r="http://schemas.openxmlformats.org/officeDocument/2006/relationships" r:id="rId3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7" name="Podaci">
            <a:hlinkClick xmlns:r="http://schemas.openxmlformats.org/officeDocument/2006/relationships" r:id="rId4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" textlink="">
        <xdr:nvSpPr>
          <xdr:cNvPr id="8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9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" textlink="">
        <xdr:nvSpPr>
          <xdr:cNvPr id="10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11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12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3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PGD</a:t>
            </a:r>
          </a:p>
        </xdr:txBody>
      </xdr:sp>
    </xdr:grpSp>
    <xdr:clientData/>
  </xdr:twoCellAnchor>
  <xdr:twoCellAnchor editAs="oneCell">
    <xdr:from>
      <xdr:col>3</xdr:col>
      <xdr:colOff>0</xdr:colOff>
      <xdr:row>36</xdr:row>
      <xdr:rowOff>0</xdr:rowOff>
    </xdr:from>
    <xdr:to>
      <xdr:col>4</xdr:col>
      <xdr:colOff>0</xdr:colOff>
      <xdr:row>44</xdr:row>
      <xdr:rowOff>0</xdr:rowOff>
    </xdr:to>
    <xdr:pic>
      <xdr:nvPicPr>
        <xdr:cNvPr id="14" name="Odgovorni projektant K"/>
        <xdr:cNvPicPr>
          <a:picLocks noChangeAspect="1" noChangeArrowheads="1"/>
          <a:extLst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71500" y="7067550"/>
          <a:ext cx="5981700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4</xdr:col>
      <xdr:colOff>0</xdr:colOff>
      <xdr:row>56</xdr:row>
      <xdr:rowOff>0</xdr:rowOff>
    </xdr:to>
    <xdr:pic>
      <xdr:nvPicPr>
        <xdr:cNvPr id="15" name="Odgovorni projektant H"/>
        <xdr:cNvPicPr>
          <a:picLocks noChangeAspect="1" noChangeArrowheads="1"/>
          <a:extLst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71500" y="9353550"/>
          <a:ext cx="5981700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59</xdr:row>
      <xdr:rowOff>0</xdr:rowOff>
    </xdr:from>
    <xdr:to>
      <xdr:col>4</xdr:col>
      <xdr:colOff>0</xdr:colOff>
      <xdr:row>67</xdr:row>
      <xdr:rowOff>0</xdr:rowOff>
    </xdr:to>
    <xdr:pic>
      <xdr:nvPicPr>
        <xdr:cNvPr id="16" name="Odgovorni projektant E"/>
        <xdr:cNvPicPr>
          <a:picLocks noChangeAspect="1" noChangeArrowheads="1"/>
          <a:extLst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71500" y="11449050"/>
          <a:ext cx="5981700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70</xdr:row>
      <xdr:rowOff>0</xdr:rowOff>
    </xdr:from>
    <xdr:to>
      <xdr:col>4</xdr:col>
      <xdr:colOff>0</xdr:colOff>
      <xdr:row>78</xdr:row>
      <xdr:rowOff>0</xdr:rowOff>
    </xdr:to>
    <xdr:pic>
      <xdr:nvPicPr>
        <xdr:cNvPr id="17" name="Odgovorni projektant A"/>
        <xdr:cNvPicPr>
          <a:picLocks noChangeAspect="1" noChangeArrowheads="1"/>
          <a:extLst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71500" y="13544550"/>
          <a:ext cx="5981700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81</xdr:row>
      <xdr:rowOff>0</xdr:rowOff>
    </xdr:from>
    <xdr:to>
      <xdr:col>4</xdr:col>
      <xdr:colOff>0</xdr:colOff>
      <xdr:row>89</xdr:row>
      <xdr:rowOff>0</xdr:rowOff>
    </xdr:to>
    <xdr:pic>
      <xdr:nvPicPr>
        <xdr:cNvPr id="18" name="Odgovorni projektant M"/>
        <xdr:cNvPicPr>
          <a:picLocks noChangeAspect="1" noChangeArrowheads="1"/>
          <a:extLst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71500" y="15640050"/>
          <a:ext cx="5981700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93</xdr:row>
      <xdr:rowOff>0</xdr:rowOff>
    </xdr:from>
    <xdr:to>
      <xdr:col>4</xdr:col>
      <xdr:colOff>0</xdr:colOff>
      <xdr:row>101</xdr:row>
      <xdr:rowOff>0</xdr:rowOff>
    </xdr:to>
    <xdr:pic>
      <xdr:nvPicPr>
        <xdr:cNvPr id="19" name="Odgovorni projektant A"/>
        <xdr:cNvPicPr>
          <a:picLocks noChangeAspect="1" noChangeArrowheads="1"/>
          <a:extLst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71500" y="17926050"/>
          <a:ext cx="5981700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104</xdr:row>
      <xdr:rowOff>0</xdr:rowOff>
    </xdr:from>
    <xdr:to>
      <xdr:col>4</xdr:col>
      <xdr:colOff>0</xdr:colOff>
      <xdr:row>112</xdr:row>
      <xdr:rowOff>0</xdr:rowOff>
    </xdr:to>
    <xdr:pic>
      <xdr:nvPicPr>
        <xdr:cNvPr id="20" name="Odgovorni projektant PPZ"/>
        <xdr:cNvPicPr>
          <a:picLocks noChangeAspect="1" noChangeArrowheads="1"/>
          <a:extLst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71500" y="20021550"/>
          <a:ext cx="5981700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" textlink="">
        <xdr:nvSpPr>
          <xdr:cNvPr id="6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" textlink="">
        <xdr:nvSpPr>
          <xdr:cNvPr id="8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10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PGD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3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PGD</a:t>
            </a: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5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6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7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" textlink="">
        <xdr:nvSpPr>
          <xdr:cNvPr id="9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" textlink="">
        <xdr:nvSpPr>
          <xdr:cNvPr id="11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oneCell">
    <xdr:from>
      <xdr:col>3</xdr:col>
      <xdr:colOff>0</xdr:colOff>
      <xdr:row>32</xdr:row>
      <xdr:rowOff>0</xdr:rowOff>
    </xdr:from>
    <xdr:to>
      <xdr:col>4</xdr:col>
      <xdr:colOff>0</xdr:colOff>
      <xdr:row>40</xdr:row>
      <xdr:rowOff>0</xdr:rowOff>
    </xdr:to>
    <xdr:pic>
      <xdr:nvPicPr>
        <xdr:cNvPr id="12" name="Odgovorni projektant EEE"/>
        <xdr:cNvPicPr>
          <a:picLocks noChangeAspect="1" noChangeArrowheads="1"/>
          <a:extLst/>
        </xdr:cNvPicPr>
      </xdr:nvPicPr>
      <xdr:blipFill>
        <a:blip xmlns:r="http://schemas.openxmlformats.org/officeDocument/2006/relationships" r:embed="rId7"/>
        <a:srcRect/>
        <a:stretch>
          <a:fillRect/>
        </a:stretch>
      </xdr:blipFill>
      <xdr:spPr bwMode="auto">
        <a:xfrm>
          <a:off x="571500" y="7086600"/>
          <a:ext cx="5981700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3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PGD</a:t>
            </a: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5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6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7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" textlink="">
        <xdr:nvSpPr>
          <xdr:cNvPr id="9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" textlink="">
        <xdr:nvSpPr>
          <xdr:cNvPr id="11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oneCell">
    <xdr:from>
      <xdr:col>3</xdr:col>
      <xdr:colOff>0</xdr:colOff>
      <xdr:row>32</xdr:row>
      <xdr:rowOff>0</xdr:rowOff>
    </xdr:from>
    <xdr:to>
      <xdr:col>4</xdr:col>
      <xdr:colOff>0</xdr:colOff>
      <xdr:row>40</xdr:row>
      <xdr:rowOff>0</xdr:rowOff>
    </xdr:to>
    <xdr:pic>
      <xdr:nvPicPr>
        <xdr:cNvPr id="12" name="Odgovorni projektant PPZ"/>
        <xdr:cNvPicPr>
          <a:picLocks noChangeAspect="1" noChangeArrowheads="1"/>
          <a:extLst/>
        </xdr:cNvPicPr>
      </xdr:nvPicPr>
      <xdr:blipFill>
        <a:blip xmlns:r="http://schemas.openxmlformats.org/officeDocument/2006/relationships" r:embed="rId7"/>
        <a:srcRect/>
        <a:stretch>
          <a:fillRect/>
        </a:stretch>
      </xdr:blipFill>
      <xdr:spPr bwMode="auto">
        <a:xfrm>
          <a:off x="571500" y="6896100"/>
          <a:ext cx="5981700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7248525" cy="581623"/>
          <a:chOff x="381000" y="581025"/>
          <a:chExt cx="7248525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" textlink="">
        <xdr:nvSpPr>
          <xdr:cNvPr id="6" name="PDF"/>
          <xdr:cNvSpPr/>
        </xdr:nvSpPr>
        <xdr:spPr>
          <a:xfrm>
            <a:off x="7248525" y="771525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" textlink="">
        <xdr:nvSpPr>
          <xdr:cNvPr id="8" name="Red"/>
          <xdr:cNvSpPr/>
        </xdr:nvSpPr>
        <xdr:spPr>
          <a:xfrm>
            <a:off x="6677025" y="771824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7629525" cy="390525"/>
          <a:chOff x="0" y="0"/>
          <a:chExt cx="7629525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0" y="0"/>
            <a:ext cx="7241635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5981700</xdr:colOff>
      <xdr:row>32</xdr:row>
      <xdr:rowOff>0</xdr:rowOff>
    </xdr:to>
    <xdr:pic>
      <xdr:nvPicPr>
        <xdr:cNvPr id="12" name="Picture 11"/>
        <xdr:cNvPicPr>
          <a:picLocks noChangeAspect="1" noChangeArrowheads="1"/>
          <a:extLst/>
        </xdr:cNvPicPr>
      </xdr:nvPicPr>
      <xdr:blipFill>
        <a:blip xmlns:r="http://schemas.openxmlformats.org/officeDocument/2006/relationships" r:embed="rId7"/>
        <a:srcRect/>
        <a:stretch>
          <a:fillRect/>
        </a:stretch>
      </xdr:blipFill>
      <xdr:spPr bwMode="auto">
        <a:xfrm>
          <a:off x="571500" y="4781550"/>
          <a:ext cx="5981700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</xdr:row>
      <xdr:rowOff>0</xdr:rowOff>
    </xdr:from>
    <xdr:to>
      <xdr:col>3</xdr:col>
      <xdr:colOff>5981700</xdr:colOff>
      <xdr:row>40</xdr:row>
      <xdr:rowOff>0</xdr:rowOff>
    </xdr:to>
    <xdr:pic>
      <xdr:nvPicPr>
        <xdr:cNvPr id="13" name="Picture 12"/>
        <xdr:cNvPicPr>
          <a:picLocks noChangeAspect="1" noChangeArrowheads="1"/>
          <a:extLst/>
        </xdr:cNvPicPr>
      </xdr:nvPicPr>
      <xdr:blipFill>
        <a:blip xmlns:r="http://schemas.openxmlformats.org/officeDocument/2006/relationships" r:embed="rId7"/>
        <a:srcRect/>
        <a:stretch>
          <a:fillRect/>
        </a:stretch>
      </xdr:blipFill>
      <xdr:spPr bwMode="auto">
        <a:xfrm>
          <a:off x="571500" y="6305550"/>
          <a:ext cx="5981700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oneCell">
    <xdr:from>
      <xdr:col>3</xdr:col>
      <xdr:colOff>1</xdr:colOff>
      <xdr:row>31</xdr:row>
      <xdr:rowOff>0</xdr:rowOff>
    </xdr:from>
    <xdr:to>
      <xdr:col>4</xdr:col>
      <xdr:colOff>1</xdr:colOff>
      <xdr:row>39</xdr:row>
      <xdr:rowOff>9525</xdr:rowOff>
    </xdr:to>
    <xdr:pic>
      <xdr:nvPicPr>
        <xdr:cNvPr id="9" name="Picture 8"/>
        <xdr:cNvPicPr>
          <a:picLocks noChangeAspect="1" noChangeArrowheads="1"/>
          <a:extLst/>
        </xdr:cNvPicPr>
      </xdr:nvPicPr>
      <xdr:blipFill>
        <a:blip xmlns:r="http://schemas.openxmlformats.org/officeDocument/2006/relationships" r:embed="rId7"/>
        <a:srcRect/>
        <a:stretch>
          <a:fillRect/>
        </a:stretch>
      </xdr:blipFill>
      <xdr:spPr bwMode="auto">
        <a:xfrm>
          <a:off x="571501" y="7086600"/>
          <a:ext cx="5981700" cy="1533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oneCell">
    <xdr:from>
      <xdr:col>3</xdr:col>
      <xdr:colOff>0</xdr:colOff>
      <xdr:row>33</xdr:row>
      <xdr:rowOff>0</xdr:rowOff>
    </xdr:from>
    <xdr:to>
      <xdr:col>4</xdr:col>
      <xdr:colOff>0</xdr:colOff>
      <xdr:row>41</xdr:row>
      <xdr:rowOff>9525</xdr:rowOff>
    </xdr:to>
    <xdr:pic>
      <xdr:nvPicPr>
        <xdr:cNvPr id="9" name="Picture 8"/>
        <xdr:cNvPicPr>
          <a:picLocks noChangeAspect="1" noChangeArrowheads="1"/>
          <a:extLst/>
        </xdr:cNvPicPr>
      </xdr:nvPicPr>
      <xdr:blipFill>
        <a:blip xmlns:r="http://schemas.openxmlformats.org/officeDocument/2006/relationships" r:embed="rId7"/>
        <a:srcRect/>
        <a:stretch>
          <a:fillRect/>
        </a:stretch>
      </xdr:blipFill>
      <xdr:spPr bwMode="auto">
        <a:xfrm>
          <a:off x="571500" y="7077075"/>
          <a:ext cx="5981700" cy="1533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1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" textlink="">
        <xdr:nvSpPr>
          <xdr:cNvPr id="6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" textlink="">
        <xdr:nvSpPr>
          <xdr:cNvPr id="8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10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PGD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6362700" cy="581623"/>
          <a:chOff x="381000" y="570902"/>
          <a:chExt cx="6362700" cy="5816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61427"/>
            <a:ext cx="899468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" textlink="">
        <xdr:nvSpPr>
          <xdr:cNvPr id="6" name="PDF"/>
          <xdr:cNvSpPr/>
        </xdr:nvSpPr>
        <xdr:spPr>
          <a:xfrm>
            <a:off x="6362700" y="7614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" textlink="">
        <xdr:nvSpPr>
          <xdr:cNvPr id="8" name="Red"/>
          <xdr:cNvSpPr/>
        </xdr:nvSpPr>
        <xdr:spPr>
          <a:xfrm>
            <a:off x="5829300" y="7617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</xdr:colOff>
      <xdr:row>1</xdr:row>
      <xdr:rowOff>9525</xdr:rowOff>
    </xdr:to>
    <xdr:grpSp>
      <xdr:nvGrpSpPr>
        <xdr:cNvPr id="9" name="Zaglavlje"/>
        <xdr:cNvGrpSpPr/>
      </xdr:nvGrpSpPr>
      <xdr:grpSpPr>
        <a:xfrm>
          <a:off x="0" y="0"/>
          <a:ext cx="6743701" cy="390525"/>
          <a:chOff x="0" y="0"/>
          <a:chExt cx="6743701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788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7891" y="0"/>
            <a:ext cx="635581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PGD, Tekstualna dokumentacija, A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lavnaSveskaPg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gdTekstualnaDokumentacija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01"/>
      <sheetName val="02"/>
      <sheetName val="03"/>
      <sheetName val="04"/>
      <sheetName val="05"/>
      <sheetName val="06"/>
      <sheetName val="07"/>
      <sheetName val="08"/>
      <sheetName val="09"/>
    </sheetNames>
    <sheetDataSet>
      <sheetData sheetId="0">
        <row r="305">
          <cell r="F305"/>
        </row>
        <row r="310">
          <cell r="F310"/>
        </row>
        <row r="315">
          <cell r="F315"/>
        </row>
        <row r="320">
          <cell r="F320"/>
        </row>
        <row r="325">
          <cell r="F325"/>
        </row>
        <row r="330">
          <cell r="F330"/>
        </row>
        <row r="335">
          <cell r="F335"/>
        </row>
        <row r="340">
          <cell r="F340"/>
        </row>
        <row r="345">
          <cell r="F345"/>
        </row>
        <row r="350">
          <cell r="F350"/>
        </row>
        <row r="355">
          <cell r="F355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11"/>
      <sheetName val="Revident"/>
      <sheetName val="12"/>
      <sheetName val="13"/>
      <sheetName val="14"/>
      <sheetName val="15"/>
      <sheetName val="151"/>
      <sheetName val="16"/>
      <sheetName val="p161"/>
      <sheetName val="n161"/>
      <sheetName val="pPo"/>
      <sheetName val="pSu"/>
      <sheetName val="pPr"/>
      <sheetName val="pS1"/>
      <sheetName val="pS2"/>
      <sheetName val="pS3"/>
      <sheetName val="pS4"/>
      <sheetName val="pS5"/>
      <sheetName val="pPk"/>
      <sheetName val="pRekapitulacija"/>
      <sheetName val="nPo"/>
      <sheetName val="nSu"/>
      <sheetName val="nPr"/>
      <sheetName val="nS1"/>
      <sheetName val="nS2"/>
      <sheetName val="nS3"/>
      <sheetName val="nS4"/>
      <sheetName val="nS5"/>
      <sheetName val="nPk"/>
      <sheetName val="nRekapitulacija"/>
      <sheetName val="17"/>
    </sheetNames>
    <sheetDataSet>
      <sheetData sheetId="0">
        <row r="32">
          <cell r="C32">
            <v>0</v>
          </cell>
        </row>
        <row r="33">
          <cell r="C33">
            <v>0</v>
          </cell>
        </row>
        <row r="34">
          <cell r="C34">
            <v>0</v>
          </cell>
        </row>
        <row r="35">
          <cell r="C35">
            <v>0</v>
          </cell>
        </row>
        <row r="36">
          <cell r="C36">
            <v>0</v>
          </cell>
        </row>
        <row r="37">
          <cell r="C37">
            <v>0</v>
          </cell>
        </row>
        <row r="38">
          <cell r="C38">
            <v>0</v>
          </cell>
        </row>
        <row r="39">
          <cell r="C39">
            <v>0</v>
          </cell>
        </row>
        <row r="40">
          <cell r="C40">
            <v>0</v>
          </cell>
        </row>
        <row r="42">
          <cell r="C42">
            <v>0</v>
          </cell>
        </row>
        <row r="43">
          <cell r="C43">
            <v>0</v>
          </cell>
          <cell r="F43"/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>
            <v>0</v>
          </cell>
        </row>
        <row r="50">
          <cell r="C50">
            <v>0</v>
          </cell>
        </row>
        <row r="76">
          <cell r="F76"/>
        </row>
        <row r="81">
          <cell r="F81"/>
        </row>
        <row r="95">
          <cell r="F95"/>
        </row>
        <row r="102">
          <cell r="G102">
            <v>0</v>
          </cell>
        </row>
        <row r="109">
          <cell r="F109"/>
        </row>
        <row r="113">
          <cell r="F113"/>
        </row>
        <row r="117">
          <cell r="F117"/>
        </row>
        <row r="121">
          <cell r="F121"/>
        </row>
        <row r="125">
          <cell r="F125"/>
        </row>
        <row r="129">
          <cell r="F129"/>
        </row>
        <row r="133">
          <cell r="F133"/>
        </row>
        <row r="137">
          <cell r="F137"/>
        </row>
        <row r="141">
          <cell r="F141"/>
        </row>
        <row r="148">
          <cell r="F148"/>
        </row>
        <row r="152">
          <cell r="F152"/>
        </row>
        <row r="156">
          <cell r="F156"/>
        </row>
        <row r="160">
          <cell r="F160"/>
        </row>
        <row r="164">
          <cell r="F164"/>
        </row>
        <row r="168">
          <cell r="F168"/>
        </row>
        <row r="172">
          <cell r="F172"/>
        </row>
        <row r="176">
          <cell r="F176"/>
        </row>
        <row r="180">
          <cell r="F180"/>
        </row>
        <row r="187">
          <cell r="F187"/>
        </row>
        <row r="191">
          <cell r="F191"/>
        </row>
        <row r="195">
          <cell r="F195"/>
        </row>
        <row r="199">
          <cell r="F199"/>
        </row>
        <row r="203">
          <cell r="F203"/>
        </row>
        <row r="207">
          <cell r="F207"/>
        </row>
        <row r="211">
          <cell r="F211"/>
        </row>
        <row r="215">
          <cell r="F215"/>
        </row>
        <row r="219">
          <cell r="F219"/>
        </row>
        <row r="223">
          <cell r="F223"/>
        </row>
        <row r="227">
          <cell r="F227"/>
        </row>
        <row r="234">
          <cell r="F234"/>
        </row>
        <row r="238">
          <cell r="F238"/>
        </row>
        <row r="242">
          <cell r="F242"/>
        </row>
        <row r="246">
          <cell r="F246"/>
        </row>
        <row r="250">
          <cell r="F250"/>
        </row>
        <row r="254">
          <cell r="F254"/>
        </row>
        <row r="258">
          <cell r="F258"/>
        </row>
        <row r="262">
          <cell r="F262"/>
        </row>
        <row r="266">
          <cell r="F266"/>
        </row>
        <row r="270">
          <cell r="F270"/>
        </row>
        <row r="274">
          <cell r="F274"/>
        </row>
        <row r="282">
          <cell r="F282"/>
        </row>
        <row r="292">
          <cell r="F292"/>
        </row>
        <row r="297">
          <cell r="F297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 tint="0.249977111117893"/>
  </sheetPr>
  <dimension ref="A1:N475"/>
  <sheetViews>
    <sheetView showGridLines="0" tabSelected="1" workbookViewId="0">
      <pane ySplit="1" topLeftCell="A26" activePane="bottomLeft" state="frozen"/>
      <selection activeCell="F24" sqref="F24"/>
      <selection pane="bottomLeft" activeCell="V47" sqref="V47"/>
    </sheetView>
  </sheetViews>
  <sheetFormatPr defaultRowHeight="15" x14ac:dyDescent="0.2"/>
  <cols>
    <col min="1" max="1" width="2.21875" style="9" customWidth="1"/>
    <col min="2" max="2" width="31.44140625" style="9" customWidth="1"/>
    <col min="3" max="5" width="2.21875" style="9" customWidth="1"/>
    <col min="6" max="6" width="69.77734375" style="9" customWidth="1"/>
    <col min="7" max="193" width="2.21875" style="9" customWidth="1"/>
    <col min="194" max="16384" width="8.88671875" style="9"/>
  </cols>
  <sheetData>
    <row r="1" spans="1:9" s="1" customFormat="1" ht="30" customHeight="1" thickBot="1" x14ac:dyDescent="0.25"/>
    <row r="2" spans="1:9" s="4" customFormat="1" ht="15.75" thickTop="1" x14ac:dyDescent="0.2">
      <c r="A2" s="2"/>
      <c r="B2" s="2"/>
      <c r="C2" s="3"/>
      <c r="F2" s="5"/>
      <c r="I2" s="6"/>
    </row>
    <row r="3" spans="1:9" x14ac:dyDescent="0.2">
      <c r="A3" s="112"/>
      <c r="B3" s="7"/>
      <c r="C3" s="8"/>
      <c r="F3" s="10" t="s">
        <v>0</v>
      </c>
      <c r="I3" s="11"/>
    </row>
    <row r="4" spans="1:9" x14ac:dyDescent="0.2">
      <c r="A4" s="112"/>
      <c r="B4" s="7"/>
      <c r="C4" s="8"/>
      <c r="F4" s="10"/>
      <c r="I4" s="11"/>
    </row>
    <row r="5" spans="1:9" ht="15.75" thickBot="1" x14ac:dyDescent="0.25">
      <c r="A5" s="112"/>
      <c r="B5" s="8"/>
      <c r="C5" s="8"/>
      <c r="E5" s="12" t="s">
        <v>1</v>
      </c>
      <c r="F5" s="13"/>
      <c r="I5" s="11"/>
    </row>
    <row r="6" spans="1:9" x14ac:dyDescent="0.2">
      <c r="A6" s="112"/>
      <c r="B6" s="8"/>
      <c r="C6" s="8"/>
      <c r="E6" s="14"/>
      <c r="F6" s="15"/>
      <c r="G6" s="16"/>
      <c r="I6" s="11"/>
    </row>
    <row r="7" spans="1:9" x14ac:dyDescent="0.2">
      <c r="A7" s="112"/>
      <c r="B7" s="8"/>
      <c r="C7" s="8"/>
      <c r="E7" s="17"/>
      <c r="F7" s="18" t="s">
        <v>2</v>
      </c>
      <c r="G7" s="19"/>
      <c r="I7" s="11"/>
    </row>
    <row r="8" spans="1:9" x14ac:dyDescent="0.2">
      <c r="A8" s="112"/>
      <c r="B8" s="8"/>
      <c r="C8" s="8"/>
      <c r="D8" s="20"/>
      <c r="E8" s="21" t="str">
        <f>IF(F8=0,"*","")</f>
        <v/>
      </c>
      <c r="F8" s="22" t="s">
        <v>169</v>
      </c>
      <c r="G8" s="23"/>
      <c r="I8" s="11"/>
    </row>
    <row r="9" spans="1:9" x14ac:dyDescent="0.2">
      <c r="A9" s="112"/>
      <c r="B9" s="8"/>
      <c r="C9" s="8"/>
      <c r="E9" s="17"/>
      <c r="F9" s="24" t="s">
        <v>168</v>
      </c>
      <c r="G9" s="19"/>
      <c r="I9" s="11"/>
    </row>
    <row r="10" spans="1:9" ht="15.75" thickBot="1" x14ac:dyDescent="0.25">
      <c r="A10" s="112"/>
      <c r="B10" s="8"/>
      <c r="C10" s="8"/>
      <c r="E10" s="25"/>
      <c r="F10" s="26"/>
      <c r="G10" s="27"/>
      <c r="I10" s="11"/>
    </row>
    <row r="11" spans="1:9" x14ac:dyDescent="0.2">
      <c r="A11" s="112"/>
      <c r="B11" s="7"/>
      <c r="C11" s="8"/>
      <c r="F11" s="10"/>
      <c r="I11" s="11"/>
    </row>
    <row r="12" spans="1:9" ht="15.75" thickBot="1" x14ac:dyDescent="0.25">
      <c r="A12" s="112"/>
      <c r="B12" s="28"/>
      <c r="C12" s="8"/>
      <c r="E12" s="12" t="s">
        <v>3</v>
      </c>
      <c r="F12" s="13"/>
      <c r="I12" s="11"/>
    </row>
    <row r="13" spans="1:9" x14ac:dyDescent="0.2">
      <c r="A13" s="112"/>
      <c r="B13" s="28"/>
      <c r="C13" s="8"/>
      <c r="E13" s="14"/>
      <c r="F13" s="15"/>
      <c r="G13" s="16"/>
      <c r="I13" s="11"/>
    </row>
    <row r="14" spans="1:9" x14ac:dyDescent="0.2">
      <c r="A14" s="112"/>
      <c r="B14" s="28"/>
      <c r="C14" s="8"/>
      <c r="E14" s="17"/>
      <c r="F14" s="18" t="s">
        <v>4</v>
      </c>
      <c r="G14" s="19"/>
      <c r="I14" s="11"/>
    </row>
    <row r="15" spans="1:9" x14ac:dyDescent="0.2">
      <c r="A15" s="112"/>
      <c r="B15" s="28"/>
      <c r="C15" s="8"/>
      <c r="D15" s="20"/>
      <c r="E15" s="21" t="str">
        <f>IF(F15=0,"*","")</f>
        <v>*</v>
      </c>
      <c r="F15" s="29"/>
      <c r="G15" s="23"/>
      <c r="I15" s="11"/>
    </row>
    <row r="16" spans="1:9" x14ac:dyDescent="0.2">
      <c r="A16" s="112"/>
      <c r="B16" s="7"/>
      <c r="C16" s="7"/>
      <c r="E16" s="17"/>
      <c r="F16" s="24" t="s">
        <v>5</v>
      </c>
      <c r="G16" s="19"/>
      <c r="I16" s="11"/>
    </row>
    <row r="17" spans="1:14" ht="15.75" thickBot="1" x14ac:dyDescent="0.25">
      <c r="A17" s="112"/>
      <c r="B17" s="7"/>
      <c r="C17" s="7"/>
      <c r="E17" s="25"/>
      <c r="F17" s="26"/>
      <c r="G17" s="27"/>
      <c r="I17" s="11"/>
    </row>
    <row r="18" spans="1:14" x14ac:dyDescent="0.2">
      <c r="A18" s="112"/>
      <c r="B18" s="7"/>
      <c r="C18" s="7"/>
      <c r="F18" s="13"/>
      <c r="I18" s="11"/>
    </row>
    <row r="19" spans="1:14" x14ac:dyDescent="0.2">
      <c r="A19" s="112"/>
      <c r="B19" s="7"/>
      <c r="C19" s="7"/>
      <c r="E19" s="30"/>
      <c r="F19" s="10" t="s">
        <v>6</v>
      </c>
      <c r="G19" s="30"/>
      <c r="I19" s="11"/>
    </row>
    <row r="20" spans="1:14" x14ac:dyDescent="0.2">
      <c r="A20" s="112"/>
      <c r="B20" s="7"/>
      <c r="C20" s="8"/>
      <c r="E20" s="30"/>
      <c r="F20" s="31"/>
      <c r="G20" s="30"/>
      <c r="I20" s="11"/>
    </row>
    <row r="21" spans="1:14" ht="15.75" thickBot="1" x14ac:dyDescent="0.25">
      <c r="A21" s="112"/>
      <c r="B21" s="7"/>
      <c r="C21" s="8"/>
      <c r="E21" s="12" t="s">
        <v>7</v>
      </c>
      <c r="F21" s="13"/>
      <c r="I21" s="11"/>
    </row>
    <row r="22" spans="1:14" x14ac:dyDescent="0.2">
      <c r="A22" s="112"/>
      <c r="B22" s="8"/>
      <c r="C22" s="8"/>
      <c r="E22" s="14"/>
      <c r="F22" s="15"/>
      <c r="G22" s="16"/>
      <c r="I22" s="11"/>
      <c r="N22" s="30"/>
    </row>
    <row r="23" spans="1:14" x14ac:dyDescent="0.2">
      <c r="A23" s="112"/>
      <c r="B23" s="8"/>
      <c r="C23" s="8"/>
      <c r="E23" s="17"/>
      <c r="F23" s="18" t="s">
        <v>8</v>
      </c>
      <c r="G23" s="19"/>
      <c r="I23" s="11"/>
    </row>
    <row r="24" spans="1:14" x14ac:dyDescent="0.2">
      <c r="A24" s="112"/>
      <c r="B24" s="8"/>
      <c r="C24" s="8"/>
      <c r="D24" s="20"/>
      <c r="E24" s="21" t="str">
        <f>IF(F24=0,"*","")</f>
        <v>*</v>
      </c>
      <c r="F24" s="32"/>
      <c r="G24" s="23"/>
      <c r="I24" s="11"/>
    </row>
    <row r="25" spans="1:14" x14ac:dyDescent="0.2">
      <c r="A25" s="112"/>
      <c r="B25" s="8"/>
      <c r="C25" s="8"/>
      <c r="E25" s="17"/>
      <c r="F25" s="33" t="s">
        <v>9</v>
      </c>
      <c r="G25" s="19"/>
      <c r="I25" s="11"/>
    </row>
    <row r="26" spans="1:14" x14ac:dyDescent="0.2">
      <c r="A26" s="112"/>
      <c r="B26" s="8"/>
      <c r="C26" s="8"/>
      <c r="E26" s="17"/>
      <c r="F26" s="31"/>
      <c r="G26" s="19"/>
      <c r="I26" s="11"/>
    </row>
    <row r="27" spans="1:14" x14ac:dyDescent="0.2">
      <c r="A27" s="112"/>
      <c r="B27" s="8"/>
      <c r="C27" s="8"/>
      <c r="E27" s="17"/>
      <c r="F27" s="18" t="s">
        <v>10</v>
      </c>
      <c r="G27" s="19"/>
      <c r="I27" s="11"/>
    </row>
    <row r="28" spans="1:14" x14ac:dyDescent="0.2">
      <c r="A28" s="112"/>
      <c r="B28" s="8"/>
      <c r="C28" s="8"/>
      <c r="D28" s="20"/>
      <c r="E28" s="21" t="str">
        <f>IF(F28=0,"*","")</f>
        <v>*</v>
      </c>
      <c r="F28" s="29"/>
      <c r="G28" s="23"/>
      <c r="I28" s="11"/>
    </row>
    <row r="29" spans="1:14" x14ac:dyDescent="0.2">
      <c r="A29" s="112"/>
      <c r="B29" s="8"/>
      <c r="C29" s="8"/>
      <c r="D29" s="20"/>
      <c r="E29" s="30"/>
      <c r="F29" s="33" t="s">
        <v>11</v>
      </c>
      <c r="G29" s="19"/>
      <c r="I29" s="11"/>
    </row>
    <row r="30" spans="1:14" x14ac:dyDescent="0.2">
      <c r="A30" s="112"/>
      <c r="B30" s="8"/>
      <c r="C30" s="8"/>
      <c r="D30" s="20"/>
      <c r="E30" s="30"/>
      <c r="F30" s="31"/>
      <c r="G30" s="19"/>
      <c r="I30" s="11"/>
    </row>
    <row r="31" spans="1:14" x14ac:dyDescent="0.2">
      <c r="A31" s="112"/>
      <c r="B31" s="8"/>
      <c r="C31" s="8"/>
      <c r="D31" s="20"/>
      <c r="E31" s="30"/>
      <c r="F31" s="18" t="s">
        <v>12</v>
      </c>
      <c r="G31" s="19"/>
      <c r="I31" s="11"/>
    </row>
    <row r="32" spans="1:14" x14ac:dyDescent="0.2">
      <c r="A32" s="112"/>
      <c r="B32" s="8"/>
      <c r="C32" s="8"/>
      <c r="D32" s="20"/>
      <c r="E32" s="21" t="str">
        <f>IF(F32=0,"*","")</f>
        <v>*</v>
      </c>
      <c r="F32" s="29"/>
      <c r="G32" s="23"/>
      <c r="I32" s="11"/>
    </row>
    <row r="33" spans="1:9" x14ac:dyDescent="0.2">
      <c r="A33" s="112"/>
      <c r="B33" s="8"/>
      <c r="C33" s="8"/>
      <c r="E33" s="17"/>
      <c r="F33" s="33" t="s">
        <v>13</v>
      </c>
      <c r="G33" s="19"/>
      <c r="I33" s="11"/>
    </row>
    <row r="34" spans="1:9" ht="15.75" thickBot="1" x14ac:dyDescent="0.25">
      <c r="A34" s="112"/>
      <c r="B34" s="8"/>
      <c r="C34" s="8"/>
      <c r="E34" s="34"/>
      <c r="F34" s="35"/>
      <c r="G34" s="36"/>
      <c r="I34" s="11"/>
    </row>
    <row r="35" spans="1:9" x14ac:dyDescent="0.2">
      <c r="A35" s="112"/>
      <c r="B35" s="8"/>
      <c r="C35" s="8"/>
      <c r="F35" s="13"/>
      <c r="I35" s="11"/>
    </row>
    <row r="36" spans="1:9" ht="15.75" thickBot="1" x14ac:dyDescent="0.25">
      <c r="A36" s="112"/>
      <c r="B36" s="8"/>
      <c r="C36" s="8"/>
      <c r="E36" s="12" t="s">
        <v>14</v>
      </c>
      <c r="F36" s="13"/>
      <c r="I36" s="11"/>
    </row>
    <row r="37" spans="1:9" x14ac:dyDescent="0.2">
      <c r="A37" s="112"/>
      <c r="B37" s="8"/>
      <c r="C37" s="8"/>
      <c r="E37" s="14"/>
      <c r="F37" s="15"/>
      <c r="G37" s="16"/>
      <c r="I37" s="11"/>
    </row>
    <row r="38" spans="1:9" x14ac:dyDescent="0.2">
      <c r="A38" s="112"/>
      <c r="B38" s="8"/>
      <c r="C38" s="8"/>
      <c r="E38" s="17"/>
      <c r="F38" s="18" t="s">
        <v>14</v>
      </c>
      <c r="G38" s="19"/>
      <c r="I38" s="11"/>
    </row>
    <row r="39" spans="1:9" x14ac:dyDescent="0.2">
      <c r="A39" s="112"/>
      <c r="B39" s="8"/>
      <c r="C39" s="8"/>
      <c r="D39" s="19"/>
      <c r="E39" s="21" t="str">
        <f>IF(F39=0,"*","")</f>
        <v>*</v>
      </c>
      <c r="F39" s="37"/>
      <c r="G39" s="23"/>
      <c r="I39" s="11"/>
    </row>
    <row r="40" spans="1:9" x14ac:dyDescent="0.2">
      <c r="A40" s="112"/>
      <c r="B40" s="8"/>
      <c r="C40" s="8"/>
      <c r="E40" s="17"/>
      <c r="F40" s="33" t="s">
        <v>15</v>
      </c>
      <c r="G40" s="19"/>
      <c r="I40" s="11"/>
    </row>
    <row r="41" spans="1:9" x14ac:dyDescent="0.2">
      <c r="A41" s="112"/>
      <c r="B41" s="8"/>
      <c r="C41" s="8"/>
      <c r="D41" s="20"/>
      <c r="E41" s="13"/>
      <c r="F41" s="13"/>
      <c r="G41" s="38"/>
      <c r="I41" s="11"/>
    </row>
    <row r="42" spans="1:9" x14ac:dyDescent="0.2">
      <c r="A42" s="112"/>
      <c r="B42" s="8"/>
      <c r="C42" s="8"/>
      <c r="D42" s="20"/>
      <c r="F42" s="18" t="s">
        <v>16</v>
      </c>
      <c r="G42" s="20"/>
      <c r="I42" s="11"/>
    </row>
    <row r="43" spans="1:9" x14ac:dyDescent="0.2">
      <c r="A43" s="112"/>
      <c r="B43" s="7"/>
      <c r="C43" s="7"/>
      <c r="D43" s="20"/>
      <c r="E43" s="21" t="str">
        <f>IF(F43=0,"*","")</f>
        <v>*</v>
      </c>
      <c r="F43" s="37"/>
      <c r="G43" s="20"/>
      <c r="I43" s="11"/>
    </row>
    <row r="44" spans="1:9" x14ac:dyDescent="0.2">
      <c r="A44" s="112"/>
      <c r="B44" s="7"/>
      <c r="C44" s="7"/>
      <c r="D44" s="20"/>
      <c r="F44" s="33" t="s">
        <v>17</v>
      </c>
      <c r="G44" s="20"/>
      <c r="I44" s="11"/>
    </row>
    <row r="45" spans="1:9" x14ac:dyDescent="0.2">
      <c r="A45" s="112"/>
      <c r="B45" s="7"/>
      <c r="C45" s="7"/>
      <c r="D45" s="20"/>
      <c r="F45" s="33"/>
      <c r="G45" s="20"/>
      <c r="I45" s="11"/>
    </row>
    <row r="46" spans="1:9" x14ac:dyDescent="0.2">
      <c r="A46" s="112"/>
      <c r="B46" s="7"/>
      <c r="C46" s="7"/>
      <c r="D46" s="20"/>
      <c r="F46" s="18" t="s">
        <v>191</v>
      </c>
      <c r="G46" s="20"/>
      <c r="I46" s="11"/>
    </row>
    <row r="47" spans="1:9" ht="120" customHeight="1" x14ac:dyDescent="0.2">
      <c r="A47" s="112"/>
      <c r="B47" s="7"/>
      <c r="C47" s="7"/>
      <c r="D47" s="20"/>
      <c r="F47" s="33"/>
      <c r="G47" s="20"/>
      <c r="I47" s="11"/>
    </row>
    <row r="48" spans="1:9" ht="15.75" thickBot="1" x14ac:dyDescent="0.25">
      <c r="A48" s="112"/>
      <c r="B48" s="7"/>
      <c r="C48" s="7"/>
      <c r="D48" s="20"/>
      <c r="E48" s="39"/>
      <c r="F48" s="26"/>
      <c r="G48" s="40"/>
      <c r="I48" s="11"/>
    </row>
    <row r="49" spans="1:9" x14ac:dyDescent="0.2">
      <c r="A49" s="112"/>
      <c r="B49" s="7"/>
      <c r="C49" s="7"/>
      <c r="F49" s="13"/>
      <c r="I49" s="11"/>
    </row>
    <row r="50" spans="1:9" ht="15.75" thickBot="1" x14ac:dyDescent="0.25">
      <c r="A50" s="112"/>
      <c r="B50" s="7"/>
      <c r="C50" s="7"/>
      <c r="E50" s="12" t="s">
        <v>18</v>
      </c>
      <c r="F50" s="13"/>
      <c r="I50" s="11"/>
    </row>
    <row r="51" spans="1:9" x14ac:dyDescent="0.2">
      <c r="A51" s="112"/>
      <c r="B51" s="7"/>
      <c r="C51" s="7"/>
      <c r="E51" s="14"/>
      <c r="F51" s="15"/>
      <c r="G51" s="16"/>
      <c r="I51" s="11"/>
    </row>
    <row r="52" spans="1:9" x14ac:dyDescent="0.2">
      <c r="A52" s="112"/>
      <c r="B52" s="7"/>
      <c r="C52" s="7"/>
      <c r="D52" s="19"/>
      <c r="E52" s="30"/>
      <c r="F52" s="18" t="s">
        <v>18</v>
      </c>
      <c r="G52" s="19"/>
      <c r="I52" s="11"/>
    </row>
    <row r="53" spans="1:9" x14ac:dyDescent="0.2">
      <c r="A53" s="112"/>
      <c r="B53" s="7"/>
      <c r="C53" s="7"/>
      <c r="D53" s="19"/>
      <c r="E53" s="21" t="str">
        <f>IF(F53=0,"*","")</f>
        <v>*</v>
      </c>
      <c r="F53" s="37"/>
      <c r="G53" s="23"/>
      <c r="I53" s="11"/>
    </row>
    <row r="54" spans="1:9" ht="22.5" x14ac:dyDescent="0.2">
      <c r="A54" s="112"/>
      <c r="B54" s="7"/>
      <c r="C54" s="7"/>
      <c r="D54" s="19"/>
      <c r="E54" s="30"/>
      <c r="F54" s="33" t="s">
        <v>19</v>
      </c>
      <c r="G54" s="19"/>
      <c r="I54" s="11"/>
    </row>
    <row r="55" spans="1:9" x14ac:dyDescent="0.2">
      <c r="A55" s="112"/>
      <c r="B55" s="7"/>
      <c r="C55" s="7"/>
      <c r="D55" s="19"/>
      <c r="E55" s="30"/>
      <c r="F55" s="31"/>
      <c r="G55" s="19"/>
      <c r="I55" s="11"/>
    </row>
    <row r="56" spans="1:9" x14ac:dyDescent="0.2">
      <c r="A56" s="112"/>
      <c r="B56" s="7"/>
      <c r="C56" s="7"/>
      <c r="D56" s="19"/>
      <c r="E56" s="30"/>
      <c r="F56" s="18" t="s">
        <v>20</v>
      </c>
      <c r="G56" s="19"/>
      <c r="I56" s="11"/>
    </row>
    <row r="57" spans="1:9" x14ac:dyDescent="0.2">
      <c r="A57" s="112"/>
      <c r="B57" s="7"/>
      <c r="C57" s="7"/>
      <c r="D57" s="19"/>
      <c r="E57" s="21" t="str">
        <f>IF(F57=0,"*","")</f>
        <v>*</v>
      </c>
      <c r="F57" s="37"/>
      <c r="G57" s="23"/>
      <c r="I57" s="11"/>
    </row>
    <row r="58" spans="1:9" ht="22.5" x14ac:dyDescent="0.2">
      <c r="A58" s="112"/>
      <c r="B58" s="7"/>
      <c r="C58" s="8"/>
      <c r="D58" s="19"/>
      <c r="E58" s="30"/>
      <c r="F58" s="33" t="s">
        <v>21</v>
      </c>
      <c r="G58" s="19"/>
      <c r="I58" s="11"/>
    </row>
    <row r="59" spans="1:9" ht="15.75" thickBot="1" x14ac:dyDescent="0.25">
      <c r="A59" s="112"/>
      <c r="B59" s="7"/>
      <c r="C59" s="8"/>
      <c r="D59" s="30"/>
      <c r="E59" s="34"/>
      <c r="F59" s="35"/>
      <c r="G59" s="36"/>
      <c r="I59" s="11"/>
    </row>
    <row r="60" spans="1:9" x14ac:dyDescent="0.2">
      <c r="A60" s="112"/>
      <c r="B60" s="7"/>
      <c r="C60" s="8"/>
      <c r="F60" s="13"/>
      <c r="I60" s="11"/>
    </row>
    <row r="61" spans="1:9" ht="15.75" thickBot="1" x14ac:dyDescent="0.25">
      <c r="A61" s="112"/>
      <c r="B61" s="7"/>
      <c r="C61" s="8"/>
      <c r="E61" s="12" t="s">
        <v>22</v>
      </c>
      <c r="F61" s="13"/>
      <c r="I61" s="11"/>
    </row>
    <row r="62" spans="1:9" x14ac:dyDescent="0.2">
      <c r="A62" s="112"/>
      <c r="B62" s="7"/>
      <c r="C62" s="8"/>
      <c r="D62" s="19"/>
      <c r="E62" s="41"/>
      <c r="F62" s="15"/>
      <c r="G62" s="16"/>
      <c r="I62" s="11"/>
    </row>
    <row r="63" spans="1:9" x14ac:dyDescent="0.2">
      <c r="A63" s="112"/>
      <c r="B63" s="7"/>
      <c r="C63" s="8"/>
      <c r="D63" s="19"/>
      <c r="E63" s="30"/>
      <c r="F63" s="18" t="s">
        <v>22</v>
      </c>
      <c r="G63" s="19"/>
      <c r="I63" s="11"/>
    </row>
    <row r="64" spans="1:9" x14ac:dyDescent="0.2">
      <c r="A64" s="112"/>
      <c r="B64" s="7"/>
      <c r="C64" s="8"/>
      <c r="D64" s="19"/>
      <c r="E64" s="21" t="str">
        <f>IF(F64=0,"*","")</f>
        <v>*</v>
      </c>
      <c r="F64" s="37"/>
      <c r="G64" s="23"/>
      <c r="I64" s="11"/>
    </row>
    <row r="65" spans="1:9" x14ac:dyDescent="0.2">
      <c r="A65" s="112"/>
      <c r="B65" s="7"/>
      <c r="C65" s="8"/>
      <c r="D65" s="19"/>
      <c r="E65" s="30"/>
      <c r="F65" s="33" t="s">
        <v>23</v>
      </c>
      <c r="G65" s="19"/>
      <c r="I65" s="11"/>
    </row>
    <row r="66" spans="1:9" x14ac:dyDescent="0.2">
      <c r="A66" s="112"/>
      <c r="B66" s="7"/>
      <c r="C66" s="8"/>
      <c r="D66" s="19"/>
      <c r="E66" s="30"/>
      <c r="F66" s="31"/>
      <c r="G66" s="19"/>
      <c r="I66" s="11"/>
    </row>
    <row r="67" spans="1:9" x14ac:dyDescent="0.2">
      <c r="A67" s="112"/>
      <c r="B67" s="7"/>
      <c r="C67" s="8"/>
      <c r="D67" s="19"/>
      <c r="E67" s="30"/>
      <c r="F67" s="18" t="s">
        <v>24</v>
      </c>
      <c r="G67" s="19"/>
      <c r="I67" s="11"/>
    </row>
    <row r="68" spans="1:9" x14ac:dyDescent="0.2">
      <c r="A68" s="112"/>
      <c r="B68" s="7"/>
      <c r="C68" s="8"/>
      <c r="D68" s="19"/>
      <c r="E68" s="21" t="str">
        <f>IF(F68=0,"*","")</f>
        <v>*</v>
      </c>
      <c r="F68" s="37"/>
      <c r="G68" s="23"/>
      <c r="I68" s="11"/>
    </row>
    <row r="69" spans="1:9" x14ac:dyDescent="0.2">
      <c r="A69" s="112"/>
      <c r="B69" s="7"/>
      <c r="C69" s="8"/>
      <c r="D69" s="19"/>
      <c r="E69" s="30"/>
      <c r="F69" s="33" t="s">
        <v>25</v>
      </c>
      <c r="G69" s="19"/>
      <c r="I69" s="11"/>
    </row>
    <row r="70" spans="1:9" ht="15.75" thickBot="1" x14ac:dyDescent="0.25">
      <c r="A70" s="112"/>
      <c r="B70" s="7"/>
      <c r="C70" s="8"/>
      <c r="D70" s="19"/>
      <c r="E70" s="42"/>
      <c r="F70" s="35"/>
      <c r="G70" s="36"/>
      <c r="I70" s="11"/>
    </row>
    <row r="71" spans="1:9" x14ac:dyDescent="0.2">
      <c r="A71" s="112"/>
      <c r="B71" s="7"/>
      <c r="C71" s="8"/>
      <c r="F71" s="13"/>
      <c r="I71" s="11"/>
    </row>
    <row r="72" spans="1:9" ht="15.75" thickBot="1" x14ac:dyDescent="0.25">
      <c r="A72" s="112"/>
      <c r="B72" s="7"/>
      <c r="C72" s="8"/>
      <c r="E72" s="12" t="s">
        <v>26</v>
      </c>
      <c r="F72" s="13"/>
      <c r="I72" s="11"/>
    </row>
    <row r="73" spans="1:9" x14ac:dyDescent="0.2">
      <c r="A73" s="112"/>
      <c r="B73" s="7"/>
      <c r="C73" s="8"/>
      <c r="E73" s="14"/>
      <c r="F73" s="15"/>
      <c r="G73" s="16"/>
      <c r="I73" s="11"/>
    </row>
    <row r="74" spans="1:9" x14ac:dyDescent="0.2">
      <c r="A74" s="112"/>
      <c r="B74" s="7"/>
      <c r="C74" s="8"/>
      <c r="D74" s="19"/>
      <c r="E74" s="30"/>
      <c r="F74" s="18" t="s">
        <v>27</v>
      </c>
      <c r="G74" s="19"/>
      <c r="I74" s="11"/>
    </row>
    <row r="75" spans="1:9" x14ac:dyDescent="0.2">
      <c r="A75" s="112"/>
      <c r="B75" s="7"/>
      <c r="C75" s="8"/>
      <c r="D75" s="19"/>
      <c r="E75" s="21" t="str">
        <f>IF(F75=0,"*","")</f>
        <v>*</v>
      </c>
      <c r="F75" s="37"/>
      <c r="G75" s="23"/>
      <c r="I75" s="11"/>
    </row>
    <row r="76" spans="1:9" x14ac:dyDescent="0.2">
      <c r="A76" s="7"/>
      <c r="B76" s="7"/>
      <c r="C76" s="8"/>
      <c r="D76" s="19"/>
      <c r="E76" s="30"/>
      <c r="F76" s="33" t="s">
        <v>28</v>
      </c>
      <c r="G76" s="19"/>
      <c r="I76" s="11"/>
    </row>
    <row r="77" spans="1:9" x14ac:dyDescent="0.2">
      <c r="A77" s="7"/>
      <c r="B77" s="7"/>
      <c r="C77" s="8"/>
      <c r="D77" s="19"/>
      <c r="E77" s="30"/>
      <c r="F77" s="31"/>
      <c r="G77" s="19"/>
      <c r="I77" s="11"/>
    </row>
    <row r="78" spans="1:9" x14ac:dyDescent="0.2">
      <c r="A78" s="7"/>
      <c r="B78" s="7"/>
      <c r="C78" s="8"/>
      <c r="D78" s="19"/>
      <c r="E78" s="30"/>
      <c r="F78" s="18" t="s">
        <v>29</v>
      </c>
      <c r="G78" s="19"/>
      <c r="I78" s="11"/>
    </row>
    <row r="79" spans="1:9" x14ac:dyDescent="0.2">
      <c r="A79" s="7"/>
      <c r="B79" s="7"/>
      <c r="C79" s="8"/>
      <c r="D79" s="19"/>
      <c r="E79" s="21" t="str">
        <f>IF(F79=0,"*","")</f>
        <v>*</v>
      </c>
      <c r="F79" s="37"/>
      <c r="G79" s="23"/>
      <c r="I79" s="11"/>
    </row>
    <row r="80" spans="1:9" x14ac:dyDescent="0.2">
      <c r="A80" s="7"/>
      <c r="B80" s="7"/>
      <c r="C80" s="8"/>
      <c r="D80" s="19"/>
      <c r="E80" s="17"/>
      <c r="F80" s="33" t="s">
        <v>30</v>
      </c>
      <c r="G80" s="19"/>
      <c r="I80" s="11"/>
    </row>
    <row r="81" spans="1:9" x14ac:dyDescent="0.2">
      <c r="A81" s="7"/>
      <c r="B81" s="7"/>
      <c r="C81" s="8"/>
      <c r="D81" s="19"/>
      <c r="E81" s="30"/>
      <c r="F81" s="31"/>
      <c r="G81" s="19"/>
      <c r="I81" s="11"/>
    </row>
    <row r="82" spans="1:9" x14ac:dyDescent="0.2">
      <c r="A82" s="7"/>
      <c r="B82" s="7"/>
      <c r="C82" s="8"/>
      <c r="D82" s="19"/>
      <c r="E82" s="30"/>
      <c r="F82" s="18" t="s">
        <v>32</v>
      </c>
      <c r="G82" s="19"/>
      <c r="I82" s="11"/>
    </row>
    <row r="83" spans="1:9" x14ac:dyDescent="0.2">
      <c r="A83" s="7"/>
      <c r="B83" s="7"/>
      <c r="C83" s="8"/>
      <c r="D83" s="19"/>
      <c r="E83" s="21" t="str">
        <f>IF(F83=0,"*","")</f>
        <v>*</v>
      </c>
      <c r="F83" s="37"/>
      <c r="G83" s="23"/>
      <c r="I83" s="11"/>
    </row>
    <row r="84" spans="1:9" x14ac:dyDescent="0.2">
      <c r="A84" s="7"/>
      <c r="B84" s="7"/>
      <c r="C84" s="8"/>
      <c r="D84" s="19"/>
      <c r="E84" s="30"/>
      <c r="F84" s="33" t="s">
        <v>33</v>
      </c>
      <c r="G84" s="19"/>
      <c r="I84" s="11"/>
    </row>
    <row r="85" spans="1:9" ht="15.75" thickBot="1" x14ac:dyDescent="0.25">
      <c r="A85" s="7"/>
      <c r="B85" s="7"/>
      <c r="C85" s="8"/>
      <c r="D85" s="19"/>
      <c r="E85" s="42"/>
      <c r="F85" s="35"/>
      <c r="G85" s="36"/>
      <c r="I85" s="11"/>
    </row>
    <row r="86" spans="1:9" x14ac:dyDescent="0.2">
      <c r="A86" s="7"/>
      <c r="B86" s="7"/>
      <c r="C86" s="8"/>
      <c r="D86" s="19"/>
      <c r="E86" s="30"/>
      <c r="F86" s="43"/>
      <c r="G86" s="44">
        <v>0</v>
      </c>
      <c r="I86" s="11"/>
    </row>
    <row r="87" spans="1:9" x14ac:dyDescent="0.2">
      <c r="A87" s="7"/>
      <c r="B87" s="7"/>
      <c r="C87" s="8"/>
      <c r="D87" s="19"/>
      <c r="E87" s="30"/>
      <c r="F87" s="18" t="s">
        <v>31</v>
      </c>
      <c r="G87" s="19"/>
      <c r="I87" s="11"/>
    </row>
    <row r="88" spans="1:9" x14ac:dyDescent="0.2">
      <c r="A88" s="7"/>
      <c r="B88" s="7"/>
      <c r="C88" s="8"/>
      <c r="D88" s="19"/>
      <c r="E88" s="21" t="str">
        <f>IF(ProjekatA=0,"",IF(ProjektnaOrganizacijaA=0,"*",""))</f>
        <v/>
      </c>
      <c r="F88" s="37"/>
      <c r="G88" s="23"/>
      <c r="I88" s="11"/>
    </row>
    <row r="89" spans="1:9" x14ac:dyDescent="0.2">
      <c r="A89" s="7"/>
      <c r="B89" s="7"/>
      <c r="C89" s="8"/>
      <c r="D89" s="19"/>
      <c r="E89" s="17"/>
      <c r="F89" s="33" t="s">
        <v>28</v>
      </c>
      <c r="G89" s="19"/>
      <c r="I89" s="11"/>
    </row>
    <row r="90" spans="1:9" x14ac:dyDescent="0.2">
      <c r="A90" s="7"/>
      <c r="B90" s="7"/>
      <c r="C90" s="8"/>
      <c r="D90" s="19"/>
      <c r="E90" s="30"/>
      <c r="F90" s="31"/>
      <c r="G90" s="19"/>
      <c r="I90" s="11"/>
    </row>
    <row r="91" spans="1:9" x14ac:dyDescent="0.2">
      <c r="A91" s="7"/>
      <c r="B91" s="7"/>
      <c r="C91" s="8"/>
      <c r="D91" s="19"/>
      <c r="E91" s="30"/>
      <c r="F91" s="18" t="s">
        <v>190</v>
      </c>
      <c r="G91" s="19"/>
      <c r="I91" s="11"/>
    </row>
    <row r="92" spans="1:9" x14ac:dyDescent="0.2">
      <c r="A92" s="7"/>
      <c r="B92" s="7"/>
      <c r="C92" s="8"/>
      <c r="D92" s="19"/>
      <c r="E92" s="21" t="str">
        <f>IF(F92=0,"*","")</f>
        <v>*</v>
      </c>
      <c r="F92" s="37"/>
      <c r="G92" s="23"/>
      <c r="I92" s="11"/>
    </row>
    <row r="93" spans="1:9" x14ac:dyDescent="0.2">
      <c r="A93" s="7"/>
      <c r="B93" s="7"/>
      <c r="C93" s="8"/>
      <c r="D93" s="19"/>
      <c r="E93" s="17"/>
      <c r="F93" s="33" t="s">
        <v>30</v>
      </c>
      <c r="G93" s="19"/>
      <c r="I93" s="11"/>
    </row>
    <row r="94" spans="1:9" x14ac:dyDescent="0.2">
      <c r="A94" s="7"/>
      <c r="B94" s="7"/>
      <c r="C94" s="8"/>
      <c r="D94" s="19"/>
      <c r="E94" s="30"/>
      <c r="F94" s="31"/>
      <c r="G94" s="19"/>
      <c r="I94" s="11"/>
    </row>
    <row r="95" spans="1:9" x14ac:dyDescent="0.2">
      <c r="A95" s="7"/>
      <c r="B95" s="7"/>
      <c r="C95" s="8"/>
      <c r="D95" s="19"/>
      <c r="E95" s="30"/>
      <c r="F95" s="18" t="s">
        <v>34</v>
      </c>
      <c r="G95" s="19"/>
      <c r="I95" s="11"/>
    </row>
    <row r="96" spans="1:9" x14ac:dyDescent="0.2">
      <c r="A96" s="7"/>
      <c r="B96" s="7"/>
      <c r="C96" s="8"/>
      <c r="D96" s="19"/>
      <c r="E96" s="21" t="str">
        <f>IF(ProjekatA=0,"",IF(OdgovorniProjektantA=0,"*",""))</f>
        <v/>
      </c>
      <c r="F96" s="37"/>
      <c r="G96" s="23"/>
      <c r="I96" s="11"/>
    </row>
    <row r="97" spans="1:9" x14ac:dyDescent="0.2">
      <c r="A97" s="7"/>
      <c r="B97" s="7"/>
      <c r="C97" s="8"/>
      <c r="D97" s="19"/>
      <c r="E97" s="30"/>
      <c r="F97" s="33" t="s">
        <v>33</v>
      </c>
      <c r="G97" s="19"/>
      <c r="I97" s="11"/>
    </row>
    <row r="98" spans="1:9" ht="15.75" thickBot="1" x14ac:dyDescent="0.25">
      <c r="A98" s="7"/>
      <c r="B98" s="7"/>
      <c r="C98" s="8"/>
      <c r="D98" s="19"/>
      <c r="E98" s="42"/>
      <c r="F98" s="35"/>
      <c r="G98" s="36"/>
      <c r="I98" s="11"/>
    </row>
    <row r="99" spans="1:9" x14ac:dyDescent="0.2">
      <c r="A99" s="7"/>
      <c r="B99" s="7"/>
      <c r="C99" s="8"/>
      <c r="E99" s="30"/>
      <c r="F99" s="31"/>
      <c r="G99" s="30"/>
      <c r="I99" s="11"/>
    </row>
    <row r="100" spans="1:9" x14ac:dyDescent="0.2">
      <c r="A100" s="7"/>
      <c r="B100" s="7"/>
      <c r="C100" s="8"/>
      <c r="E100" s="30"/>
      <c r="F100" s="31"/>
      <c r="G100" s="30"/>
      <c r="I100" s="11"/>
    </row>
    <row r="101" spans="1:9" x14ac:dyDescent="0.2">
      <c r="A101" s="7"/>
      <c r="B101" s="7"/>
      <c r="C101" s="8"/>
      <c r="E101" s="30"/>
      <c r="F101" s="31"/>
      <c r="G101" s="30"/>
      <c r="I101" s="11"/>
    </row>
    <row r="102" spans="1:9" x14ac:dyDescent="0.2">
      <c r="A102" s="7"/>
      <c r="B102" s="7"/>
      <c r="C102" s="8"/>
      <c r="E102" s="30"/>
      <c r="F102" s="31"/>
      <c r="G102" s="30"/>
      <c r="I102" s="11"/>
    </row>
    <row r="103" spans="1:9" x14ac:dyDescent="0.2">
      <c r="A103" s="7"/>
      <c r="B103" s="7"/>
      <c r="C103" s="8"/>
      <c r="E103" s="30"/>
      <c r="F103" s="31"/>
      <c r="G103" s="30"/>
      <c r="I103" s="11"/>
    </row>
    <row r="104" spans="1:9" x14ac:dyDescent="0.2">
      <c r="A104" s="7"/>
      <c r="B104" s="7"/>
      <c r="C104" s="8"/>
      <c r="E104" s="30"/>
      <c r="F104" s="31"/>
      <c r="G104" s="30"/>
      <c r="I104" s="11"/>
    </row>
    <row r="105" spans="1:9" x14ac:dyDescent="0.2">
      <c r="A105" s="7"/>
      <c r="B105" s="7"/>
      <c r="C105" s="8"/>
      <c r="E105" s="30"/>
      <c r="F105" s="31"/>
      <c r="G105" s="30"/>
      <c r="I105" s="11"/>
    </row>
    <row r="106" spans="1:9" x14ac:dyDescent="0.2">
      <c r="A106" s="7"/>
      <c r="B106" s="7"/>
      <c r="C106" s="8"/>
      <c r="E106" s="30"/>
      <c r="F106" s="31"/>
      <c r="G106" s="30"/>
      <c r="I106" s="11"/>
    </row>
    <row r="107" spans="1:9" x14ac:dyDescent="0.2">
      <c r="A107" s="7"/>
      <c r="B107" s="7"/>
      <c r="C107" s="8"/>
      <c r="E107" s="30"/>
      <c r="F107" s="31"/>
      <c r="G107" s="30"/>
      <c r="I107" s="11"/>
    </row>
    <row r="108" spans="1:9" x14ac:dyDescent="0.2">
      <c r="A108" s="7"/>
      <c r="B108" s="7"/>
      <c r="C108" s="8"/>
      <c r="E108" s="30"/>
      <c r="F108" s="31"/>
      <c r="G108" s="30"/>
      <c r="I108" s="11"/>
    </row>
    <row r="109" spans="1:9" x14ac:dyDescent="0.2">
      <c r="A109" s="7"/>
      <c r="B109" s="7"/>
      <c r="C109" s="8"/>
      <c r="E109" s="30"/>
      <c r="F109" s="31"/>
      <c r="G109" s="30"/>
      <c r="I109" s="11"/>
    </row>
    <row r="110" spans="1:9" x14ac:dyDescent="0.2">
      <c r="A110" s="7"/>
      <c r="B110" s="7"/>
      <c r="C110" s="8"/>
      <c r="E110" s="30"/>
      <c r="F110" s="31"/>
      <c r="G110" s="30"/>
      <c r="I110" s="11"/>
    </row>
    <row r="111" spans="1:9" x14ac:dyDescent="0.2">
      <c r="A111" s="7"/>
      <c r="B111" s="7"/>
      <c r="C111" s="8"/>
      <c r="E111" s="30"/>
      <c r="F111" s="31"/>
      <c r="G111" s="30"/>
      <c r="I111" s="11"/>
    </row>
    <row r="112" spans="1:9" x14ac:dyDescent="0.2">
      <c r="A112" s="7"/>
      <c r="B112" s="7"/>
      <c r="C112" s="8"/>
      <c r="E112" s="30"/>
      <c r="F112" s="31"/>
      <c r="G112" s="30"/>
      <c r="I112" s="11"/>
    </row>
    <row r="113" spans="1:9" x14ac:dyDescent="0.2">
      <c r="A113" s="7"/>
      <c r="B113" s="7"/>
      <c r="C113" s="8"/>
      <c r="E113" s="30"/>
      <c r="F113" s="31"/>
      <c r="G113" s="30"/>
      <c r="I113" s="11"/>
    </row>
    <row r="114" spans="1:9" x14ac:dyDescent="0.2">
      <c r="A114" s="7"/>
      <c r="B114" s="7"/>
      <c r="C114" s="8"/>
      <c r="E114" s="30"/>
      <c r="F114" s="31"/>
      <c r="G114" s="30"/>
      <c r="I114" s="11"/>
    </row>
    <row r="115" spans="1:9" x14ac:dyDescent="0.2">
      <c r="A115" s="7"/>
      <c r="B115" s="7"/>
      <c r="C115" s="8"/>
      <c r="E115" s="30"/>
      <c r="F115" s="31"/>
      <c r="G115" s="30"/>
      <c r="I115" s="11"/>
    </row>
    <row r="116" spans="1:9" x14ac:dyDescent="0.2">
      <c r="A116" s="7"/>
      <c r="B116" s="7"/>
      <c r="C116" s="8"/>
      <c r="E116" s="30"/>
      <c r="F116" s="31"/>
      <c r="G116" s="30"/>
      <c r="I116" s="11"/>
    </row>
    <row r="117" spans="1:9" x14ac:dyDescent="0.2">
      <c r="A117" s="7"/>
      <c r="B117" s="7"/>
      <c r="C117" s="8"/>
      <c r="E117" s="30"/>
      <c r="F117" s="31"/>
      <c r="G117" s="30"/>
      <c r="I117" s="11"/>
    </row>
    <row r="118" spans="1:9" x14ac:dyDescent="0.2">
      <c r="A118" s="7"/>
      <c r="B118" s="7"/>
      <c r="C118" s="8"/>
      <c r="E118" s="30"/>
      <c r="F118" s="31"/>
      <c r="G118" s="30"/>
      <c r="I118" s="11"/>
    </row>
    <row r="119" spans="1:9" x14ac:dyDescent="0.2">
      <c r="A119" s="7"/>
      <c r="B119" s="7"/>
      <c r="C119" s="8"/>
      <c r="E119" s="30"/>
      <c r="F119" s="31"/>
      <c r="G119" s="30"/>
      <c r="I119" s="11"/>
    </row>
    <row r="120" spans="1:9" x14ac:dyDescent="0.2">
      <c r="A120" s="7"/>
      <c r="B120" s="7"/>
      <c r="C120" s="8"/>
      <c r="E120" s="30"/>
      <c r="F120" s="31"/>
      <c r="G120" s="30"/>
      <c r="I120" s="11"/>
    </row>
    <row r="121" spans="1:9" x14ac:dyDescent="0.2">
      <c r="A121" s="7"/>
      <c r="B121" s="7"/>
      <c r="C121" s="8"/>
      <c r="E121" s="30"/>
      <c r="F121" s="31"/>
      <c r="G121" s="30"/>
      <c r="I121" s="11"/>
    </row>
    <row r="122" spans="1:9" x14ac:dyDescent="0.2">
      <c r="A122" s="7"/>
      <c r="B122" s="7"/>
      <c r="C122" s="8"/>
      <c r="E122" s="30"/>
      <c r="F122" s="31"/>
      <c r="G122" s="30"/>
      <c r="I122" s="11"/>
    </row>
    <row r="123" spans="1:9" x14ac:dyDescent="0.2">
      <c r="A123" s="7"/>
      <c r="B123" s="7"/>
      <c r="C123" s="8"/>
      <c r="E123" s="30"/>
      <c r="F123" s="31"/>
      <c r="G123" s="30"/>
      <c r="I123" s="11"/>
    </row>
    <row r="124" spans="1:9" x14ac:dyDescent="0.2">
      <c r="A124" s="7"/>
      <c r="B124" s="7"/>
      <c r="C124" s="8"/>
      <c r="E124" s="30"/>
      <c r="F124" s="31"/>
      <c r="G124" s="30"/>
      <c r="I124" s="11"/>
    </row>
    <row r="125" spans="1:9" x14ac:dyDescent="0.2">
      <c r="A125" s="7"/>
      <c r="B125" s="7"/>
      <c r="C125" s="8"/>
      <c r="E125" s="30"/>
      <c r="F125" s="31"/>
      <c r="G125" s="30"/>
      <c r="I125" s="11"/>
    </row>
    <row r="126" spans="1:9" x14ac:dyDescent="0.2">
      <c r="A126" s="7"/>
      <c r="B126" s="7"/>
      <c r="C126" s="8"/>
      <c r="E126" s="30"/>
      <c r="F126" s="31"/>
      <c r="G126" s="30"/>
      <c r="I126" s="11"/>
    </row>
    <row r="127" spans="1:9" x14ac:dyDescent="0.2">
      <c r="A127" s="7"/>
      <c r="B127" s="7"/>
      <c r="C127" s="8"/>
      <c r="E127" s="30"/>
      <c r="F127" s="31"/>
      <c r="G127" s="30"/>
      <c r="I127" s="11"/>
    </row>
    <row r="128" spans="1:9" x14ac:dyDescent="0.2">
      <c r="A128" s="7"/>
      <c r="B128" s="7"/>
      <c r="C128" s="8"/>
      <c r="E128" s="30"/>
      <c r="F128" s="31"/>
      <c r="G128" s="30"/>
      <c r="I128" s="11"/>
    </row>
    <row r="129" spans="1:9" x14ac:dyDescent="0.2">
      <c r="A129" s="7"/>
      <c r="B129" s="7"/>
      <c r="C129" s="8"/>
      <c r="E129" s="30"/>
      <c r="F129" s="31"/>
      <c r="G129" s="30"/>
      <c r="I129" s="11"/>
    </row>
    <row r="130" spans="1:9" x14ac:dyDescent="0.2">
      <c r="A130" s="7"/>
      <c r="B130" s="7"/>
      <c r="C130" s="8"/>
      <c r="E130" s="30"/>
      <c r="F130" s="31"/>
      <c r="G130" s="30"/>
      <c r="I130" s="11"/>
    </row>
    <row r="131" spans="1:9" x14ac:dyDescent="0.2">
      <c r="A131" s="7"/>
      <c r="B131" s="7"/>
      <c r="C131" s="8"/>
      <c r="E131" s="30"/>
      <c r="F131" s="31"/>
      <c r="G131" s="30"/>
      <c r="I131" s="11"/>
    </row>
    <row r="132" spans="1:9" x14ac:dyDescent="0.2">
      <c r="A132" s="7"/>
      <c r="B132" s="7"/>
      <c r="C132" s="8"/>
      <c r="E132" s="30"/>
      <c r="F132" s="31"/>
      <c r="G132" s="30"/>
      <c r="I132" s="11"/>
    </row>
    <row r="133" spans="1:9" x14ac:dyDescent="0.2">
      <c r="A133" s="7"/>
      <c r="B133" s="7"/>
      <c r="C133" s="8"/>
      <c r="E133" s="30"/>
      <c r="F133" s="31"/>
      <c r="G133" s="30"/>
      <c r="I133" s="11"/>
    </row>
    <row r="134" spans="1:9" x14ac:dyDescent="0.2">
      <c r="A134" s="7"/>
      <c r="B134" s="7"/>
      <c r="C134" s="8"/>
      <c r="E134" s="30"/>
      <c r="F134" s="31"/>
      <c r="G134" s="30"/>
      <c r="I134" s="11"/>
    </row>
    <row r="135" spans="1:9" x14ac:dyDescent="0.2">
      <c r="A135" s="7"/>
      <c r="B135" s="7"/>
      <c r="C135" s="8"/>
      <c r="E135" s="30"/>
      <c r="F135" s="31"/>
      <c r="G135" s="30"/>
      <c r="I135" s="11"/>
    </row>
    <row r="136" spans="1:9" x14ac:dyDescent="0.2">
      <c r="A136" s="7"/>
      <c r="B136" s="7"/>
      <c r="C136" s="8"/>
      <c r="E136" s="30"/>
      <c r="F136" s="31"/>
      <c r="G136" s="30"/>
      <c r="I136" s="11"/>
    </row>
    <row r="137" spans="1:9" x14ac:dyDescent="0.2">
      <c r="A137" s="7"/>
      <c r="B137" s="7"/>
      <c r="C137" s="8"/>
      <c r="E137" s="30"/>
      <c r="F137" s="31"/>
      <c r="G137" s="30"/>
      <c r="I137" s="11"/>
    </row>
    <row r="138" spans="1:9" x14ac:dyDescent="0.2">
      <c r="A138" s="7"/>
      <c r="B138" s="7"/>
      <c r="C138" s="8"/>
      <c r="E138" s="30"/>
      <c r="F138" s="31"/>
      <c r="G138" s="30"/>
      <c r="I138" s="11"/>
    </row>
    <row r="139" spans="1:9" x14ac:dyDescent="0.2">
      <c r="A139" s="7"/>
      <c r="B139" s="7"/>
      <c r="C139" s="8"/>
      <c r="E139" s="30"/>
      <c r="F139" s="31"/>
      <c r="G139" s="30"/>
      <c r="I139" s="11"/>
    </row>
    <row r="140" spans="1:9" x14ac:dyDescent="0.2">
      <c r="A140" s="7"/>
      <c r="B140" s="7"/>
      <c r="C140" s="8"/>
      <c r="E140" s="30"/>
      <c r="F140" s="31"/>
      <c r="G140" s="30"/>
      <c r="I140" s="11"/>
    </row>
    <row r="141" spans="1:9" x14ac:dyDescent="0.2">
      <c r="A141" s="7"/>
      <c r="B141" s="7"/>
      <c r="C141" s="8"/>
      <c r="E141" s="30"/>
      <c r="F141" s="31"/>
      <c r="G141" s="30"/>
      <c r="I141" s="11"/>
    </row>
    <row r="142" spans="1:9" x14ac:dyDescent="0.2">
      <c r="A142" s="7"/>
      <c r="B142" s="7"/>
      <c r="C142" s="8"/>
      <c r="E142" s="30"/>
      <c r="F142" s="31"/>
      <c r="G142" s="30"/>
      <c r="I142" s="11"/>
    </row>
    <row r="143" spans="1:9" x14ac:dyDescent="0.2">
      <c r="A143" s="7"/>
      <c r="B143" s="7"/>
      <c r="C143" s="8"/>
      <c r="E143" s="30"/>
      <c r="F143" s="31"/>
      <c r="G143" s="30"/>
      <c r="I143" s="11"/>
    </row>
    <row r="144" spans="1:9" x14ac:dyDescent="0.2">
      <c r="A144" s="7"/>
      <c r="B144" s="7"/>
      <c r="C144" s="8"/>
      <c r="E144" s="30"/>
      <c r="F144" s="31"/>
      <c r="G144" s="30"/>
      <c r="I144" s="11"/>
    </row>
    <row r="145" spans="1:9" x14ac:dyDescent="0.2">
      <c r="A145" s="7"/>
      <c r="B145" s="7"/>
      <c r="C145" s="8"/>
      <c r="E145" s="30"/>
      <c r="F145" s="31"/>
      <c r="G145" s="30"/>
      <c r="I145" s="11"/>
    </row>
    <row r="146" spans="1:9" x14ac:dyDescent="0.2">
      <c r="A146" s="7"/>
      <c r="B146" s="7"/>
      <c r="C146" s="8"/>
      <c r="E146" s="30"/>
      <c r="F146" s="31"/>
      <c r="G146" s="30"/>
      <c r="I146" s="11"/>
    </row>
    <row r="147" spans="1:9" x14ac:dyDescent="0.2">
      <c r="A147" s="7"/>
      <c r="B147" s="7"/>
      <c r="C147" s="8"/>
      <c r="E147" s="30"/>
      <c r="F147" s="31"/>
      <c r="G147" s="30"/>
      <c r="I147" s="11"/>
    </row>
    <row r="148" spans="1:9" x14ac:dyDescent="0.2">
      <c r="A148" s="7"/>
      <c r="B148" s="7"/>
      <c r="C148" s="8"/>
      <c r="E148" s="30"/>
      <c r="F148" s="31"/>
      <c r="G148" s="30"/>
      <c r="I148" s="11"/>
    </row>
    <row r="149" spans="1:9" x14ac:dyDescent="0.2">
      <c r="A149" s="7"/>
      <c r="B149" s="7"/>
      <c r="C149" s="8"/>
      <c r="E149" s="30"/>
      <c r="F149" s="31"/>
      <c r="G149" s="30"/>
      <c r="I149" s="11"/>
    </row>
    <row r="150" spans="1:9" x14ac:dyDescent="0.2">
      <c r="A150" s="7"/>
      <c r="B150" s="7"/>
      <c r="C150" s="8"/>
      <c r="E150" s="30"/>
      <c r="F150" s="31"/>
      <c r="G150" s="30"/>
      <c r="I150" s="11"/>
    </row>
    <row r="151" spans="1:9" x14ac:dyDescent="0.2">
      <c r="A151" s="7"/>
      <c r="B151" s="7"/>
      <c r="C151" s="8"/>
      <c r="E151" s="30"/>
      <c r="F151" s="31"/>
      <c r="G151" s="30"/>
      <c r="I151" s="11"/>
    </row>
    <row r="152" spans="1:9" x14ac:dyDescent="0.2">
      <c r="A152" s="7"/>
      <c r="B152" s="7"/>
      <c r="C152" s="8"/>
      <c r="E152" s="30"/>
      <c r="F152" s="31"/>
      <c r="G152" s="30"/>
      <c r="I152" s="11"/>
    </row>
    <row r="153" spans="1:9" x14ac:dyDescent="0.2">
      <c r="A153" s="7"/>
      <c r="B153" s="7"/>
      <c r="C153" s="8"/>
      <c r="E153" s="30"/>
      <c r="F153" s="31"/>
      <c r="G153" s="30"/>
      <c r="I153" s="11"/>
    </row>
    <row r="154" spans="1:9" x14ac:dyDescent="0.2">
      <c r="A154" s="7"/>
      <c r="B154" s="7"/>
      <c r="C154" s="8"/>
      <c r="E154" s="30"/>
      <c r="F154" s="31"/>
      <c r="G154" s="30"/>
      <c r="I154" s="11"/>
    </row>
    <row r="155" spans="1:9" x14ac:dyDescent="0.2">
      <c r="A155" s="7"/>
      <c r="B155" s="7"/>
      <c r="C155" s="8"/>
      <c r="E155" s="30"/>
      <c r="F155" s="31"/>
      <c r="G155" s="30"/>
      <c r="I155" s="11"/>
    </row>
    <row r="156" spans="1:9" x14ac:dyDescent="0.2">
      <c r="A156" s="7"/>
      <c r="B156" s="7"/>
      <c r="C156" s="8"/>
      <c r="E156" s="30"/>
      <c r="F156" s="31"/>
      <c r="G156" s="30"/>
      <c r="I156" s="11"/>
    </row>
    <row r="157" spans="1:9" x14ac:dyDescent="0.2">
      <c r="A157" s="7"/>
      <c r="B157" s="7"/>
      <c r="C157" s="8"/>
      <c r="E157" s="30"/>
      <c r="F157" s="31"/>
      <c r="G157" s="30"/>
      <c r="I157" s="11"/>
    </row>
    <row r="158" spans="1:9" x14ac:dyDescent="0.2">
      <c r="A158" s="7"/>
      <c r="B158" s="7"/>
      <c r="C158" s="8"/>
      <c r="E158" s="30"/>
      <c r="F158" s="31"/>
      <c r="G158" s="30"/>
      <c r="I158" s="11"/>
    </row>
    <row r="159" spans="1:9" x14ac:dyDescent="0.2">
      <c r="A159" s="7"/>
      <c r="B159" s="7"/>
      <c r="C159" s="8"/>
      <c r="E159" s="30"/>
      <c r="F159" s="31"/>
      <c r="G159" s="30"/>
      <c r="I159" s="11"/>
    </row>
    <row r="160" spans="1:9" x14ac:dyDescent="0.2">
      <c r="A160" s="7"/>
      <c r="B160" s="7"/>
      <c r="C160" s="8"/>
      <c r="E160" s="30"/>
      <c r="F160" s="31"/>
      <c r="G160" s="30"/>
      <c r="I160" s="11"/>
    </row>
    <row r="161" spans="1:9" x14ac:dyDescent="0.2">
      <c r="A161" s="7"/>
      <c r="B161" s="7"/>
      <c r="C161" s="8"/>
      <c r="E161" s="30"/>
      <c r="F161" s="31"/>
      <c r="G161" s="30"/>
      <c r="I161" s="11"/>
    </row>
    <row r="162" spans="1:9" x14ac:dyDescent="0.2">
      <c r="A162" s="7"/>
      <c r="B162" s="7"/>
      <c r="C162" s="8"/>
      <c r="E162" s="30"/>
      <c r="F162" s="31"/>
      <c r="G162" s="30"/>
      <c r="I162" s="11"/>
    </row>
    <row r="163" spans="1:9" x14ac:dyDescent="0.2">
      <c r="A163" s="7"/>
      <c r="B163" s="7"/>
      <c r="C163" s="8"/>
      <c r="E163" s="30"/>
      <c r="F163" s="31"/>
      <c r="G163" s="30"/>
      <c r="I163" s="11"/>
    </row>
    <row r="164" spans="1:9" x14ac:dyDescent="0.2">
      <c r="A164" s="7"/>
      <c r="B164" s="7"/>
      <c r="C164" s="8"/>
      <c r="E164" s="30"/>
      <c r="F164" s="31"/>
      <c r="G164" s="30"/>
      <c r="I164" s="11"/>
    </row>
    <row r="165" spans="1:9" x14ac:dyDescent="0.2">
      <c r="A165" s="7"/>
      <c r="B165" s="7"/>
      <c r="C165" s="8"/>
      <c r="E165" s="30"/>
      <c r="F165" s="31"/>
      <c r="G165" s="30"/>
      <c r="I165" s="11"/>
    </row>
    <row r="166" spans="1:9" x14ac:dyDescent="0.2">
      <c r="A166" s="7"/>
      <c r="B166" s="7"/>
      <c r="C166" s="8"/>
      <c r="E166" s="30"/>
      <c r="F166" s="31"/>
      <c r="G166" s="30"/>
      <c r="I166" s="11"/>
    </row>
    <row r="167" spans="1:9" x14ac:dyDescent="0.2">
      <c r="A167" s="7"/>
      <c r="B167" s="7"/>
      <c r="C167" s="8"/>
      <c r="E167" s="30"/>
      <c r="F167" s="31"/>
      <c r="G167" s="30"/>
      <c r="I167" s="11"/>
    </row>
    <row r="168" spans="1:9" x14ac:dyDescent="0.2">
      <c r="A168" s="7"/>
      <c r="B168" s="7"/>
      <c r="C168" s="8"/>
      <c r="E168" s="30"/>
      <c r="F168" s="31"/>
      <c r="G168" s="30"/>
      <c r="I168" s="11"/>
    </row>
    <row r="169" spans="1:9" x14ac:dyDescent="0.2">
      <c r="A169" s="7"/>
      <c r="B169" s="7"/>
      <c r="C169" s="8"/>
      <c r="E169" s="30"/>
      <c r="F169" s="31"/>
      <c r="G169" s="30"/>
      <c r="I169" s="11"/>
    </row>
    <row r="170" spans="1:9" x14ac:dyDescent="0.2">
      <c r="A170" s="7"/>
      <c r="B170" s="7"/>
      <c r="C170" s="8"/>
      <c r="E170" s="30"/>
      <c r="F170" s="31"/>
      <c r="G170" s="30"/>
      <c r="I170" s="11"/>
    </row>
    <row r="171" spans="1:9" x14ac:dyDescent="0.2">
      <c r="A171" s="7"/>
      <c r="B171" s="7"/>
      <c r="C171" s="8"/>
      <c r="E171" s="30"/>
      <c r="F171" s="31"/>
      <c r="G171" s="30"/>
      <c r="I171" s="11"/>
    </row>
    <row r="172" spans="1:9" x14ac:dyDescent="0.2">
      <c r="A172" s="7"/>
      <c r="B172" s="7"/>
      <c r="C172" s="8"/>
      <c r="E172" s="30"/>
      <c r="F172" s="31"/>
      <c r="G172" s="30"/>
      <c r="I172" s="11"/>
    </row>
    <row r="173" spans="1:9" x14ac:dyDescent="0.2">
      <c r="A173" s="7"/>
      <c r="B173" s="7"/>
      <c r="C173" s="8"/>
      <c r="E173" s="30"/>
      <c r="F173" s="31"/>
      <c r="G173" s="30"/>
      <c r="I173" s="11"/>
    </row>
    <row r="174" spans="1:9" x14ac:dyDescent="0.2">
      <c r="A174" s="7"/>
      <c r="B174" s="7"/>
      <c r="C174" s="8"/>
      <c r="E174" s="30"/>
      <c r="F174" s="31"/>
      <c r="G174" s="30"/>
      <c r="I174" s="11"/>
    </row>
    <row r="175" spans="1:9" x14ac:dyDescent="0.2">
      <c r="A175" s="7"/>
      <c r="B175" s="7"/>
      <c r="C175" s="8"/>
      <c r="E175" s="30"/>
      <c r="F175" s="31"/>
      <c r="G175" s="30"/>
      <c r="I175" s="11"/>
    </row>
    <row r="176" spans="1:9" x14ac:dyDescent="0.2">
      <c r="A176" s="7"/>
      <c r="B176" s="7"/>
      <c r="C176" s="8"/>
      <c r="E176" s="30"/>
      <c r="F176" s="31"/>
      <c r="G176" s="30"/>
      <c r="I176" s="11"/>
    </row>
    <row r="177" spans="1:9" x14ac:dyDescent="0.2">
      <c r="A177" s="7"/>
      <c r="B177" s="7"/>
      <c r="C177" s="8"/>
      <c r="E177" s="30"/>
      <c r="F177" s="31"/>
      <c r="G177" s="30"/>
      <c r="I177" s="11"/>
    </row>
    <row r="178" spans="1:9" x14ac:dyDescent="0.2">
      <c r="A178" s="7"/>
      <c r="B178" s="7"/>
      <c r="C178" s="8"/>
      <c r="F178" s="13"/>
      <c r="I178" s="11"/>
    </row>
    <row r="179" spans="1:9" ht="15.75" thickBot="1" x14ac:dyDescent="0.25">
      <c r="A179" s="7"/>
      <c r="B179" s="7"/>
      <c r="C179" s="8"/>
      <c r="E179" s="12" t="s">
        <v>41</v>
      </c>
      <c r="F179" s="13"/>
      <c r="I179" s="11"/>
    </row>
    <row r="180" spans="1:9" x14ac:dyDescent="0.2">
      <c r="A180" s="7"/>
      <c r="B180" s="7"/>
      <c r="C180" s="8"/>
      <c r="D180" s="19"/>
      <c r="E180" s="41"/>
      <c r="F180" s="15"/>
      <c r="G180" s="16"/>
      <c r="I180" s="11"/>
    </row>
    <row r="181" spans="1:9" x14ac:dyDescent="0.2">
      <c r="A181" s="7"/>
      <c r="B181" s="7"/>
      <c r="C181" s="8"/>
      <c r="D181" s="19"/>
      <c r="E181" s="30"/>
      <c r="F181" s="18" t="s">
        <v>42</v>
      </c>
      <c r="G181" s="19"/>
      <c r="I181" s="11"/>
    </row>
    <row r="182" spans="1:9" x14ac:dyDescent="0.2">
      <c r="A182" s="7"/>
      <c r="B182" s="7"/>
      <c r="C182" s="8"/>
      <c r="D182" s="19"/>
      <c r="E182" s="21" t="str">
        <f>IF(F182=0,"*","")</f>
        <v>*</v>
      </c>
      <c r="F182" s="37"/>
      <c r="G182" s="23"/>
      <c r="I182" s="11"/>
    </row>
    <row r="183" spans="1:9" x14ac:dyDescent="0.2">
      <c r="A183" s="7"/>
      <c r="B183" s="7"/>
      <c r="C183" s="8"/>
      <c r="D183" s="19"/>
      <c r="E183" s="30"/>
      <c r="F183" s="33" t="s">
        <v>43</v>
      </c>
      <c r="G183" s="19"/>
      <c r="I183" s="11"/>
    </row>
    <row r="184" spans="1:9" x14ac:dyDescent="0.2">
      <c r="A184" s="7"/>
      <c r="B184" s="7"/>
      <c r="C184" s="8"/>
      <c r="D184" s="19"/>
      <c r="E184" s="30"/>
      <c r="F184" s="31"/>
      <c r="G184" s="19"/>
      <c r="I184" s="11"/>
    </row>
    <row r="185" spans="1:9" x14ac:dyDescent="0.2">
      <c r="A185" s="7"/>
      <c r="B185" s="7"/>
      <c r="C185" s="8"/>
      <c r="D185" s="19"/>
      <c r="E185" s="30"/>
      <c r="F185" s="18" t="s">
        <v>44</v>
      </c>
      <c r="G185" s="19"/>
      <c r="I185" s="11"/>
    </row>
    <row r="186" spans="1:9" x14ac:dyDescent="0.2">
      <c r="A186" s="7"/>
      <c r="B186" s="7"/>
      <c r="C186" s="8"/>
      <c r="D186" s="19"/>
      <c r="E186" s="21" t="str">
        <f>IF(F186=0,"*","")</f>
        <v>*</v>
      </c>
      <c r="F186" s="37"/>
      <c r="G186" s="23"/>
      <c r="I186" s="11"/>
    </row>
    <row r="187" spans="1:9" x14ac:dyDescent="0.2">
      <c r="A187" s="7"/>
      <c r="B187" s="7"/>
      <c r="C187" s="8"/>
      <c r="D187" s="19"/>
      <c r="E187" s="30"/>
      <c r="F187" s="33" t="s">
        <v>45</v>
      </c>
      <c r="G187" s="19"/>
      <c r="I187" s="11"/>
    </row>
    <row r="188" spans="1:9" x14ac:dyDescent="0.2">
      <c r="A188" s="7"/>
      <c r="B188" s="7"/>
      <c r="C188" s="8"/>
      <c r="D188" s="19"/>
      <c r="E188" s="30"/>
      <c r="F188" s="31"/>
      <c r="G188" s="19"/>
      <c r="I188" s="11"/>
    </row>
    <row r="189" spans="1:9" x14ac:dyDescent="0.2">
      <c r="A189" s="7"/>
      <c r="B189" s="7"/>
      <c r="C189" s="8"/>
      <c r="D189" s="19"/>
      <c r="E189" s="30"/>
      <c r="F189" s="18" t="s">
        <v>46</v>
      </c>
      <c r="G189" s="19"/>
      <c r="I189" s="11"/>
    </row>
    <row r="190" spans="1:9" x14ac:dyDescent="0.2">
      <c r="A190" s="7"/>
      <c r="B190" s="7"/>
      <c r="C190" s="8"/>
      <c r="D190" s="19"/>
      <c r="E190" s="21" t="str">
        <f>IF(F190=0,"*","")</f>
        <v>*</v>
      </c>
      <c r="F190" s="37"/>
      <c r="G190" s="23"/>
      <c r="I190" s="11"/>
    </row>
    <row r="191" spans="1:9" x14ac:dyDescent="0.2">
      <c r="A191" s="7"/>
      <c r="B191" s="7"/>
      <c r="C191" s="8"/>
      <c r="D191" s="19"/>
      <c r="E191" s="30"/>
      <c r="F191" s="33" t="s">
        <v>47</v>
      </c>
      <c r="G191" s="19"/>
      <c r="I191" s="11"/>
    </row>
    <row r="192" spans="1:9" x14ac:dyDescent="0.2">
      <c r="A192" s="7"/>
      <c r="B192" s="7"/>
      <c r="C192" s="8"/>
      <c r="D192" s="19"/>
      <c r="E192" s="30"/>
      <c r="F192" s="31"/>
      <c r="G192" s="19"/>
      <c r="I192" s="11"/>
    </row>
    <row r="193" spans="1:9" x14ac:dyDescent="0.2">
      <c r="A193" s="7"/>
      <c r="B193" s="7"/>
      <c r="C193" s="8"/>
      <c r="D193" s="19"/>
      <c r="E193" s="30"/>
      <c r="F193" s="18" t="s">
        <v>48</v>
      </c>
      <c r="G193" s="19"/>
      <c r="I193" s="11"/>
    </row>
    <row r="194" spans="1:9" x14ac:dyDescent="0.2">
      <c r="A194" s="7"/>
      <c r="B194" s="7"/>
      <c r="C194" s="8"/>
      <c r="D194" s="19"/>
      <c r="E194" s="21" t="str">
        <f>IF(F194=0,"*","")</f>
        <v>*</v>
      </c>
      <c r="F194" s="37"/>
      <c r="G194" s="23"/>
      <c r="I194" s="11"/>
    </row>
    <row r="195" spans="1:9" x14ac:dyDescent="0.2">
      <c r="A195" s="7"/>
      <c r="B195" s="7"/>
      <c r="C195" s="8"/>
      <c r="D195" s="19"/>
      <c r="E195" s="30"/>
      <c r="F195" s="33" t="s">
        <v>49</v>
      </c>
      <c r="G195" s="19"/>
      <c r="I195" s="11"/>
    </row>
    <row r="196" spans="1:9" x14ac:dyDescent="0.2">
      <c r="A196" s="7"/>
      <c r="B196" s="7"/>
      <c r="C196" s="8"/>
      <c r="D196" s="19"/>
      <c r="E196" s="30"/>
      <c r="F196" s="31"/>
      <c r="G196" s="19"/>
      <c r="I196" s="11"/>
    </row>
    <row r="197" spans="1:9" x14ac:dyDescent="0.2">
      <c r="A197" s="7"/>
      <c r="B197" s="7"/>
      <c r="C197" s="8"/>
      <c r="D197" s="19"/>
      <c r="E197" s="30"/>
      <c r="F197" s="18" t="s">
        <v>50</v>
      </c>
      <c r="G197" s="19"/>
      <c r="I197" s="11"/>
    </row>
    <row r="198" spans="1:9" x14ac:dyDescent="0.2">
      <c r="A198" s="7"/>
      <c r="B198" s="7"/>
      <c r="C198" s="8"/>
      <c r="D198" s="19"/>
      <c r="E198" s="21" t="str">
        <f>IF(F198=0,"*","")</f>
        <v>*</v>
      </c>
      <c r="F198" s="37"/>
      <c r="G198" s="23"/>
      <c r="I198" s="11"/>
    </row>
    <row r="199" spans="1:9" x14ac:dyDescent="0.2">
      <c r="A199" s="7"/>
      <c r="B199" s="7"/>
      <c r="C199" s="8"/>
      <c r="E199" s="17"/>
      <c r="F199" s="33" t="s">
        <v>51</v>
      </c>
      <c r="G199" s="19"/>
      <c r="I199" s="11"/>
    </row>
    <row r="200" spans="1:9" ht="15.75" thickBot="1" x14ac:dyDescent="0.25">
      <c r="A200" s="7"/>
      <c r="B200" s="7"/>
      <c r="C200" s="8"/>
      <c r="E200" s="34"/>
      <c r="F200" s="35"/>
      <c r="G200" s="36"/>
      <c r="I200" s="11"/>
    </row>
    <row r="201" spans="1:9" x14ac:dyDescent="0.2">
      <c r="A201" s="7"/>
      <c r="B201" s="7"/>
      <c r="C201" s="8"/>
      <c r="F201" s="13"/>
      <c r="I201" s="11"/>
    </row>
    <row r="202" spans="1:9" ht="15.75" thickBot="1" x14ac:dyDescent="0.25">
      <c r="A202" s="7"/>
      <c r="B202" s="7"/>
      <c r="C202" s="8"/>
      <c r="E202" s="12" t="s">
        <v>52</v>
      </c>
      <c r="F202" s="13"/>
      <c r="I202" s="11"/>
    </row>
    <row r="203" spans="1:9" x14ac:dyDescent="0.2">
      <c r="A203" s="7"/>
      <c r="B203" s="7"/>
      <c r="C203" s="8"/>
      <c r="E203" s="14"/>
      <c r="F203" s="15"/>
      <c r="G203" s="16"/>
      <c r="I203" s="11"/>
    </row>
    <row r="204" spans="1:9" x14ac:dyDescent="0.2">
      <c r="A204" s="7"/>
      <c r="B204" s="7"/>
      <c r="C204" s="8"/>
      <c r="D204" s="19"/>
      <c r="E204" s="30"/>
      <c r="F204" s="18" t="s">
        <v>53</v>
      </c>
      <c r="G204" s="19"/>
      <c r="I204" s="11"/>
    </row>
    <row r="205" spans="1:9" x14ac:dyDescent="0.2">
      <c r="A205" s="7"/>
      <c r="B205" s="7"/>
      <c r="C205" s="8"/>
      <c r="D205" s="19"/>
      <c r="E205" s="21" t="str">
        <f>IF(F205=0,"*","")</f>
        <v>*</v>
      </c>
      <c r="F205" s="37"/>
      <c r="G205" s="23"/>
      <c r="I205" s="11"/>
    </row>
    <row r="206" spans="1:9" x14ac:dyDescent="0.2">
      <c r="A206" s="7"/>
      <c r="B206" s="7"/>
      <c r="C206" s="8"/>
      <c r="D206" s="19"/>
      <c r="E206" s="30"/>
      <c r="F206" s="33" t="s">
        <v>54</v>
      </c>
      <c r="G206" s="19"/>
      <c r="I206" s="11"/>
    </row>
    <row r="207" spans="1:9" x14ac:dyDescent="0.2">
      <c r="A207" s="7"/>
      <c r="B207" s="7"/>
      <c r="C207" s="8"/>
      <c r="D207" s="19"/>
      <c r="E207" s="30"/>
      <c r="F207" s="31"/>
      <c r="G207" s="19"/>
      <c r="I207" s="11"/>
    </row>
    <row r="208" spans="1:9" x14ac:dyDescent="0.2">
      <c r="A208" s="7"/>
      <c r="B208" s="7"/>
      <c r="C208" s="8"/>
      <c r="D208" s="19"/>
      <c r="E208" s="30"/>
      <c r="F208" s="18" t="s">
        <v>55</v>
      </c>
      <c r="G208" s="19"/>
      <c r="I208" s="11"/>
    </row>
    <row r="209" spans="1:9" x14ac:dyDescent="0.2">
      <c r="A209" s="7"/>
      <c r="B209" s="7"/>
      <c r="C209" s="8"/>
      <c r="D209" s="19"/>
      <c r="E209" s="21" t="str">
        <f>IF(F209=0,"*","")</f>
        <v>*</v>
      </c>
      <c r="F209" s="37"/>
      <c r="G209" s="23"/>
      <c r="I209" s="11"/>
    </row>
    <row r="210" spans="1:9" x14ac:dyDescent="0.2">
      <c r="A210" s="7"/>
      <c r="B210" s="7"/>
      <c r="C210" s="8"/>
      <c r="D210" s="19"/>
      <c r="E210" s="30"/>
      <c r="F210" s="33" t="s">
        <v>56</v>
      </c>
      <c r="G210" s="19"/>
      <c r="I210" s="11"/>
    </row>
    <row r="211" spans="1:9" x14ac:dyDescent="0.2">
      <c r="A211" s="7"/>
      <c r="B211" s="7"/>
      <c r="C211" s="8"/>
      <c r="D211" s="19"/>
      <c r="E211" s="30"/>
      <c r="F211" s="31"/>
      <c r="G211" s="19"/>
      <c r="I211" s="11"/>
    </row>
    <row r="212" spans="1:9" x14ac:dyDescent="0.2">
      <c r="A212" s="7"/>
      <c r="B212" s="7"/>
      <c r="C212" s="8"/>
      <c r="D212" s="19"/>
      <c r="E212" s="30"/>
      <c r="F212" s="18" t="s">
        <v>57</v>
      </c>
      <c r="G212" s="19"/>
      <c r="I212" s="11"/>
    </row>
    <row r="213" spans="1:9" x14ac:dyDescent="0.2">
      <c r="A213" s="7"/>
      <c r="B213" s="7"/>
      <c r="C213" s="8"/>
      <c r="D213" s="19"/>
      <c r="E213" s="21" t="str">
        <f>IF(F213=0,"*","")</f>
        <v>*</v>
      </c>
      <c r="F213" s="37"/>
      <c r="G213" s="23"/>
      <c r="I213" s="11"/>
    </row>
    <row r="214" spans="1:9" x14ac:dyDescent="0.2">
      <c r="A214" s="7"/>
      <c r="B214" s="7"/>
      <c r="C214" s="8"/>
      <c r="E214" s="17"/>
      <c r="F214" s="33" t="s">
        <v>58</v>
      </c>
      <c r="G214" s="19"/>
      <c r="I214" s="11"/>
    </row>
    <row r="215" spans="1:9" ht="15.75" thickBot="1" x14ac:dyDescent="0.25">
      <c r="A215" s="7"/>
      <c r="B215" s="7"/>
      <c r="C215" s="8"/>
      <c r="E215" s="34"/>
      <c r="F215" s="35"/>
      <c r="G215" s="36"/>
      <c r="I215" s="11"/>
    </row>
    <row r="216" spans="1:9" x14ac:dyDescent="0.2">
      <c r="A216" s="7"/>
      <c r="B216" s="7"/>
      <c r="C216" s="8"/>
      <c r="F216" s="13"/>
      <c r="I216" s="11"/>
    </row>
    <row r="217" spans="1:9" ht="15.75" thickBot="1" x14ac:dyDescent="0.25">
      <c r="A217" s="7"/>
      <c r="B217" s="7"/>
      <c r="C217" s="8"/>
      <c r="E217" s="12" t="s">
        <v>59</v>
      </c>
      <c r="F217" s="13"/>
      <c r="I217" s="11"/>
    </row>
    <row r="218" spans="1:9" x14ac:dyDescent="0.2">
      <c r="A218" s="7"/>
      <c r="B218" s="7"/>
      <c r="C218" s="8"/>
      <c r="E218" s="14"/>
      <c r="F218" s="15"/>
      <c r="G218" s="16"/>
      <c r="I218" s="11"/>
    </row>
    <row r="219" spans="1:9" x14ac:dyDescent="0.2">
      <c r="A219" s="7"/>
      <c r="B219" s="7"/>
      <c r="C219" s="8"/>
      <c r="D219" s="19"/>
      <c r="E219" s="30"/>
      <c r="F219" s="18" t="s">
        <v>60</v>
      </c>
      <c r="G219" s="19"/>
      <c r="I219" s="11"/>
    </row>
    <row r="220" spans="1:9" x14ac:dyDescent="0.2">
      <c r="A220" s="7"/>
      <c r="B220" s="7"/>
      <c r="C220" s="8"/>
      <c r="D220" s="19"/>
      <c r="E220" s="21" t="str">
        <f>IF(F220=0,"*","")</f>
        <v>*</v>
      </c>
      <c r="F220" s="37"/>
      <c r="G220" s="23"/>
      <c r="I220" s="11"/>
    </row>
    <row r="221" spans="1:9" x14ac:dyDescent="0.2">
      <c r="A221" s="7"/>
      <c r="B221" s="7"/>
      <c r="C221" s="8"/>
      <c r="E221" s="17"/>
      <c r="F221" s="33" t="s">
        <v>61</v>
      </c>
      <c r="G221" s="19"/>
      <c r="I221" s="11"/>
    </row>
    <row r="222" spans="1:9" ht="15.75" thickBot="1" x14ac:dyDescent="0.25">
      <c r="A222" s="7"/>
      <c r="B222" s="7"/>
      <c r="C222" s="8"/>
      <c r="E222" s="34"/>
      <c r="F222" s="35"/>
      <c r="G222" s="36"/>
      <c r="I222" s="11"/>
    </row>
    <row r="223" spans="1:9" x14ac:dyDescent="0.2">
      <c r="A223" s="7"/>
      <c r="B223" s="7"/>
      <c r="C223" s="8"/>
      <c r="F223" s="13"/>
      <c r="I223" s="11"/>
    </row>
    <row r="224" spans="1:9" ht="15.75" thickBot="1" x14ac:dyDescent="0.25">
      <c r="A224" s="7"/>
      <c r="B224" s="7"/>
      <c r="C224" s="8"/>
      <c r="E224" s="12" t="s">
        <v>62</v>
      </c>
      <c r="F224" s="13"/>
      <c r="I224" s="11"/>
    </row>
    <row r="225" spans="1:9" x14ac:dyDescent="0.2">
      <c r="A225" s="7"/>
      <c r="B225" s="7"/>
      <c r="C225" s="8"/>
      <c r="E225" s="14"/>
      <c r="F225" s="15"/>
      <c r="G225" s="16"/>
      <c r="I225" s="11"/>
    </row>
    <row r="226" spans="1:9" x14ac:dyDescent="0.2">
      <c r="A226" s="7"/>
      <c r="B226" s="7"/>
      <c r="C226" s="8"/>
      <c r="D226" s="19"/>
      <c r="E226" s="30"/>
      <c r="F226" s="18" t="s">
        <v>63</v>
      </c>
      <c r="G226" s="19"/>
      <c r="I226" s="11"/>
    </row>
    <row r="227" spans="1:9" x14ac:dyDescent="0.2">
      <c r="A227" s="7"/>
      <c r="B227" s="7"/>
      <c r="C227" s="8"/>
      <c r="D227" s="19"/>
      <c r="E227" s="21" t="str">
        <f>IF(F227=0,"*","")</f>
        <v>*</v>
      </c>
      <c r="F227" s="45"/>
      <c r="G227" s="23"/>
      <c r="I227" s="11"/>
    </row>
    <row r="228" spans="1:9" x14ac:dyDescent="0.2">
      <c r="A228" s="7"/>
      <c r="B228" s="7"/>
      <c r="C228" s="8"/>
      <c r="D228" s="19"/>
      <c r="E228" s="30"/>
      <c r="F228" s="33" t="s">
        <v>64</v>
      </c>
      <c r="G228" s="19"/>
      <c r="I228" s="11"/>
    </row>
    <row r="229" spans="1:9" x14ac:dyDescent="0.2">
      <c r="A229" s="7"/>
      <c r="B229" s="7"/>
      <c r="C229" s="8"/>
      <c r="D229" s="19"/>
      <c r="E229" s="30"/>
      <c r="F229" s="31"/>
      <c r="G229" s="19"/>
      <c r="I229" s="11"/>
    </row>
    <row r="230" spans="1:9" x14ac:dyDescent="0.2">
      <c r="A230" s="7"/>
      <c r="B230" s="7"/>
      <c r="C230" s="8"/>
      <c r="D230" s="19"/>
      <c r="E230" s="30"/>
      <c r="F230" s="18" t="s">
        <v>65</v>
      </c>
      <c r="G230" s="19"/>
      <c r="I230" s="11"/>
    </row>
    <row r="231" spans="1:9" x14ac:dyDescent="0.2">
      <c r="A231" s="7"/>
      <c r="B231" s="7"/>
      <c r="C231" s="8"/>
      <c r="D231" s="19"/>
      <c r="E231" s="21" t="str">
        <f>IF(F231=0,"*","")</f>
        <v>*</v>
      </c>
      <c r="F231" s="45"/>
      <c r="G231" s="23"/>
      <c r="I231" s="11"/>
    </row>
    <row r="232" spans="1:9" x14ac:dyDescent="0.2">
      <c r="A232" s="7"/>
      <c r="B232" s="7"/>
      <c r="C232" s="8"/>
      <c r="D232" s="19"/>
      <c r="E232" s="30"/>
      <c r="F232" s="33" t="s">
        <v>66</v>
      </c>
      <c r="G232" s="19"/>
      <c r="I232" s="11"/>
    </row>
    <row r="233" spans="1:9" x14ac:dyDescent="0.2">
      <c r="A233" s="7"/>
      <c r="B233" s="7"/>
      <c r="C233" s="8"/>
      <c r="D233" s="19"/>
      <c r="E233" s="30"/>
      <c r="F233" s="31"/>
      <c r="G233" s="19"/>
      <c r="I233" s="11"/>
    </row>
    <row r="234" spans="1:9" x14ac:dyDescent="0.2">
      <c r="A234" s="7"/>
      <c r="B234" s="7"/>
      <c r="C234" s="8"/>
      <c r="D234" s="19"/>
      <c r="E234" s="30"/>
      <c r="F234" s="18" t="s">
        <v>67</v>
      </c>
      <c r="G234" s="19"/>
      <c r="I234" s="11"/>
    </row>
    <row r="235" spans="1:9" x14ac:dyDescent="0.2">
      <c r="A235" s="7"/>
      <c r="B235" s="7"/>
      <c r="C235" s="8"/>
      <c r="D235" s="19"/>
      <c r="E235" s="21" t="str">
        <f>IF(F235=0,"*","")</f>
        <v>*</v>
      </c>
      <c r="F235" s="45"/>
      <c r="G235" s="23"/>
      <c r="I235" s="11"/>
    </row>
    <row r="236" spans="1:9" x14ac:dyDescent="0.2">
      <c r="A236" s="7"/>
      <c r="B236" s="7"/>
      <c r="C236" s="8"/>
      <c r="D236" s="19"/>
      <c r="E236" s="30"/>
      <c r="F236" s="33" t="s">
        <v>66</v>
      </c>
      <c r="G236" s="19"/>
      <c r="I236" s="11"/>
    </row>
    <row r="237" spans="1:9" x14ac:dyDescent="0.2">
      <c r="A237" s="7"/>
      <c r="B237" s="7"/>
      <c r="C237" s="8"/>
      <c r="D237" s="19"/>
      <c r="E237" s="30"/>
      <c r="F237" s="31"/>
      <c r="G237" s="19"/>
      <c r="H237" s="30"/>
      <c r="I237" s="11"/>
    </row>
    <row r="238" spans="1:9" x14ac:dyDescent="0.2">
      <c r="A238" s="7"/>
      <c r="B238" s="7"/>
      <c r="C238" s="8"/>
      <c r="D238" s="19"/>
      <c r="E238" s="30"/>
      <c r="F238" s="18" t="s">
        <v>68</v>
      </c>
      <c r="G238" s="19"/>
      <c r="I238" s="11"/>
    </row>
    <row r="239" spans="1:9" x14ac:dyDescent="0.2">
      <c r="A239" s="7"/>
      <c r="B239" s="7"/>
      <c r="C239" s="8"/>
      <c r="D239" s="19"/>
      <c r="E239" s="21" t="str">
        <f>IF(F239=0,"*","")</f>
        <v>*</v>
      </c>
      <c r="F239" s="45"/>
      <c r="G239" s="23"/>
      <c r="I239" s="11"/>
    </row>
    <row r="240" spans="1:9" x14ac:dyDescent="0.2">
      <c r="A240" s="7"/>
      <c r="B240" s="7"/>
      <c r="C240" s="8"/>
      <c r="D240" s="19"/>
      <c r="E240" s="30"/>
      <c r="F240" s="33" t="s">
        <v>69</v>
      </c>
      <c r="G240" s="19"/>
      <c r="I240" s="11"/>
    </row>
    <row r="241" spans="1:9" x14ac:dyDescent="0.2">
      <c r="A241" s="7"/>
      <c r="B241" s="7"/>
      <c r="C241" s="8"/>
      <c r="D241" s="30"/>
      <c r="E241" s="17"/>
      <c r="F241" s="31"/>
      <c r="G241" s="19"/>
      <c r="H241" s="30"/>
      <c r="I241" s="11"/>
    </row>
    <row r="242" spans="1:9" x14ac:dyDescent="0.2">
      <c r="A242" s="7"/>
      <c r="B242" s="7"/>
      <c r="C242" s="8"/>
      <c r="E242" s="17"/>
      <c r="F242" s="18" t="s">
        <v>70</v>
      </c>
      <c r="G242" s="19"/>
      <c r="I242" s="11"/>
    </row>
    <row r="243" spans="1:9" x14ac:dyDescent="0.2">
      <c r="A243" s="7"/>
      <c r="B243" s="7"/>
      <c r="C243" s="8"/>
      <c r="D243" s="19"/>
      <c r="E243" s="21" t="str">
        <f>IF(F243=0,"*","")</f>
        <v>*</v>
      </c>
      <c r="F243" s="45"/>
      <c r="G243" s="23"/>
      <c r="I243" s="11"/>
    </row>
    <row r="244" spans="1:9" x14ac:dyDescent="0.2">
      <c r="A244" s="7"/>
      <c r="B244" s="7"/>
      <c r="C244" s="8"/>
      <c r="D244" s="19"/>
      <c r="E244" s="30"/>
      <c r="F244" s="33" t="s">
        <v>66</v>
      </c>
      <c r="G244" s="19"/>
      <c r="I244" s="11"/>
    </row>
    <row r="245" spans="1:9" x14ac:dyDescent="0.2">
      <c r="A245" s="7"/>
      <c r="B245" s="7"/>
      <c r="C245" s="8"/>
      <c r="D245" s="19"/>
      <c r="E245" s="30"/>
      <c r="F245" s="31"/>
      <c r="G245" s="19"/>
      <c r="H245" s="30"/>
      <c r="I245" s="11"/>
    </row>
    <row r="246" spans="1:9" x14ac:dyDescent="0.2">
      <c r="A246" s="7"/>
      <c r="B246" s="7"/>
      <c r="C246" s="8"/>
      <c r="D246" s="19"/>
      <c r="E246" s="30"/>
      <c r="F246" s="18" t="s">
        <v>71</v>
      </c>
      <c r="G246" s="19"/>
      <c r="I246" s="11"/>
    </row>
    <row r="247" spans="1:9" x14ac:dyDescent="0.2">
      <c r="A247" s="7"/>
      <c r="B247" s="7"/>
      <c r="C247" s="8"/>
      <c r="D247" s="19"/>
      <c r="E247" s="21" t="str">
        <f>IF(F247=0,"*","")</f>
        <v>*</v>
      </c>
      <c r="F247" s="45"/>
      <c r="G247" s="23"/>
      <c r="I247" s="11"/>
    </row>
    <row r="248" spans="1:9" x14ac:dyDescent="0.2">
      <c r="A248" s="7"/>
      <c r="B248" s="7"/>
      <c r="C248" s="8"/>
      <c r="D248" s="19"/>
      <c r="E248" s="30"/>
      <c r="F248" s="33" t="s">
        <v>66</v>
      </c>
      <c r="G248" s="19"/>
      <c r="I248" s="11"/>
    </row>
    <row r="249" spans="1:9" x14ac:dyDescent="0.2">
      <c r="A249" s="7"/>
      <c r="B249" s="7"/>
      <c r="C249" s="8"/>
      <c r="D249" s="19"/>
      <c r="E249" s="30"/>
      <c r="F249" s="31"/>
      <c r="G249" s="19"/>
      <c r="H249" s="30"/>
      <c r="I249" s="11"/>
    </row>
    <row r="250" spans="1:9" x14ac:dyDescent="0.2">
      <c r="A250" s="7"/>
      <c r="B250" s="7"/>
      <c r="C250" s="8"/>
      <c r="D250" s="19"/>
      <c r="E250" s="30"/>
      <c r="F250" s="18" t="s">
        <v>72</v>
      </c>
      <c r="G250" s="19"/>
      <c r="I250" s="11"/>
    </row>
    <row r="251" spans="1:9" x14ac:dyDescent="0.2">
      <c r="A251" s="7"/>
      <c r="B251" s="7"/>
      <c r="C251" s="8"/>
      <c r="D251" s="19"/>
      <c r="E251" s="21" t="str">
        <f>IF(F251=0,"*","")</f>
        <v>*</v>
      </c>
      <c r="F251" s="37"/>
      <c r="G251" s="23"/>
      <c r="I251" s="11"/>
    </row>
    <row r="252" spans="1:9" x14ac:dyDescent="0.2">
      <c r="A252" s="7"/>
      <c r="B252" s="7"/>
      <c r="C252" s="8"/>
      <c r="D252" s="19"/>
      <c r="E252" s="30"/>
      <c r="F252" s="33" t="s">
        <v>73</v>
      </c>
      <c r="G252" s="19"/>
      <c r="I252" s="11"/>
    </row>
    <row r="253" spans="1:9" x14ac:dyDescent="0.2">
      <c r="A253" s="7"/>
      <c r="B253" s="7"/>
      <c r="C253" s="8"/>
      <c r="D253" s="19"/>
      <c r="E253" s="30"/>
      <c r="F253" s="31"/>
      <c r="G253" s="19"/>
      <c r="I253" s="11"/>
    </row>
    <row r="254" spans="1:9" x14ac:dyDescent="0.2">
      <c r="A254" s="7"/>
      <c r="B254" s="7"/>
      <c r="C254" s="8"/>
      <c r="D254" s="19"/>
      <c r="E254" s="30"/>
      <c r="F254" s="18" t="s">
        <v>74</v>
      </c>
      <c r="G254" s="19"/>
      <c r="I254" s="11"/>
    </row>
    <row r="255" spans="1:9" x14ac:dyDescent="0.2">
      <c r="A255" s="7"/>
      <c r="B255" s="7"/>
      <c r="C255" s="8"/>
      <c r="D255" s="19"/>
      <c r="E255" s="21" t="str">
        <f>IF(F255=0,"*","")</f>
        <v>*</v>
      </c>
      <c r="F255" s="45"/>
      <c r="G255" s="23"/>
      <c r="I255" s="11"/>
    </row>
    <row r="256" spans="1:9" x14ac:dyDescent="0.2">
      <c r="A256" s="7"/>
      <c r="B256" s="7"/>
      <c r="C256" s="8"/>
      <c r="D256" s="19"/>
      <c r="E256" s="30"/>
      <c r="F256" s="33" t="s">
        <v>75</v>
      </c>
      <c r="G256" s="19"/>
      <c r="I256" s="11"/>
    </row>
    <row r="257" spans="1:9" x14ac:dyDescent="0.2">
      <c r="A257" s="7"/>
      <c r="B257" s="7"/>
      <c r="C257" s="8"/>
      <c r="D257" s="19"/>
      <c r="E257" s="30"/>
      <c r="F257" s="31"/>
      <c r="G257" s="19"/>
      <c r="I257" s="11"/>
    </row>
    <row r="258" spans="1:9" x14ac:dyDescent="0.2">
      <c r="A258" s="7"/>
      <c r="B258" s="7"/>
      <c r="C258" s="8"/>
      <c r="D258" s="19"/>
      <c r="E258" s="30"/>
      <c r="F258" s="18" t="s">
        <v>76</v>
      </c>
      <c r="G258" s="19"/>
      <c r="I258" s="11"/>
    </row>
    <row r="259" spans="1:9" x14ac:dyDescent="0.2">
      <c r="A259" s="7"/>
      <c r="B259" s="7"/>
      <c r="C259" s="8"/>
      <c r="D259" s="19"/>
      <c r="E259" s="21" t="str">
        <f>IF(F259=0,"*","")</f>
        <v>*</v>
      </c>
      <c r="F259" s="45"/>
      <c r="G259" s="23"/>
      <c r="I259" s="11"/>
    </row>
    <row r="260" spans="1:9" x14ac:dyDescent="0.2">
      <c r="A260" s="7"/>
      <c r="B260" s="7"/>
      <c r="C260" s="8"/>
      <c r="D260" s="19"/>
      <c r="E260" s="30"/>
      <c r="F260" s="33" t="s">
        <v>77</v>
      </c>
      <c r="G260" s="19"/>
      <c r="I260" s="11"/>
    </row>
    <row r="261" spans="1:9" x14ac:dyDescent="0.2">
      <c r="A261" s="7"/>
      <c r="B261" s="7"/>
      <c r="C261" s="8"/>
      <c r="D261" s="19"/>
      <c r="E261" s="30"/>
      <c r="F261" s="31"/>
      <c r="G261" s="19"/>
      <c r="I261" s="11"/>
    </row>
    <row r="262" spans="1:9" x14ac:dyDescent="0.2">
      <c r="A262" s="7"/>
      <c r="B262" s="7"/>
      <c r="C262" s="8"/>
      <c r="D262" s="19"/>
      <c r="E262" s="30"/>
      <c r="F262" s="18" t="s">
        <v>78</v>
      </c>
      <c r="G262" s="19"/>
      <c r="I262" s="11"/>
    </row>
    <row r="263" spans="1:9" x14ac:dyDescent="0.2">
      <c r="A263" s="7"/>
      <c r="B263" s="7"/>
      <c r="C263" s="8"/>
      <c r="D263" s="19"/>
      <c r="E263" s="21" t="str">
        <f>IF(F263=0,"*","")</f>
        <v>*</v>
      </c>
      <c r="F263" s="45"/>
      <c r="G263" s="23"/>
      <c r="I263" s="11"/>
    </row>
    <row r="264" spans="1:9" x14ac:dyDescent="0.2">
      <c r="A264" s="7"/>
      <c r="B264" s="7"/>
      <c r="C264" s="8"/>
      <c r="D264" s="19"/>
      <c r="E264" s="30"/>
      <c r="F264" s="33" t="s">
        <v>79</v>
      </c>
      <c r="G264" s="19"/>
      <c r="I264" s="11"/>
    </row>
    <row r="265" spans="1:9" x14ac:dyDescent="0.2">
      <c r="A265" s="7"/>
      <c r="B265" s="7"/>
      <c r="C265" s="8"/>
      <c r="D265" s="19"/>
      <c r="E265" s="30"/>
      <c r="F265" s="31"/>
      <c r="G265" s="19"/>
      <c r="I265" s="11"/>
    </row>
    <row r="266" spans="1:9" x14ac:dyDescent="0.2">
      <c r="A266" s="7"/>
      <c r="B266" s="7"/>
      <c r="C266" s="8"/>
      <c r="D266" s="19"/>
      <c r="E266" s="30"/>
      <c r="F266" s="46" t="s">
        <v>80</v>
      </c>
      <c r="G266" s="19"/>
      <c r="I266" s="11"/>
    </row>
    <row r="267" spans="1:9" x14ac:dyDescent="0.2">
      <c r="A267" s="7"/>
      <c r="B267" s="7"/>
      <c r="C267" s="8"/>
      <c r="D267" s="19"/>
      <c r="E267" s="21" t="str">
        <f>IF(F267=0,"*","")</f>
        <v>*</v>
      </c>
      <c r="F267" s="47"/>
      <c r="G267" s="23"/>
      <c r="I267" s="11"/>
    </row>
    <row r="268" spans="1:9" x14ac:dyDescent="0.2">
      <c r="A268" s="7"/>
      <c r="B268" s="7"/>
      <c r="C268" s="8"/>
      <c r="D268" s="19"/>
      <c r="E268" s="30"/>
      <c r="F268" s="33" t="s">
        <v>81</v>
      </c>
      <c r="G268" s="19"/>
      <c r="I268" s="11"/>
    </row>
    <row r="269" spans="1:9" x14ac:dyDescent="0.2">
      <c r="A269" s="7"/>
      <c r="B269" s="7"/>
      <c r="C269" s="8"/>
      <c r="D269" s="19"/>
      <c r="E269" s="30"/>
      <c r="F269" s="31"/>
      <c r="G269" s="19"/>
      <c r="H269" s="30"/>
      <c r="I269" s="11"/>
    </row>
    <row r="270" spans="1:9" x14ac:dyDescent="0.2">
      <c r="A270" s="7"/>
      <c r="B270" s="7"/>
      <c r="C270" s="8"/>
      <c r="D270" s="19"/>
      <c r="E270" s="30"/>
      <c r="F270" s="18" t="s">
        <v>82</v>
      </c>
      <c r="G270" s="19"/>
      <c r="I270" s="11"/>
    </row>
    <row r="271" spans="1:9" x14ac:dyDescent="0.2">
      <c r="A271" s="7"/>
      <c r="B271" s="7"/>
      <c r="C271" s="8"/>
      <c r="D271" s="19"/>
      <c r="E271" s="21" t="str">
        <f>IF(F271=0,"*","")</f>
        <v>*</v>
      </c>
      <c r="F271" s="47"/>
      <c r="G271" s="23"/>
      <c r="I271" s="11"/>
    </row>
    <row r="272" spans="1:9" x14ac:dyDescent="0.2">
      <c r="A272" s="7"/>
      <c r="B272" s="7"/>
      <c r="C272" s="8"/>
      <c r="D272" s="19"/>
      <c r="E272" s="30"/>
      <c r="F272" s="33" t="s">
        <v>81</v>
      </c>
      <c r="G272" s="19"/>
      <c r="I272" s="11"/>
    </row>
    <row r="273" spans="1:9" ht="15.75" thickBot="1" x14ac:dyDescent="0.25">
      <c r="A273" s="7"/>
      <c r="B273" s="7"/>
      <c r="C273" s="8"/>
      <c r="E273" s="34"/>
      <c r="F273" s="35"/>
      <c r="G273" s="36"/>
      <c r="I273" s="11"/>
    </row>
    <row r="274" spans="1:9" x14ac:dyDescent="0.2">
      <c r="A274" s="7"/>
      <c r="B274" s="7"/>
      <c r="C274" s="8"/>
      <c r="F274" s="13"/>
      <c r="I274" s="11"/>
    </row>
    <row r="275" spans="1:9" ht="15.75" thickBot="1" x14ac:dyDescent="0.25">
      <c r="A275" s="7"/>
      <c r="B275" s="7"/>
      <c r="C275" s="8"/>
      <c r="E275" s="12" t="s">
        <v>83</v>
      </c>
      <c r="F275" s="13"/>
      <c r="I275" s="11"/>
    </row>
    <row r="276" spans="1:9" x14ac:dyDescent="0.2">
      <c r="A276" s="7"/>
      <c r="B276" s="7"/>
      <c r="C276" s="8"/>
      <c r="E276" s="14"/>
      <c r="F276" s="15"/>
      <c r="G276" s="16"/>
      <c r="I276" s="11"/>
    </row>
    <row r="277" spans="1:9" x14ac:dyDescent="0.2">
      <c r="A277" s="7"/>
      <c r="B277" s="7"/>
      <c r="C277" s="8"/>
      <c r="D277" s="19"/>
      <c r="E277" s="30"/>
      <c r="F277" s="18" t="s">
        <v>84</v>
      </c>
      <c r="G277" s="19"/>
      <c r="I277" s="11"/>
    </row>
    <row r="278" spans="1:9" x14ac:dyDescent="0.2">
      <c r="A278" s="7"/>
      <c r="B278" s="7"/>
      <c r="C278" s="8"/>
      <c r="D278" s="19"/>
      <c r="E278" s="21" t="str">
        <f>IF(F278=0,"*","")</f>
        <v>*</v>
      </c>
      <c r="F278" s="37"/>
      <c r="G278" s="23"/>
      <c r="I278" s="11"/>
    </row>
    <row r="279" spans="1:9" x14ac:dyDescent="0.2">
      <c r="A279" s="7"/>
      <c r="B279" s="7"/>
      <c r="C279" s="8"/>
      <c r="D279" s="19"/>
      <c r="E279" s="30"/>
      <c r="F279" s="33" t="s">
        <v>85</v>
      </c>
      <c r="G279" s="19"/>
      <c r="I279" s="11"/>
    </row>
    <row r="280" spans="1:9" x14ac:dyDescent="0.2">
      <c r="A280" s="7"/>
      <c r="B280" s="7"/>
      <c r="C280" s="8"/>
      <c r="D280" s="19"/>
      <c r="E280" s="30"/>
      <c r="F280" s="31"/>
      <c r="G280" s="19"/>
      <c r="I280" s="11"/>
    </row>
    <row r="281" spans="1:9" x14ac:dyDescent="0.2">
      <c r="A281" s="7"/>
      <c r="B281" s="7"/>
      <c r="C281" s="8"/>
      <c r="D281" s="19"/>
      <c r="E281" s="30"/>
      <c r="F281" s="18" t="s">
        <v>86</v>
      </c>
      <c r="G281" s="19"/>
      <c r="I281" s="11"/>
    </row>
    <row r="282" spans="1:9" x14ac:dyDescent="0.2">
      <c r="A282" s="7"/>
      <c r="B282" s="7"/>
      <c r="C282" s="8"/>
      <c r="D282" s="19"/>
      <c r="E282" s="21" t="str">
        <f>IF(F282=0,"*","")</f>
        <v>*</v>
      </c>
      <c r="F282" s="37"/>
      <c r="G282" s="23"/>
      <c r="I282" s="11"/>
    </row>
    <row r="283" spans="1:9" x14ac:dyDescent="0.2">
      <c r="A283" s="7"/>
      <c r="B283" s="7"/>
      <c r="C283" s="8"/>
      <c r="D283" s="19"/>
      <c r="E283" s="30"/>
      <c r="F283" s="33" t="s">
        <v>87</v>
      </c>
      <c r="G283" s="19"/>
      <c r="I283" s="11"/>
    </row>
    <row r="284" spans="1:9" x14ac:dyDescent="0.2">
      <c r="A284" s="7"/>
      <c r="B284" s="7"/>
      <c r="C284" s="8"/>
      <c r="D284" s="19"/>
      <c r="E284" s="30"/>
      <c r="F284" s="31"/>
      <c r="G284" s="19"/>
      <c r="I284" s="11"/>
    </row>
    <row r="285" spans="1:9" x14ac:dyDescent="0.2">
      <c r="A285" s="7"/>
      <c r="B285" s="7"/>
      <c r="C285" s="8"/>
      <c r="D285" s="19"/>
      <c r="E285" s="30"/>
      <c r="F285" s="18" t="s">
        <v>88</v>
      </c>
      <c r="G285" s="19"/>
      <c r="I285" s="11"/>
    </row>
    <row r="286" spans="1:9" x14ac:dyDescent="0.2">
      <c r="A286" s="7"/>
      <c r="B286" s="7"/>
      <c r="C286" s="8"/>
      <c r="D286" s="19"/>
      <c r="E286" s="21" t="str">
        <f>IF(F286=0,"*","")</f>
        <v>*</v>
      </c>
      <c r="F286" s="45"/>
      <c r="G286" s="23"/>
      <c r="I286" s="11"/>
    </row>
    <row r="287" spans="1:9" x14ac:dyDescent="0.2">
      <c r="A287" s="7"/>
      <c r="B287" s="7"/>
      <c r="C287" s="8"/>
      <c r="D287" s="19"/>
      <c r="E287" s="30"/>
      <c r="F287" s="33" t="s">
        <v>89</v>
      </c>
      <c r="G287" s="19"/>
      <c r="I287" s="11"/>
    </row>
    <row r="288" spans="1:9" x14ac:dyDescent="0.2">
      <c r="A288" s="7"/>
      <c r="B288" s="7"/>
      <c r="C288" s="8"/>
      <c r="D288" s="19"/>
      <c r="E288" s="30"/>
      <c r="F288" s="31"/>
      <c r="G288" s="19"/>
      <c r="I288" s="11"/>
    </row>
    <row r="289" spans="1:9" x14ac:dyDescent="0.2">
      <c r="A289" s="7"/>
      <c r="B289" s="7"/>
      <c r="C289" s="8"/>
      <c r="D289" s="19"/>
      <c r="E289" s="30"/>
      <c r="F289" s="18" t="s">
        <v>90</v>
      </c>
      <c r="G289" s="19"/>
      <c r="I289" s="11"/>
    </row>
    <row r="290" spans="1:9" x14ac:dyDescent="0.2">
      <c r="A290" s="7"/>
      <c r="B290" s="7"/>
      <c r="C290" s="8"/>
      <c r="D290" s="19"/>
      <c r="E290" s="21" t="str">
        <f>IF(F290=0,"*","")</f>
        <v>*</v>
      </c>
      <c r="F290" s="37"/>
      <c r="G290" s="23"/>
      <c r="I290" s="11"/>
    </row>
    <row r="291" spans="1:9" x14ac:dyDescent="0.2">
      <c r="A291" s="7"/>
      <c r="B291" s="7"/>
      <c r="C291" s="8"/>
      <c r="E291" s="17"/>
      <c r="F291" s="33" t="s">
        <v>91</v>
      </c>
      <c r="G291" s="19"/>
      <c r="I291" s="11"/>
    </row>
    <row r="292" spans="1:9" ht="15.75" thickBot="1" x14ac:dyDescent="0.25">
      <c r="A292" s="7"/>
      <c r="B292" s="7"/>
      <c r="C292" s="8"/>
      <c r="E292" s="34"/>
      <c r="F292" s="35"/>
      <c r="G292" s="36"/>
      <c r="I292" s="11"/>
    </row>
    <row r="293" spans="1:9" x14ac:dyDescent="0.2">
      <c r="A293" s="7"/>
      <c r="B293" s="7"/>
      <c r="C293" s="8"/>
      <c r="F293" s="13"/>
      <c r="I293" s="11"/>
    </row>
    <row r="294" spans="1:9" ht="15.75" thickBot="1" x14ac:dyDescent="0.25">
      <c r="A294" s="7"/>
      <c r="B294" s="7"/>
      <c r="C294" s="8"/>
      <c r="E294" s="12" t="s">
        <v>92</v>
      </c>
      <c r="F294" s="12"/>
      <c r="I294" s="11"/>
    </row>
    <row r="295" spans="1:9" x14ac:dyDescent="0.2">
      <c r="A295" s="7"/>
      <c r="B295" s="7"/>
      <c r="C295" s="8"/>
      <c r="E295" s="14"/>
      <c r="F295" s="15"/>
      <c r="G295" s="16"/>
      <c r="I295" s="11"/>
    </row>
    <row r="296" spans="1:9" x14ac:dyDescent="0.2">
      <c r="A296" s="7"/>
      <c r="B296" s="7"/>
      <c r="C296" s="8"/>
      <c r="D296" s="19"/>
      <c r="E296" s="30"/>
      <c r="F296" s="18" t="s">
        <v>93</v>
      </c>
      <c r="G296" s="19"/>
      <c r="I296" s="11"/>
    </row>
    <row r="297" spans="1:9" x14ac:dyDescent="0.2">
      <c r="A297" s="7"/>
      <c r="B297" s="7"/>
      <c r="C297" s="8"/>
      <c r="D297" s="19"/>
      <c r="E297" s="21" t="str">
        <f>IF(F297=0,"*","")</f>
        <v>*</v>
      </c>
      <c r="F297" s="48">
        <f>IF(OR(PovrsinaParcele=0,Zauzetost=0),0,Zauzetost/(PovrsinaParcele/100))</f>
        <v>0</v>
      </c>
      <c r="G297" s="23"/>
      <c r="I297" s="11"/>
    </row>
    <row r="298" spans="1:9" x14ac:dyDescent="0.2">
      <c r="A298" s="7"/>
      <c r="B298" s="7"/>
      <c r="C298" s="8"/>
      <c r="D298" s="19"/>
      <c r="E298" s="30"/>
      <c r="F298" s="33" t="s">
        <v>94</v>
      </c>
      <c r="G298" s="19"/>
      <c r="I298" s="11"/>
    </row>
    <row r="299" spans="1:9" x14ac:dyDescent="0.2">
      <c r="A299" s="7"/>
      <c r="B299" s="7"/>
      <c r="C299" s="8"/>
      <c r="D299" s="19"/>
      <c r="E299" s="30"/>
      <c r="F299" s="31"/>
      <c r="G299" s="19"/>
      <c r="I299" s="11"/>
    </row>
    <row r="300" spans="1:9" x14ac:dyDescent="0.2">
      <c r="A300" s="7"/>
      <c r="B300" s="7"/>
      <c r="C300" s="8"/>
      <c r="D300" s="19"/>
      <c r="E300" s="30"/>
      <c r="F300" s="18" t="s">
        <v>95</v>
      </c>
      <c r="G300" s="19"/>
      <c r="I300" s="11"/>
    </row>
    <row r="301" spans="1:9" x14ac:dyDescent="0.2">
      <c r="A301" s="7"/>
      <c r="B301" s="7"/>
      <c r="C301" s="8"/>
      <c r="D301" s="19"/>
      <c r="E301" s="21" t="str">
        <f>IF(F301=0,"*","")</f>
        <v>*</v>
      </c>
      <c r="F301" s="48">
        <f>IF(ProcenatZelenihPovrsina=0,0,ProcenatZelenihPovrsina/100)</f>
        <v>0</v>
      </c>
      <c r="G301" s="23"/>
      <c r="I301" s="11"/>
    </row>
    <row r="302" spans="1:9" x14ac:dyDescent="0.2">
      <c r="A302" s="7"/>
      <c r="B302" s="7"/>
      <c r="C302" s="8"/>
      <c r="D302" s="19"/>
      <c r="E302" s="30"/>
      <c r="F302" s="33" t="s">
        <v>94</v>
      </c>
      <c r="G302" s="19"/>
      <c r="I302" s="11"/>
    </row>
    <row r="303" spans="1:9" x14ac:dyDescent="0.2">
      <c r="A303" s="7"/>
      <c r="B303" s="7"/>
      <c r="C303" s="8"/>
      <c r="D303" s="19"/>
      <c r="E303" s="30"/>
      <c r="F303" s="31"/>
      <c r="G303" s="19"/>
      <c r="I303" s="11"/>
    </row>
    <row r="304" spans="1:9" x14ac:dyDescent="0.2">
      <c r="A304" s="7"/>
      <c r="B304" s="7"/>
      <c r="C304" s="8"/>
      <c r="D304" s="19"/>
      <c r="E304" s="30"/>
      <c r="F304" s="18" t="s">
        <v>96</v>
      </c>
      <c r="G304" s="19"/>
      <c r="I304" s="11"/>
    </row>
    <row r="305" spans="1:9" x14ac:dyDescent="0.2">
      <c r="A305" s="7"/>
      <c r="B305" s="7"/>
      <c r="C305" s="8"/>
      <c r="D305" s="19"/>
      <c r="E305" s="21" t="str">
        <f>IF(F305=0,"*","")</f>
        <v>*</v>
      </c>
      <c r="F305" s="48">
        <f>IF(OR(PovrsinaParcele=0,UkupnaBrutoPovrsinaNadzemno=0),0,(UkupnaBrutoPovrsinaNadzemno/(PovrsinaParcele/100))/100)</f>
        <v>0</v>
      </c>
      <c r="G305" s="23"/>
      <c r="I305" s="11"/>
    </row>
    <row r="306" spans="1:9" x14ac:dyDescent="0.2">
      <c r="A306" s="7"/>
      <c r="B306" s="7"/>
      <c r="C306" s="8"/>
      <c r="D306" s="19"/>
      <c r="E306" s="30"/>
      <c r="F306" s="33" t="s">
        <v>94</v>
      </c>
      <c r="G306" s="19"/>
      <c r="I306" s="11"/>
    </row>
    <row r="307" spans="1:9" x14ac:dyDescent="0.2">
      <c r="A307" s="7"/>
      <c r="B307" s="7"/>
      <c r="C307" s="8"/>
      <c r="D307" s="19"/>
      <c r="E307" s="30"/>
      <c r="F307" s="31"/>
      <c r="G307" s="19"/>
      <c r="I307" s="11"/>
    </row>
    <row r="308" spans="1:9" x14ac:dyDescent="0.2">
      <c r="A308" s="7"/>
      <c r="B308" s="7"/>
      <c r="C308" s="8"/>
      <c r="D308" s="19"/>
      <c r="E308" s="30"/>
      <c r="F308" s="18" t="s">
        <v>97</v>
      </c>
      <c r="G308" s="19"/>
      <c r="I308" s="11"/>
    </row>
    <row r="309" spans="1:9" x14ac:dyDescent="0.2">
      <c r="A309" s="7"/>
      <c r="B309" s="7"/>
      <c r="C309" s="8"/>
      <c r="D309" s="19"/>
      <c r="E309" s="21" t="str">
        <f>IF(F309=0,"*","")</f>
        <v/>
      </c>
      <c r="F309" s="49">
        <v>20000</v>
      </c>
      <c r="G309" s="23"/>
      <c r="I309" s="11"/>
    </row>
    <row r="310" spans="1:9" x14ac:dyDescent="0.2">
      <c r="A310" s="7"/>
      <c r="B310" s="7"/>
      <c r="C310" s="8"/>
      <c r="E310" s="17"/>
      <c r="F310" s="33" t="s">
        <v>98</v>
      </c>
      <c r="G310" s="19"/>
      <c r="I310" s="11"/>
    </row>
    <row r="311" spans="1:9" ht="15.75" thickBot="1" x14ac:dyDescent="0.25">
      <c r="A311" s="7"/>
      <c r="B311" s="7"/>
      <c r="C311" s="8"/>
      <c r="E311" s="34"/>
      <c r="F311" s="35"/>
      <c r="G311" s="36"/>
      <c r="I311" s="11"/>
    </row>
    <row r="312" spans="1:9" ht="15" customHeight="1" x14ac:dyDescent="0.2">
      <c r="A312" s="7"/>
      <c r="B312" s="7"/>
      <c r="C312" s="8"/>
      <c r="F312" s="13"/>
      <c r="I312" s="11"/>
    </row>
    <row r="313" spans="1:9" x14ac:dyDescent="0.2">
      <c r="A313" s="7"/>
      <c r="B313" s="7"/>
      <c r="C313" s="8"/>
      <c r="F313" s="10" t="s">
        <v>99</v>
      </c>
      <c r="I313" s="11"/>
    </row>
    <row r="314" spans="1:9" x14ac:dyDescent="0.2">
      <c r="A314" s="7"/>
      <c r="B314" s="7"/>
      <c r="C314" s="8"/>
      <c r="F314" s="13"/>
      <c r="I314" s="11"/>
    </row>
    <row r="315" spans="1:9" ht="15.75" thickBot="1" x14ac:dyDescent="0.25">
      <c r="A315" s="7"/>
      <c r="B315" s="7"/>
      <c r="C315" s="8"/>
      <c r="E315" s="12" t="s">
        <v>14</v>
      </c>
      <c r="F315" s="13"/>
      <c r="I315" s="11"/>
    </row>
    <row r="316" spans="1:9" x14ac:dyDescent="0.2">
      <c r="A316" s="8"/>
      <c r="B316" s="8"/>
      <c r="C316" s="8"/>
      <c r="E316" s="50"/>
      <c r="F316" s="51"/>
      <c r="G316" s="52"/>
      <c r="I316" s="11"/>
    </row>
    <row r="317" spans="1:9" ht="120" customHeight="1" x14ac:dyDescent="0.2">
      <c r="A317" s="8"/>
      <c r="B317" s="8"/>
      <c r="C317" s="8"/>
      <c r="D317" s="20"/>
      <c r="E317" s="53"/>
      <c r="F317" s="54"/>
      <c r="G317" s="55"/>
      <c r="I317" s="11"/>
    </row>
    <row r="318" spans="1:9" s="61" customFormat="1" ht="15.75" thickBot="1" x14ac:dyDescent="0.25">
      <c r="A318" s="56"/>
      <c r="B318" s="56"/>
      <c r="C318" s="56"/>
      <c r="D318" s="20"/>
      <c r="E318" s="57"/>
      <c r="F318" s="58"/>
      <c r="G318" s="59"/>
      <c r="H318" s="9"/>
      <c r="I318" s="60"/>
    </row>
    <row r="319" spans="1:9" x14ac:dyDescent="0.2">
      <c r="A319" s="7"/>
      <c r="B319" s="7"/>
      <c r="C319" s="8"/>
      <c r="E319" s="53"/>
      <c r="F319" s="53"/>
      <c r="G319" s="62"/>
      <c r="I319" s="11"/>
    </row>
    <row r="320" spans="1:9" ht="15.75" thickBot="1" x14ac:dyDescent="0.25">
      <c r="A320" s="8"/>
      <c r="B320" s="8"/>
      <c r="C320" s="8"/>
      <c r="E320" s="63" t="s">
        <v>100</v>
      </c>
      <c r="F320" s="53"/>
      <c r="G320" s="62"/>
      <c r="I320" s="11"/>
    </row>
    <row r="321" spans="1:9" x14ac:dyDescent="0.2">
      <c r="A321" s="7"/>
      <c r="B321" s="7"/>
      <c r="C321" s="8"/>
      <c r="E321" s="50"/>
      <c r="F321" s="51"/>
      <c r="G321" s="52"/>
      <c r="I321" s="11"/>
    </row>
    <row r="322" spans="1:9" ht="120" customHeight="1" x14ac:dyDescent="0.2">
      <c r="A322" s="7"/>
      <c r="B322" s="28"/>
      <c r="C322" s="8"/>
      <c r="D322" s="20"/>
      <c r="E322" s="53"/>
      <c r="F322" s="64"/>
      <c r="G322" s="55"/>
      <c r="I322" s="11"/>
    </row>
    <row r="323" spans="1:9" ht="15.75" thickBot="1" x14ac:dyDescent="0.25">
      <c r="A323" s="7"/>
      <c r="B323" s="7"/>
      <c r="C323" s="7"/>
      <c r="E323" s="57"/>
      <c r="F323" s="58"/>
      <c r="G323" s="59"/>
      <c r="I323" s="11"/>
    </row>
    <row r="324" spans="1:9" ht="15" customHeight="1" x14ac:dyDescent="0.2">
      <c r="A324" s="7"/>
      <c r="B324" s="7"/>
      <c r="C324" s="7"/>
      <c r="E324" s="53"/>
      <c r="F324" s="53"/>
      <c r="G324" s="53"/>
      <c r="I324" s="11"/>
    </row>
    <row r="325" spans="1:9" ht="15.75" thickBot="1" x14ac:dyDescent="0.25">
      <c r="A325" s="7"/>
      <c r="B325" s="7"/>
      <c r="C325" s="7"/>
      <c r="E325" s="63" t="s">
        <v>32</v>
      </c>
      <c r="F325" s="53"/>
      <c r="G325" s="62"/>
      <c r="I325" s="11"/>
    </row>
    <row r="326" spans="1:9" x14ac:dyDescent="0.2">
      <c r="A326" s="7"/>
      <c r="B326" s="7"/>
      <c r="C326" s="7"/>
      <c r="E326" s="50"/>
      <c r="F326" s="51"/>
      <c r="G326" s="52"/>
      <c r="I326" s="65"/>
    </row>
    <row r="327" spans="1:9" ht="120" customHeight="1" x14ac:dyDescent="0.2">
      <c r="A327" s="7"/>
      <c r="B327" s="7"/>
      <c r="C327" s="7"/>
      <c r="D327" s="20"/>
      <c r="E327" s="53"/>
      <c r="F327" s="64"/>
      <c r="G327" s="55"/>
      <c r="I327" s="65"/>
    </row>
    <row r="328" spans="1:9" ht="15.75" thickBot="1" x14ac:dyDescent="0.25">
      <c r="A328" s="7"/>
      <c r="B328" s="7"/>
      <c r="C328" s="7"/>
      <c r="D328" s="20"/>
      <c r="E328" s="57"/>
      <c r="F328" s="58"/>
      <c r="G328" s="59"/>
      <c r="I328" s="65"/>
    </row>
    <row r="329" spans="1:9" x14ac:dyDescent="0.2">
      <c r="A329" s="7"/>
      <c r="B329" s="7"/>
      <c r="C329" s="7"/>
      <c r="D329" s="61"/>
      <c r="E329" s="66"/>
      <c r="F329" s="66"/>
      <c r="G329" s="66"/>
      <c r="H329" s="61"/>
      <c r="I329" s="65"/>
    </row>
    <row r="330" spans="1:9" ht="15.75" thickBot="1" x14ac:dyDescent="0.25">
      <c r="A330" s="7"/>
      <c r="B330" s="7"/>
      <c r="C330" s="7"/>
      <c r="E330" s="67" t="s">
        <v>34</v>
      </c>
      <c r="F330" s="58"/>
      <c r="G330" s="68"/>
      <c r="I330" s="65"/>
    </row>
    <row r="331" spans="1:9" x14ac:dyDescent="0.2">
      <c r="A331" s="7"/>
      <c r="B331" s="7"/>
      <c r="C331" s="7"/>
      <c r="D331" s="20"/>
      <c r="E331" s="53"/>
      <c r="F331" s="53"/>
      <c r="G331" s="55"/>
      <c r="I331" s="65"/>
    </row>
    <row r="332" spans="1:9" ht="120" customHeight="1" x14ac:dyDescent="0.2">
      <c r="A332" s="7"/>
      <c r="B332" s="7"/>
      <c r="C332" s="7"/>
      <c r="D332" s="20"/>
      <c r="E332" s="53"/>
      <c r="F332" s="64"/>
      <c r="G332" s="55"/>
      <c r="I332" s="65"/>
    </row>
    <row r="333" spans="1:9" ht="15.75" thickBot="1" x14ac:dyDescent="0.25">
      <c r="A333" s="7"/>
      <c r="B333" s="7"/>
      <c r="C333" s="7"/>
      <c r="D333" s="20"/>
      <c r="E333" s="57"/>
      <c r="F333" s="58"/>
      <c r="G333" s="69"/>
      <c r="I333" s="65"/>
    </row>
    <row r="334" spans="1:9" x14ac:dyDescent="0.2">
      <c r="A334" s="7"/>
      <c r="B334" s="7"/>
      <c r="C334" s="7"/>
      <c r="F334" s="13"/>
      <c r="I334" s="65"/>
    </row>
    <row r="335" spans="1:9" ht="15.75" thickBot="1" x14ac:dyDescent="0.25">
      <c r="A335" s="7"/>
      <c r="B335" s="7"/>
      <c r="C335" s="7"/>
      <c r="D335" s="62"/>
      <c r="E335" s="67" t="s">
        <v>35</v>
      </c>
      <c r="F335" s="58"/>
      <c r="G335" s="68"/>
      <c r="H335" s="62"/>
      <c r="I335" s="65"/>
    </row>
    <row r="336" spans="1:9" x14ac:dyDescent="0.2">
      <c r="A336" s="7"/>
      <c r="B336" s="7"/>
      <c r="C336" s="7"/>
      <c r="D336" s="20"/>
      <c r="E336" s="53"/>
      <c r="F336" s="53"/>
      <c r="G336" s="55"/>
      <c r="I336" s="65"/>
    </row>
    <row r="337" spans="1:9" ht="120" customHeight="1" x14ac:dyDescent="0.2">
      <c r="A337" s="7"/>
      <c r="B337" s="7"/>
      <c r="C337" s="7"/>
      <c r="D337" s="20"/>
      <c r="E337" s="53"/>
      <c r="F337" s="64"/>
      <c r="G337" s="55"/>
      <c r="I337" s="65"/>
    </row>
    <row r="338" spans="1:9" ht="15.75" thickBot="1" x14ac:dyDescent="0.25">
      <c r="A338" s="7"/>
      <c r="B338" s="7"/>
      <c r="C338" s="7"/>
      <c r="E338" s="57"/>
      <c r="F338" s="58"/>
      <c r="G338" s="69"/>
      <c r="I338" s="65"/>
    </row>
    <row r="339" spans="1:9" x14ac:dyDescent="0.2">
      <c r="A339" s="7"/>
      <c r="B339" s="7"/>
      <c r="C339" s="7"/>
      <c r="I339" s="65"/>
    </row>
    <row r="340" spans="1:9" ht="15.75" thickBot="1" x14ac:dyDescent="0.25">
      <c r="A340" s="7"/>
      <c r="B340" s="7"/>
      <c r="C340" s="7"/>
      <c r="E340" s="67" t="s">
        <v>36</v>
      </c>
      <c r="F340" s="58"/>
      <c r="G340" s="68"/>
      <c r="I340" s="65"/>
    </row>
    <row r="341" spans="1:9" x14ac:dyDescent="0.2">
      <c r="A341" s="7"/>
      <c r="B341" s="7"/>
      <c r="C341" s="7"/>
      <c r="D341" s="20"/>
      <c r="E341" s="53"/>
      <c r="F341" s="53"/>
      <c r="G341" s="55"/>
      <c r="I341" s="65"/>
    </row>
    <row r="342" spans="1:9" ht="120" customHeight="1" x14ac:dyDescent="0.2">
      <c r="A342" s="7"/>
      <c r="B342" s="7"/>
      <c r="C342" s="7"/>
      <c r="D342" s="20"/>
      <c r="E342" s="53"/>
      <c r="F342" s="64"/>
      <c r="G342" s="55"/>
      <c r="I342" s="65"/>
    </row>
    <row r="343" spans="1:9" ht="15.75" thickBot="1" x14ac:dyDescent="0.25">
      <c r="A343" s="7"/>
      <c r="B343" s="7"/>
      <c r="C343" s="7"/>
      <c r="E343" s="57"/>
      <c r="F343" s="58"/>
      <c r="G343" s="69"/>
      <c r="I343" s="65"/>
    </row>
    <row r="344" spans="1:9" x14ac:dyDescent="0.2">
      <c r="A344" s="7"/>
      <c r="B344" s="7"/>
      <c r="C344" s="7"/>
      <c r="I344" s="65"/>
    </row>
    <row r="345" spans="1:9" ht="15.75" thickBot="1" x14ac:dyDescent="0.25">
      <c r="A345" s="7"/>
      <c r="B345" s="7"/>
      <c r="C345" s="7"/>
      <c r="E345" s="67" t="s">
        <v>37</v>
      </c>
      <c r="F345" s="58"/>
      <c r="G345" s="68"/>
      <c r="I345" s="65"/>
    </row>
    <row r="346" spans="1:9" x14ac:dyDescent="0.2">
      <c r="A346" s="7"/>
      <c r="B346" s="7"/>
      <c r="C346" s="7"/>
      <c r="D346" s="20"/>
      <c r="E346" s="53"/>
      <c r="F346" s="53"/>
      <c r="G346" s="55"/>
      <c r="I346" s="65"/>
    </row>
    <row r="347" spans="1:9" ht="120" customHeight="1" x14ac:dyDescent="0.2">
      <c r="A347" s="7"/>
      <c r="B347" s="7"/>
      <c r="C347" s="7"/>
      <c r="D347" s="20"/>
      <c r="E347" s="53"/>
      <c r="F347" s="64"/>
      <c r="G347" s="55"/>
      <c r="I347" s="65"/>
    </row>
    <row r="348" spans="1:9" ht="15.75" thickBot="1" x14ac:dyDescent="0.25">
      <c r="A348" s="7"/>
      <c r="B348" s="7"/>
      <c r="C348" s="7"/>
      <c r="E348" s="57"/>
      <c r="F348" s="58"/>
      <c r="G348" s="69"/>
      <c r="I348" s="65"/>
    </row>
    <row r="349" spans="1:9" x14ac:dyDescent="0.2">
      <c r="A349" s="7"/>
      <c r="B349" s="7"/>
      <c r="C349" s="7"/>
      <c r="I349" s="65"/>
    </row>
    <row r="350" spans="1:9" ht="15.75" thickBot="1" x14ac:dyDescent="0.25">
      <c r="A350" s="7"/>
      <c r="B350" s="7"/>
      <c r="C350" s="7"/>
      <c r="E350" s="67" t="s">
        <v>38</v>
      </c>
      <c r="F350" s="58"/>
      <c r="G350" s="68"/>
      <c r="I350" s="65"/>
    </row>
    <row r="351" spans="1:9" x14ac:dyDescent="0.2">
      <c r="A351" s="7"/>
      <c r="B351" s="7"/>
      <c r="C351" s="7"/>
      <c r="D351" s="20"/>
      <c r="E351" s="53"/>
      <c r="F351" s="53"/>
      <c r="G351" s="55"/>
      <c r="I351" s="65"/>
    </row>
    <row r="352" spans="1:9" ht="120" customHeight="1" x14ac:dyDescent="0.2">
      <c r="A352" s="7"/>
      <c r="B352" s="7"/>
      <c r="C352" s="7"/>
      <c r="D352" s="20"/>
      <c r="E352" s="53"/>
      <c r="F352" s="64"/>
      <c r="G352" s="55"/>
      <c r="I352" s="65"/>
    </row>
    <row r="353" spans="1:9" ht="15.75" thickBot="1" x14ac:dyDescent="0.25">
      <c r="A353" s="7"/>
      <c r="B353" s="7"/>
      <c r="C353" s="7"/>
      <c r="E353" s="57"/>
      <c r="F353" s="58"/>
      <c r="G353" s="69"/>
      <c r="I353" s="65"/>
    </row>
    <row r="354" spans="1:9" x14ac:dyDescent="0.2">
      <c r="A354" s="7"/>
      <c r="B354" s="7"/>
      <c r="C354" s="7"/>
      <c r="I354" s="65"/>
    </row>
    <row r="355" spans="1:9" ht="15.75" thickBot="1" x14ac:dyDescent="0.25">
      <c r="A355" s="7"/>
      <c r="B355" s="7"/>
      <c r="C355" s="7"/>
      <c r="E355" s="67" t="s">
        <v>39</v>
      </c>
      <c r="F355" s="58"/>
      <c r="G355" s="68"/>
      <c r="I355" s="65"/>
    </row>
    <row r="356" spans="1:9" x14ac:dyDescent="0.2">
      <c r="A356" s="7"/>
      <c r="B356" s="7"/>
      <c r="C356" s="7"/>
      <c r="D356" s="20"/>
      <c r="E356" s="53"/>
      <c r="F356" s="53"/>
      <c r="G356" s="55"/>
      <c r="I356" s="65"/>
    </row>
    <row r="357" spans="1:9" ht="120" customHeight="1" x14ac:dyDescent="0.2">
      <c r="A357" s="7"/>
      <c r="B357" s="7"/>
      <c r="C357" s="7"/>
      <c r="D357" s="20"/>
      <c r="E357" s="53"/>
      <c r="F357" s="64"/>
      <c r="G357" s="55"/>
      <c r="I357" s="65"/>
    </row>
    <row r="358" spans="1:9" ht="15.75" thickBot="1" x14ac:dyDescent="0.25">
      <c r="A358" s="7"/>
      <c r="B358" s="7"/>
      <c r="C358" s="7"/>
      <c r="E358" s="57"/>
      <c r="F358" s="58"/>
      <c r="G358" s="69"/>
      <c r="I358" s="65"/>
    </row>
    <row r="359" spans="1:9" x14ac:dyDescent="0.2">
      <c r="A359" s="7"/>
      <c r="B359" s="7"/>
      <c r="C359" s="7"/>
      <c r="I359" s="65"/>
    </row>
    <row r="360" spans="1:9" ht="15.75" thickBot="1" x14ac:dyDescent="0.25">
      <c r="A360" s="7"/>
      <c r="B360" s="7"/>
      <c r="C360" s="7"/>
      <c r="E360" s="67" t="s">
        <v>40</v>
      </c>
      <c r="F360" s="58"/>
      <c r="G360" s="68"/>
      <c r="I360" s="65"/>
    </row>
    <row r="361" spans="1:9" x14ac:dyDescent="0.2">
      <c r="A361" s="7"/>
      <c r="B361" s="7"/>
      <c r="C361" s="7"/>
      <c r="D361" s="20"/>
      <c r="E361" s="53"/>
      <c r="F361" s="53"/>
      <c r="G361" s="55"/>
      <c r="I361" s="65"/>
    </row>
    <row r="362" spans="1:9" ht="120" customHeight="1" x14ac:dyDescent="0.2">
      <c r="A362" s="7"/>
      <c r="B362" s="7"/>
      <c r="C362" s="7"/>
      <c r="D362" s="20"/>
      <c r="E362" s="53"/>
      <c r="F362" s="64"/>
      <c r="G362" s="55"/>
      <c r="I362" s="65"/>
    </row>
    <row r="363" spans="1:9" ht="15.75" thickBot="1" x14ac:dyDescent="0.25">
      <c r="A363" s="7"/>
      <c r="B363" s="7"/>
      <c r="C363" s="7"/>
      <c r="E363" s="57"/>
      <c r="F363" s="58"/>
      <c r="G363" s="69"/>
      <c r="I363" s="65"/>
    </row>
    <row r="364" spans="1:9" x14ac:dyDescent="0.2">
      <c r="A364" s="7"/>
      <c r="B364" s="7"/>
      <c r="C364" s="7"/>
      <c r="I364" s="65"/>
    </row>
    <row r="365" spans="1:9" ht="15.75" thickBot="1" x14ac:dyDescent="0.25">
      <c r="A365" s="7"/>
      <c r="B365" s="7"/>
      <c r="C365" s="7"/>
      <c r="E365" s="67" t="s">
        <v>101</v>
      </c>
      <c r="F365" s="58"/>
      <c r="G365" s="68"/>
      <c r="I365" s="65"/>
    </row>
    <row r="366" spans="1:9" x14ac:dyDescent="0.2">
      <c r="A366" s="7"/>
      <c r="B366" s="7"/>
      <c r="C366" s="7"/>
      <c r="D366" s="20"/>
      <c r="E366" s="53"/>
      <c r="F366" s="53"/>
      <c r="G366" s="55"/>
      <c r="I366" s="65"/>
    </row>
    <row r="367" spans="1:9" ht="120" customHeight="1" x14ac:dyDescent="0.2">
      <c r="A367" s="7"/>
      <c r="B367" s="7"/>
      <c r="C367" s="7"/>
      <c r="D367" s="20"/>
      <c r="E367" s="53"/>
      <c r="F367" s="64"/>
      <c r="G367" s="55"/>
      <c r="I367" s="65"/>
    </row>
    <row r="368" spans="1:9" ht="15.75" thickBot="1" x14ac:dyDescent="0.25">
      <c r="A368" s="7"/>
      <c r="B368" s="7"/>
      <c r="C368" s="7"/>
      <c r="E368" s="57"/>
      <c r="F368" s="58"/>
      <c r="G368" s="69"/>
      <c r="I368" s="65"/>
    </row>
    <row r="369" spans="1:9" x14ac:dyDescent="0.2">
      <c r="A369" s="7"/>
      <c r="B369" s="7"/>
      <c r="C369" s="7"/>
      <c r="I369" s="65"/>
    </row>
    <row r="370" spans="1:9" x14ac:dyDescent="0.2">
      <c r="A370" s="70"/>
      <c r="B370" s="70"/>
      <c r="C370" s="70"/>
      <c r="D370" s="70"/>
      <c r="E370" s="70"/>
      <c r="F370" s="70"/>
      <c r="G370" s="70"/>
      <c r="H370" s="70"/>
      <c r="I370" s="70"/>
    </row>
    <row r="372" spans="1:9" ht="15" customHeight="1" x14ac:dyDescent="0.2"/>
    <row r="454" ht="15.75" customHeight="1" x14ac:dyDescent="0.2"/>
    <row r="475" ht="15" customHeight="1" x14ac:dyDescent="0.2"/>
  </sheetData>
  <sheetProtection selectLockedCells="1"/>
  <dataValidations disablePrompts="1" count="15">
    <dataValidation type="whole" allowBlank="1" showInputMessage="1" showErrorMessage="1" errorTitle="Projektna organizacija GS" error="Vrednost mora biti brojčana, prirodan broj i čiji je opseg od 0 do 1." sqref="G86">
      <formula1>0</formula1>
      <formula2>1</formula2>
    </dataValidation>
    <dataValidation type="decimal" allowBlank="1" showInputMessage="1" showErrorMessage="1" errorTitle="Cena po jedinici mere" error="Vrednost mora biti brojčana, broj sa decimalnim zarezom i čiji je opseg od 1 do 999999999." sqref="F309">
      <formula1>1</formula1>
      <formula2>999999999</formula2>
    </dataValidation>
    <dataValidation type="decimal" allowBlank="1" showInputMessage="1" showErrorMessage="1" errorTitle="Nagib krova" error="Vrednost mora biti brojčana, broj sa decimalnim zarezom i čiji je opseg od 1 do 99." sqref="F286">
      <formula1>1</formula1>
      <formula2>99</formula2>
    </dataValidation>
    <dataValidation type="whole" allowBlank="1" showInputMessage="1" showErrorMessage="1" errorTitle="Broj parking mesta" error="Vrednost mora biti brojčana, prirodan broj i čiji je opseg od 1 do 999999." sqref="F271">
      <formula1>1</formula1>
      <formula2>999999</formula2>
    </dataValidation>
    <dataValidation type="whole" allowBlank="1" showInputMessage="1" showErrorMessage="1" errorTitle="Broj funkcionalnih jedinica" error="Vrednost mora biti brojčana, prirodan broj i čiji je opseg od 1 do 999999." sqref="F267">
      <formula1>1</formula1>
      <formula2>999999</formula2>
    </dataValidation>
    <dataValidation type="decimal" allowBlank="1" showInputMessage="1" showErrorMessage="1" errorTitle="Spratna visina" error="Vrednost mora biti brojčana, broj sa decimalnim zarezom i čiji je opseg od 1 do 999999." sqref="F263">
      <formula1>1</formula1>
      <formula2>999999</formula2>
    </dataValidation>
    <dataValidation type="decimal" allowBlank="1" showInputMessage="1" showErrorMessage="1" errorTitle="Visina slemena" error="Vrednost mora biti brojčana, broj sa decimalnim zarezom i čiji je opseg od 1 do 999999." sqref="F259">
      <formula1>1</formula1>
      <formula2>999999</formula2>
    </dataValidation>
    <dataValidation type="decimal" allowBlank="1" showInputMessage="1" showErrorMessage="1" errorTitle="Visina venca" error="Vrednost mora biti brojčana, broj sa decimalnim zarezom i čiji je opseg od 1 do 999999." sqref="F255">
      <formula1>1</formula1>
      <formula2>999999</formula2>
    </dataValidation>
    <dataValidation type="decimal" allowBlank="1" showInputMessage="1" showErrorMessage="1" errorTitle="Površina zemljišta pod objektom" error="Vrednost mora biti brojčana, broj sa decimalnim zarezom i čiji je opseg od 1 do 999999." sqref="F247">
      <formula1>1</formula1>
      <formula2>999999</formula2>
    </dataValidation>
    <dataValidation type="decimal" allowBlank="1" showInputMessage="1" showErrorMessage="1" errorTitle="Bruto površina prizemlja" error="Vrednost mora biti brojčana, broj sa decimalnim zarezom i čiji je opseg od 1 do 999999." sqref="F243">
      <formula1>1</formula1>
      <formula2>999999</formula2>
    </dataValidation>
    <dataValidation type="decimal" allowBlank="1" showInputMessage="1" showErrorMessage="1" errorTitle="Ukupna NETO korisna površina" error="Vrednost mora biti brojčana, broj sa decimalnim zarezom i čiji je opseg od 1 do 999999." sqref="F239">
      <formula1>1</formula1>
      <formula2>999999</formula2>
    </dataValidation>
    <dataValidation type="decimal" allowBlank="1" showInputMessage="1" showErrorMessage="1" errorTitle="Ukupna BRUTO izgrađena površina" error="Vrednost mora biti brojčana, broj sa decimalnim zarezom i čiji je opseg od 1 do 999999." sqref="F235">
      <formula1>1</formula1>
      <formula2>999999</formula2>
    </dataValidation>
    <dataValidation type="decimal" allowBlank="1" showInputMessage="1" showErrorMessage="1" errorTitle="Ukupna površina parcele" error="Vrednost mora biti brojčana, broj sa decimalnim zarezom i čiji je opseg od 1 do 999999." sqref="F227">
      <formula1>1</formula1>
      <formula2>999999</formula2>
    </dataValidation>
    <dataValidation type="decimal" allowBlank="1" showInputMessage="1" showErrorMessage="1" errorTitle="Ukupna BRGP nadzemno" error="Vrednost mora biti brojčana, broj sa decimalnim zarezom i čiji je opseg od 1 do 999999." sqref="F231">
      <formula1>1</formula1>
      <formula2>999999</formula2>
    </dataValidation>
    <dataValidation type="date" allowBlank="1" showInputMessage="1" showErrorMessage="1" errorTitle="Datum" error="Datum je neispravno upisan (primer: 23.11.2017)." sqref="F24">
      <formula1>40544</formula1>
      <formula2>2958465</formula2>
    </dataValidation>
  </dataValidations>
  <pageMargins left="0.39370078740157483" right="0.39370078740157483" top="2.3622047244094491" bottom="1.1811023622047245" header="0" footer="0"/>
  <pageSetup paperSize="151" orientation="portrait" r:id="rId1"/>
  <headerFooter scaleWithDoc="0">
    <oddHeader>&amp;C&amp;G</oddHeader>
    <oddFooter>&amp;C&amp;G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E199"/>
  <sheetViews>
    <sheetView showGridLines="0" showRowColHeaders="0" zoomScaleNormal="100" workbookViewId="0">
      <pane ySplit="1" topLeftCell="A2" activePane="bottomLeft" state="frozen"/>
      <selection activeCell="F24" sqref="F24"/>
      <selection pane="bottomLeft" activeCell="R12" sqref="R12"/>
    </sheetView>
  </sheetViews>
  <sheetFormatPr defaultRowHeight="15" x14ac:dyDescent="0.2"/>
  <cols>
    <col min="1" max="3" width="2.21875" style="74" customWidth="1"/>
    <col min="4" max="4" width="80.109375" style="74" customWidth="1"/>
    <col min="5" max="189" width="2.21875" style="74" customWidth="1"/>
    <col min="190" max="16384" width="8.88671875" style="74"/>
  </cols>
  <sheetData>
    <row r="1" spans="3:5" s="71" customFormat="1" ht="30" customHeight="1" thickBot="1" x14ac:dyDescent="0.25"/>
    <row r="2" spans="3:5" ht="15.75" thickTop="1" x14ac:dyDescent="0.2">
      <c r="C2" s="72"/>
      <c r="D2" s="73"/>
      <c r="E2" s="66"/>
    </row>
    <row r="3" spans="3:5" x14ac:dyDescent="0.2">
      <c r="C3" s="72"/>
      <c r="D3" s="73"/>
      <c r="E3" s="66"/>
    </row>
    <row r="4" spans="3:5" x14ac:dyDescent="0.2">
      <c r="C4" s="72"/>
      <c r="D4" s="73"/>
      <c r="E4" s="66"/>
    </row>
    <row r="5" spans="3:5" x14ac:dyDescent="0.2">
      <c r="C5" s="72"/>
      <c r="D5" s="73"/>
      <c r="E5" s="66"/>
    </row>
    <row r="6" spans="3:5" x14ac:dyDescent="0.2">
      <c r="C6" s="72"/>
      <c r="D6" s="73"/>
      <c r="E6" s="66"/>
    </row>
    <row r="7" spans="3:5" x14ac:dyDescent="0.2">
      <c r="C7" s="75"/>
      <c r="D7" s="75"/>
      <c r="E7" s="75"/>
    </row>
    <row r="8" spans="3:5" x14ac:dyDescent="0.2">
      <c r="C8" s="76"/>
      <c r="D8" s="76"/>
      <c r="E8" s="60"/>
    </row>
    <row r="9" spans="3:5" x14ac:dyDescent="0.2">
      <c r="C9" s="77"/>
      <c r="D9" s="78"/>
      <c r="E9" s="60"/>
    </row>
    <row r="10" spans="3:5" x14ac:dyDescent="0.2">
      <c r="C10" s="77"/>
      <c r="D10" s="78"/>
      <c r="E10" s="60"/>
    </row>
    <row r="11" spans="3:5" ht="15.75" x14ac:dyDescent="0.25">
      <c r="C11" s="77"/>
      <c r="D11" s="79" t="s">
        <v>102</v>
      </c>
      <c r="E11" s="60"/>
    </row>
    <row r="12" spans="3:5" x14ac:dyDescent="0.2">
      <c r="C12" s="77"/>
      <c r="D12" s="78"/>
      <c r="E12" s="60"/>
    </row>
    <row r="13" spans="3:5" x14ac:dyDescent="0.2">
      <c r="C13" s="77"/>
      <c r="D13" s="78"/>
      <c r="E13" s="60"/>
    </row>
    <row r="14" spans="3:5" x14ac:dyDescent="0.2">
      <c r="C14" s="77"/>
      <c r="D14" s="78"/>
      <c r="E14" s="60"/>
    </row>
    <row r="15" spans="3:5" s="82" customFormat="1" x14ac:dyDescent="0.2">
      <c r="C15" s="80"/>
      <c r="D15" s="81" t="str">
        <f>IF(Investitor=0,"...",Investitor)</f>
        <v>...</v>
      </c>
      <c r="E15" s="60"/>
    </row>
    <row r="16" spans="3:5" x14ac:dyDescent="0.2">
      <c r="C16" s="77"/>
      <c r="D16" s="83" t="s">
        <v>14</v>
      </c>
      <c r="E16" s="60"/>
    </row>
    <row r="17" spans="3:5" x14ac:dyDescent="0.2">
      <c r="C17" s="77"/>
      <c r="D17" s="84" t="str">
        <f>IF(Objekat=0,"...",Objekat)</f>
        <v>...</v>
      </c>
      <c r="E17" s="60"/>
    </row>
    <row r="18" spans="3:5" x14ac:dyDescent="0.2">
      <c r="C18" s="77"/>
      <c r="D18" s="83" t="s">
        <v>18</v>
      </c>
      <c r="E18" s="60"/>
    </row>
    <row r="19" spans="3:5" x14ac:dyDescent="0.2">
      <c r="C19" s="77"/>
      <c r="D19" s="85" t="s">
        <v>103</v>
      </c>
      <c r="E19" s="60"/>
    </row>
    <row r="20" spans="3:5" x14ac:dyDescent="0.2">
      <c r="C20" s="77"/>
      <c r="D20" s="83" t="s">
        <v>104</v>
      </c>
      <c r="E20" s="60"/>
    </row>
    <row r="21" spans="3:5" x14ac:dyDescent="0.2">
      <c r="C21" s="77"/>
      <c r="D21" s="78" t="s">
        <v>105</v>
      </c>
      <c r="E21" s="60"/>
    </row>
    <row r="22" spans="3:5" x14ac:dyDescent="0.2">
      <c r="C22" s="77"/>
      <c r="D22" s="83" t="s">
        <v>106</v>
      </c>
      <c r="E22" s="60"/>
    </row>
    <row r="23" spans="3:5" x14ac:dyDescent="0.2">
      <c r="C23" s="77"/>
      <c r="D23" s="85" t="str">
        <f>IF(VrstaRadova=0,"...",VrstaRadova)</f>
        <v>...</v>
      </c>
      <c r="E23" s="60"/>
    </row>
    <row r="24" spans="3:5" x14ac:dyDescent="0.2">
      <c r="C24" s="77"/>
      <c r="D24" s="86" t="s">
        <v>107</v>
      </c>
      <c r="E24" s="60"/>
    </row>
    <row r="25" spans="3:5" x14ac:dyDescent="0.2">
      <c r="C25" s="77"/>
      <c r="D25" s="85" t="str">
        <f>IF(ProjektnaOrganizacijaGS=0,"...",ProjektnaOrganizacijaGS)</f>
        <v>...</v>
      </c>
      <c r="E25" s="60"/>
    </row>
    <row r="26" spans="3:5" x14ac:dyDescent="0.2">
      <c r="C26" s="77"/>
      <c r="D26" s="83" t="s">
        <v>108</v>
      </c>
      <c r="E26" s="60"/>
    </row>
    <row r="27" spans="3:5" x14ac:dyDescent="0.2">
      <c r="C27" s="77"/>
      <c r="D27" s="78"/>
      <c r="E27" s="60"/>
    </row>
    <row r="28" spans="3:5" x14ac:dyDescent="0.2">
      <c r="C28" s="77"/>
      <c r="D28" s="78"/>
      <c r="E28" s="60"/>
    </row>
    <row r="29" spans="3:5" x14ac:dyDescent="0.2">
      <c r="C29" s="77"/>
      <c r="D29" s="78"/>
      <c r="E29" s="60"/>
    </row>
    <row r="30" spans="3:5" x14ac:dyDescent="0.2">
      <c r="C30" s="77"/>
      <c r="D30" s="78"/>
      <c r="E30" s="60"/>
    </row>
    <row r="31" spans="3:5" x14ac:dyDescent="0.2">
      <c r="C31" s="77"/>
      <c r="D31" s="85" t="str">
        <f>IF(OdgovornoLiceGS=0,"...",OdgovornoLiceGS)</f>
        <v>...</v>
      </c>
      <c r="E31" s="60"/>
    </row>
    <row r="32" spans="3:5" x14ac:dyDescent="0.2">
      <c r="C32" s="77"/>
      <c r="D32" s="86" t="s">
        <v>16</v>
      </c>
      <c r="E32" s="60"/>
    </row>
    <row r="33" spans="3:5" x14ac:dyDescent="0.2">
      <c r="C33" s="77"/>
      <c r="D33" s="78"/>
      <c r="E33" s="60"/>
    </row>
    <row r="34" spans="3:5" x14ac:dyDescent="0.2">
      <c r="C34" s="77"/>
      <c r="D34" s="78"/>
      <c r="E34" s="60"/>
    </row>
    <row r="35" spans="3:5" x14ac:dyDescent="0.2">
      <c r="C35" s="77"/>
      <c r="D35" s="78"/>
      <c r="E35" s="60"/>
    </row>
    <row r="36" spans="3:5" x14ac:dyDescent="0.2">
      <c r="C36" s="77"/>
      <c r="D36" s="78"/>
      <c r="E36" s="60"/>
    </row>
    <row r="37" spans="3:5" x14ac:dyDescent="0.2">
      <c r="C37" s="77"/>
      <c r="D37" s="78"/>
      <c r="E37" s="60"/>
    </row>
    <row r="38" spans="3:5" x14ac:dyDescent="0.2">
      <c r="C38" s="77"/>
      <c r="D38" s="78"/>
      <c r="E38" s="60"/>
    </row>
    <row r="39" spans="3:5" x14ac:dyDescent="0.2">
      <c r="C39" s="77"/>
      <c r="D39" s="85" t="e">
        <f>IF(GlavniProjektant=0,"...",GlavniProjektant)</f>
        <v>#REF!</v>
      </c>
      <c r="E39" s="60"/>
    </row>
    <row r="40" spans="3:5" x14ac:dyDescent="0.2">
      <c r="C40" s="77"/>
      <c r="D40" s="86" t="s">
        <v>32</v>
      </c>
      <c r="E40" s="60"/>
    </row>
    <row r="41" spans="3:5" x14ac:dyDescent="0.2">
      <c r="C41" s="77"/>
      <c r="D41" s="78"/>
      <c r="E41" s="60"/>
    </row>
    <row r="42" spans="3:5" x14ac:dyDescent="0.2">
      <c r="C42" s="77"/>
      <c r="D42" s="78"/>
      <c r="E42" s="60"/>
    </row>
    <row r="43" spans="3:5" x14ac:dyDescent="0.2">
      <c r="C43" s="77"/>
      <c r="D43" s="85" t="str">
        <f>IF(EvidencioniBroj=0,"...",EvidencioniBroj)</f>
        <v>...</v>
      </c>
      <c r="E43" s="60"/>
    </row>
    <row r="44" spans="3:5" x14ac:dyDescent="0.2">
      <c r="C44" s="77"/>
      <c r="D44" s="83" t="s">
        <v>109</v>
      </c>
      <c r="E44" s="60"/>
    </row>
    <row r="45" spans="3:5" x14ac:dyDescent="0.2">
      <c r="C45" s="77"/>
      <c r="D45" s="85" t="str">
        <f>IF(OR(Datum=0,Mesto=0),"...",Mesto&amp;", "&amp;TEXT(Datum,"DD.MM.YYYY")&amp;". godine")</f>
        <v>...</v>
      </c>
      <c r="E45" s="60"/>
    </row>
    <row r="46" spans="3:5" x14ac:dyDescent="0.2">
      <c r="C46" s="77"/>
      <c r="D46" s="83" t="s">
        <v>110</v>
      </c>
      <c r="E46" s="60"/>
    </row>
    <row r="47" spans="3:5" x14ac:dyDescent="0.2">
      <c r="C47" s="87"/>
      <c r="D47" s="88"/>
      <c r="E47" s="88"/>
    </row>
    <row r="48" spans="3:5" x14ac:dyDescent="0.2">
      <c r="E48" s="89"/>
    </row>
    <row r="96" ht="15" customHeight="1" x14ac:dyDescent="0.2"/>
    <row r="178" ht="15.75" customHeight="1" x14ac:dyDescent="0.2"/>
    <row r="199" ht="15" customHeight="1" x14ac:dyDescent="0.2"/>
  </sheetData>
  <pageMargins left="0.39370078740157483" right="0.39370078740157483" top="2.3622047244094491" bottom="1.1811023622047245" header="0" footer="0"/>
  <pageSetup paperSize="151" orientation="portrait" r:id="rId1"/>
  <headerFooter scaleWithDoc="0">
    <oddHeader>&amp;C&amp;G</oddHeader>
    <oddFooter>&amp;C&amp;G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88"/>
  <sheetViews>
    <sheetView showGridLines="0" showRowColHeaders="0" zoomScaleNormal="100" workbookViewId="0">
      <pane ySplit="1" topLeftCell="A2" activePane="bottomLeft" state="frozen"/>
      <selection activeCell="F24" sqref="F24"/>
      <selection pane="bottomLeft" activeCell="Q8" sqref="Q8"/>
    </sheetView>
  </sheetViews>
  <sheetFormatPr defaultRowHeight="15" x14ac:dyDescent="0.2"/>
  <cols>
    <col min="1" max="3" width="2.21875" style="91" customWidth="1"/>
    <col min="4" max="4" width="69.77734375" style="91" customWidth="1"/>
    <col min="5" max="187" width="2.21875" style="91" customWidth="1"/>
    <col min="188" max="16384" width="8.88671875" style="91"/>
  </cols>
  <sheetData>
    <row r="1" spans="3:5" s="90" customFormat="1" ht="30" customHeight="1" thickBot="1" x14ac:dyDescent="0.25"/>
    <row r="2" spans="3:5" ht="15.75" thickTop="1" x14ac:dyDescent="0.2"/>
    <row r="7" spans="3:5" x14ac:dyDescent="0.2">
      <c r="C7" s="75"/>
      <c r="D7" s="75"/>
      <c r="E7" s="75"/>
    </row>
    <row r="8" spans="3:5" x14ac:dyDescent="0.2">
      <c r="C8" s="76"/>
      <c r="D8" s="76"/>
      <c r="E8" s="60"/>
    </row>
    <row r="9" spans="3:5" x14ac:dyDescent="0.2">
      <c r="C9" s="92"/>
      <c r="D9" s="78"/>
      <c r="E9" s="60"/>
    </row>
    <row r="10" spans="3:5" x14ac:dyDescent="0.2">
      <c r="C10" s="92"/>
      <c r="D10" s="78"/>
      <c r="E10" s="60"/>
    </row>
    <row r="11" spans="3:5" ht="15.75" x14ac:dyDescent="0.25">
      <c r="C11" s="92"/>
      <c r="D11" s="79" t="s">
        <v>111</v>
      </c>
      <c r="E11" s="60"/>
    </row>
    <row r="12" spans="3:5" x14ac:dyDescent="0.2">
      <c r="C12" s="92"/>
      <c r="D12" s="78"/>
      <c r="E12" s="60"/>
    </row>
    <row r="13" spans="3:5" x14ac:dyDescent="0.2">
      <c r="C13" s="92"/>
      <c r="D13" s="78"/>
      <c r="E13" s="60"/>
    </row>
    <row r="14" spans="3:5" x14ac:dyDescent="0.2">
      <c r="C14" s="92"/>
      <c r="D14" s="78"/>
      <c r="E14" s="60"/>
    </row>
    <row r="15" spans="3:5" x14ac:dyDescent="0.2">
      <c r="C15" s="92"/>
      <c r="D15" s="78" t="s">
        <v>112</v>
      </c>
      <c r="E15" s="60"/>
    </row>
    <row r="16" spans="3:5" x14ac:dyDescent="0.2">
      <c r="C16" s="92"/>
      <c r="D16" s="78"/>
      <c r="E16" s="60"/>
    </row>
    <row r="17" spans="1:5" x14ac:dyDescent="0.2">
      <c r="C17" s="92"/>
      <c r="D17" s="78" t="s">
        <v>113</v>
      </c>
      <c r="E17" s="60"/>
    </row>
    <row r="18" spans="1:5" x14ac:dyDescent="0.2">
      <c r="C18" s="92"/>
      <c r="D18" s="78"/>
      <c r="E18" s="60"/>
    </row>
    <row r="19" spans="1:5" x14ac:dyDescent="0.2">
      <c r="C19" s="92"/>
      <c r="D19" s="78" t="s">
        <v>114</v>
      </c>
      <c r="E19" s="60"/>
    </row>
    <row r="20" spans="1:5" x14ac:dyDescent="0.2">
      <c r="A20" s="61"/>
      <c r="B20" s="61"/>
      <c r="C20" s="92"/>
      <c r="D20" s="78"/>
      <c r="E20" s="60"/>
    </row>
    <row r="21" spans="1:5" x14ac:dyDescent="0.2">
      <c r="C21" s="92"/>
      <c r="D21" s="78" t="s">
        <v>115</v>
      </c>
      <c r="E21" s="60"/>
    </row>
    <row r="22" spans="1:5" x14ac:dyDescent="0.2">
      <c r="C22" s="92"/>
      <c r="D22" s="78"/>
      <c r="E22" s="60"/>
    </row>
    <row r="23" spans="1:5" x14ac:dyDescent="0.2">
      <c r="C23" s="92"/>
      <c r="D23" s="78" t="s">
        <v>116</v>
      </c>
      <c r="E23" s="60"/>
    </row>
    <row r="24" spans="1:5" x14ac:dyDescent="0.2">
      <c r="C24" s="92"/>
      <c r="D24" s="78"/>
      <c r="E24" s="60"/>
    </row>
    <row r="25" spans="1:5" x14ac:dyDescent="0.2">
      <c r="C25" s="92"/>
      <c r="D25" s="78" t="s">
        <v>117</v>
      </c>
      <c r="E25" s="60"/>
    </row>
    <row r="26" spans="1:5" x14ac:dyDescent="0.2">
      <c r="C26" s="92"/>
      <c r="D26" s="78"/>
      <c r="E26" s="60"/>
    </row>
    <row r="27" spans="1:5" x14ac:dyDescent="0.2">
      <c r="C27" s="92"/>
      <c r="D27" s="78" t="s">
        <v>118</v>
      </c>
      <c r="E27" s="60"/>
    </row>
    <row r="28" spans="1:5" x14ac:dyDescent="0.2">
      <c r="C28" s="92"/>
      <c r="E28" s="60"/>
    </row>
    <row r="29" spans="1:5" x14ac:dyDescent="0.2">
      <c r="C29" s="92"/>
      <c r="D29" s="78" t="e">
        <f>IF(ProjekatEEE=0,"/","0.8. Izjava ovlašćenog lica koje je izradilo elaborat energetse efikasnosti")</f>
        <v>#REF!</v>
      </c>
      <c r="E29" s="60"/>
    </row>
    <row r="30" spans="1:5" x14ac:dyDescent="0.2">
      <c r="C30" s="92"/>
      <c r="D30" s="78"/>
      <c r="E30" s="60"/>
    </row>
    <row r="31" spans="1:5" x14ac:dyDescent="0.2">
      <c r="C31" s="92"/>
      <c r="D31" s="78" t="e">
        <f>IF(ProjekatPPZ=0,"/","0.9. Izjava ovlašćenog lica koje je izradilo elaborat zaštite od požara")</f>
        <v>#REF!</v>
      </c>
      <c r="E31" s="60"/>
    </row>
    <row r="32" spans="1:5" x14ac:dyDescent="0.2">
      <c r="C32" s="92"/>
      <c r="D32" s="78"/>
      <c r="E32" s="60"/>
    </row>
    <row r="33" spans="3:5" x14ac:dyDescent="0.2">
      <c r="C33" s="93"/>
      <c r="D33" s="93"/>
      <c r="E33" s="93"/>
    </row>
    <row r="85" ht="15" customHeight="1" x14ac:dyDescent="0.2"/>
    <row r="167" ht="15.75" customHeight="1" x14ac:dyDescent="0.2"/>
    <row r="188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E154"/>
  <sheetViews>
    <sheetView showGridLines="0" showRowColHeaders="0" workbookViewId="0">
      <pane ySplit="1" topLeftCell="A2" activePane="bottomLeft" state="frozen"/>
      <selection activeCell="F24" sqref="F24"/>
      <selection pane="bottomLeft" activeCell="I4" sqref="I4"/>
    </sheetView>
  </sheetViews>
  <sheetFormatPr defaultRowHeight="15" x14ac:dyDescent="0.2"/>
  <cols>
    <col min="1" max="3" width="2.21875" style="91" customWidth="1"/>
    <col min="4" max="4" width="69.77734375" style="91" customWidth="1"/>
    <col min="5" max="185" width="2.21875" style="91" customWidth="1"/>
    <col min="186" max="16384" width="8.88671875" style="91"/>
  </cols>
  <sheetData>
    <row r="1" spans="3:5" s="90" customFormat="1" ht="30" customHeight="1" thickBot="1" x14ac:dyDescent="0.25"/>
    <row r="2" spans="3:5" ht="15.75" thickTop="1" x14ac:dyDescent="0.2"/>
    <row r="7" spans="3:5" x14ac:dyDescent="0.2">
      <c r="C7" s="75"/>
      <c r="D7" s="75"/>
      <c r="E7" s="75"/>
    </row>
    <row r="8" spans="3:5" x14ac:dyDescent="0.2">
      <c r="C8" s="76"/>
      <c r="D8" s="76"/>
      <c r="E8" s="60"/>
    </row>
    <row r="9" spans="3:5" x14ac:dyDescent="0.2">
      <c r="C9" s="92"/>
      <c r="D9" s="78"/>
      <c r="E9" s="60"/>
    </row>
    <row r="10" spans="3:5" x14ac:dyDescent="0.2">
      <c r="C10" s="92"/>
      <c r="D10" s="78"/>
      <c r="E10" s="60"/>
    </row>
    <row r="11" spans="3:5" ht="15.75" x14ac:dyDescent="0.25">
      <c r="C11" s="92"/>
      <c r="D11" s="79" t="s">
        <v>119</v>
      </c>
      <c r="E11" s="60"/>
    </row>
    <row r="12" spans="3:5" x14ac:dyDescent="0.2">
      <c r="C12" s="92"/>
      <c r="D12" s="78"/>
      <c r="E12" s="60"/>
    </row>
    <row r="13" spans="3:5" x14ac:dyDescent="0.2">
      <c r="C13" s="92"/>
      <c r="D13" s="78"/>
      <c r="E13" s="60"/>
    </row>
    <row r="14" spans="3:5" x14ac:dyDescent="0.2">
      <c r="C14" s="92"/>
      <c r="D14" s="78"/>
      <c r="E14" s="60"/>
    </row>
    <row r="15" spans="3:5" ht="75" x14ac:dyDescent="0.2">
      <c r="C15" s="92"/>
      <c r="D15" s="78" t="s">
        <v>120</v>
      </c>
      <c r="E15" s="60"/>
    </row>
    <row r="16" spans="3:5" x14ac:dyDescent="0.2">
      <c r="C16" s="92"/>
      <c r="D16" s="78"/>
      <c r="E16" s="60"/>
    </row>
    <row r="17" spans="3:5" x14ac:dyDescent="0.2">
      <c r="C17" s="92"/>
      <c r="D17" s="78"/>
      <c r="E17" s="60"/>
    </row>
    <row r="18" spans="3:5" x14ac:dyDescent="0.2">
      <c r="C18" s="92"/>
      <c r="D18" s="78"/>
      <c r="E18" s="60"/>
    </row>
    <row r="19" spans="3:5" ht="15.75" x14ac:dyDescent="0.25">
      <c r="C19" s="92"/>
      <c r="D19" s="79" t="s">
        <v>121</v>
      </c>
      <c r="E19" s="60"/>
    </row>
    <row r="20" spans="3:5" x14ac:dyDescent="0.2">
      <c r="C20" s="92"/>
      <c r="D20" s="78"/>
      <c r="E20" s="60"/>
    </row>
    <row r="21" spans="3:5" x14ac:dyDescent="0.2">
      <c r="C21" s="92"/>
      <c r="D21" s="78"/>
      <c r="E21" s="60"/>
    </row>
    <row r="22" spans="3:5" x14ac:dyDescent="0.2">
      <c r="C22" s="92"/>
      <c r="D22" s="78"/>
      <c r="E22" s="60"/>
    </row>
    <row r="23" spans="3:5" x14ac:dyDescent="0.2">
      <c r="C23" s="92"/>
      <c r="D23" s="85" t="str">
        <f>IF(OR(ObjekatIzKonteksta=0,VrstaRadovaIzKonteksta=0),"...","za Projekat za građevinsku dozvolu (PGD), za "&amp;VrstaRadovaIzKonteksta&amp;", "&amp;ObjekatIzKonteksta&amp;", određuje se:")</f>
        <v>...</v>
      </c>
      <c r="E23" s="60"/>
    </row>
    <row r="24" spans="3:5" x14ac:dyDescent="0.2">
      <c r="C24" s="92"/>
      <c r="D24" s="78"/>
      <c r="E24" s="60"/>
    </row>
    <row r="25" spans="3:5" x14ac:dyDescent="0.2">
      <c r="C25" s="92"/>
      <c r="D25" s="78"/>
      <c r="E25" s="60"/>
    </row>
    <row r="26" spans="3:5" x14ac:dyDescent="0.2">
      <c r="C26" s="92"/>
      <c r="D26" s="78"/>
      <c r="E26" s="60"/>
    </row>
    <row r="27" spans="3:5" x14ac:dyDescent="0.2">
      <c r="C27" s="92"/>
      <c r="D27" s="94" t="e">
        <f>IF(GlavniProjektant=0,"...",GlavniProjektant)</f>
        <v>#REF!</v>
      </c>
      <c r="E27" s="60"/>
    </row>
    <row r="28" spans="3:5" x14ac:dyDescent="0.2">
      <c r="C28" s="92"/>
      <c r="D28" s="95" t="s">
        <v>122</v>
      </c>
      <c r="E28" s="60"/>
    </row>
    <row r="29" spans="3:5" x14ac:dyDescent="0.2">
      <c r="C29" s="92"/>
      <c r="D29" s="78"/>
      <c r="E29" s="60"/>
    </row>
    <row r="30" spans="3:5" x14ac:dyDescent="0.2">
      <c r="C30" s="92"/>
      <c r="D30" s="78"/>
      <c r="E30" s="60"/>
    </row>
    <row r="31" spans="3:5" x14ac:dyDescent="0.2">
      <c r="C31" s="92"/>
      <c r="D31" s="78"/>
      <c r="E31" s="60"/>
    </row>
    <row r="32" spans="3:5" x14ac:dyDescent="0.2">
      <c r="C32" s="92"/>
      <c r="D32" s="96" t="str">
        <f>IF(Investitor=0,"...",Investitor)</f>
        <v>...</v>
      </c>
      <c r="E32" s="60"/>
    </row>
    <row r="33" spans="3:5" x14ac:dyDescent="0.2">
      <c r="C33" s="92"/>
      <c r="D33" s="83" t="s">
        <v>14</v>
      </c>
      <c r="E33" s="60"/>
    </row>
    <row r="34" spans="3:5" x14ac:dyDescent="0.2">
      <c r="C34" s="92"/>
      <c r="D34" s="78"/>
      <c r="E34" s="60"/>
    </row>
    <row r="35" spans="3:5" x14ac:dyDescent="0.2">
      <c r="C35" s="92"/>
      <c r="D35" s="78"/>
      <c r="E35" s="60"/>
    </row>
    <row r="36" spans="3:5" x14ac:dyDescent="0.2">
      <c r="C36" s="92"/>
      <c r="D36" s="78"/>
      <c r="E36" s="60"/>
    </row>
    <row r="37" spans="3:5" x14ac:dyDescent="0.2">
      <c r="C37" s="92"/>
      <c r="D37" s="78"/>
      <c r="E37" s="60"/>
    </row>
    <row r="38" spans="3:5" x14ac:dyDescent="0.2">
      <c r="C38" s="92"/>
      <c r="D38" s="85" t="str">
        <f>IF(OdgovornoLice=0,"...",OdgovornoLice)</f>
        <v>...</v>
      </c>
      <c r="E38" s="60"/>
    </row>
    <row r="39" spans="3:5" x14ac:dyDescent="0.2">
      <c r="C39" s="92"/>
      <c r="D39" s="86" t="s">
        <v>16</v>
      </c>
      <c r="E39" s="60"/>
    </row>
    <row r="40" spans="3:5" x14ac:dyDescent="0.2">
      <c r="C40" s="92"/>
      <c r="D40" s="78"/>
      <c r="E40" s="60"/>
    </row>
    <row r="41" spans="3:5" x14ac:dyDescent="0.2">
      <c r="C41" s="93"/>
      <c r="D41" s="93"/>
      <c r="E41" s="93"/>
    </row>
    <row r="42" spans="3:5" x14ac:dyDescent="0.2">
      <c r="E42" s="89"/>
    </row>
    <row r="51" ht="15" customHeight="1" x14ac:dyDescent="0.2"/>
    <row r="133" ht="15.75" customHeight="1" x14ac:dyDescent="0.2"/>
    <row r="154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E118"/>
  <sheetViews>
    <sheetView showGridLines="0" showRowColHeaders="0" workbookViewId="0">
      <pane ySplit="1" topLeftCell="A2" activePane="bottomLeft" state="frozen"/>
      <selection activeCell="F24" sqref="F24"/>
      <selection pane="bottomLeft" activeCell="F24" sqref="F24"/>
    </sheetView>
  </sheetViews>
  <sheetFormatPr defaultRowHeight="15" x14ac:dyDescent="0.2"/>
  <cols>
    <col min="1" max="3" width="2.21875" style="91" customWidth="1"/>
    <col min="4" max="4" width="69.77734375" style="91" customWidth="1"/>
    <col min="5" max="187" width="2.21875" style="91" customWidth="1"/>
    <col min="188" max="16384" width="8.88671875" style="91"/>
  </cols>
  <sheetData>
    <row r="1" spans="3:5" s="90" customFormat="1" ht="30" customHeight="1" thickBot="1" x14ac:dyDescent="0.25"/>
    <row r="2" spans="3:5" ht="15.75" thickTop="1" x14ac:dyDescent="0.2"/>
    <row r="7" spans="3:5" x14ac:dyDescent="0.2">
      <c r="C7" s="75"/>
      <c r="D7" s="75"/>
      <c r="E7" s="75"/>
    </row>
    <row r="8" spans="3:5" x14ac:dyDescent="0.2">
      <c r="C8" s="76"/>
      <c r="D8" s="76"/>
      <c r="E8" s="60"/>
    </row>
    <row r="9" spans="3:5" x14ac:dyDescent="0.2">
      <c r="C9" s="92"/>
      <c r="D9" s="78"/>
      <c r="E9" s="60"/>
    </row>
    <row r="10" spans="3:5" x14ac:dyDescent="0.2">
      <c r="C10" s="92"/>
      <c r="D10" s="78"/>
      <c r="E10" s="60"/>
    </row>
    <row r="11" spans="3:5" ht="15.75" x14ac:dyDescent="0.25">
      <c r="C11" s="92"/>
      <c r="D11" s="79" t="s">
        <v>123</v>
      </c>
      <c r="E11" s="60"/>
    </row>
    <row r="12" spans="3:5" x14ac:dyDescent="0.2">
      <c r="C12" s="92"/>
      <c r="D12" s="78"/>
      <c r="E12" s="60"/>
    </row>
    <row r="13" spans="3:5" x14ac:dyDescent="0.2">
      <c r="C13" s="92"/>
      <c r="D13" s="78"/>
      <c r="E13" s="60"/>
    </row>
    <row r="14" spans="3:5" x14ac:dyDescent="0.2">
      <c r="C14" s="92"/>
      <c r="D14" s="78"/>
      <c r="E14" s="60"/>
    </row>
    <row r="15" spans="3:5" x14ac:dyDescent="0.2">
      <c r="C15" s="92"/>
      <c r="D15" s="85" t="str">
        <f>IF(OR(ObjekatIzKonteksta=0,VrstaRadovaIzKonteksta=0),"...","Glavni projektant Projekta za građevinku dozvolu (PGD), za "&amp;VrstaRadovaIzKonteksta&amp;", "&amp;ObjekatIzKonteksta&amp;",")</f>
        <v>...</v>
      </c>
      <c r="E15" s="60"/>
    </row>
    <row r="16" spans="3:5" x14ac:dyDescent="0.2">
      <c r="C16" s="92"/>
      <c r="D16" s="78"/>
      <c r="E16" s="60"/>
    </row>
    <row r="17" spans="3:5" x14ac:dyDescent="0.2">
      <c r="C17" s="92"/>
      <c r="D17" s="78"/>
      <c r="E17" s="60"/>
    </row>
    <row r="18" spans="3:5" x14ac:dyDescent="0.2">
      <c r="C18" s="92"/>
      <c r="D18" s="78"/>
      <c r="E18" s="60"/>
    </row>
    <row r="19" spans="3:5" x14ac:dyDescent="0.2">
      <c r="C19" s="92"/>
      <c r="D19" s="94" t="e">
        <f>IF(GlavniProjektant=0,"...",GlavniProjektant)</f>
        <v>#REF!</v>
      </c>
      <c r="E19" s="60"/>
    </row>
    <row r="20" spans="3:5" x14ac:dyDescent="0.2">
      <c r="C20" s="92"/>
      <c r="D20" s="95" t="s">
        <v>122</v>
      </c>
      <c r="E20" s="60"/>
    </row>
    <row r="21" spans="3:5" x14ac:dyDescent="0.2">
      <c r="C21" s="92"/>
      <c r="D21" s="78"/>
      <c r="E21" s="60"/>
    </row>
    <row r="22" spans="3:5" x14ac:dyDescent="0.2">
      <c r="C22" s="92"/>
      <c r="D22" s="78"/>
      <c r="E22" s="60"/>
    </row>
    <row r="23" spans="3:5" x14ac:dyDescent="0.2">
      <c r="C23" s="92"/>
      <c r="D23" s="78"/>
      <c r="E23" s="60"/>
    </row>
    <row r="24" spans="3:5" ht="15.75" x14ac:dyDescent="0.25">
      <c r="C24" s="92"/>
      <c r="D24" s="79" t="s">
        <v>124</v>
      </c>
      <c r="E24" s="60"/>
    </row>
    <row r="25" spans="3:5" x14ac:dyDescent="0.2">
      <c r="C25" s="92"/>
      <c r="D25" s="78"/>
      <c r="E25" s="60"/>
    </row>
    <row r="26" spans="3:5" x14ac:dyDescent="0.2">
      <c r="C26" s="92"/>
      <c r="D26" s="78"/>
      <c r="E26" s="60"/>
    </row>
    <row r="27" spans="3:5" x14ac:dyDescent="0.2">
      <c r="C27" s="92"/>
      <c r="D27" s="78"/>
      <c r="E27" s="60"/>
    </row>
    <row r="28" spans="3:5" ht="45" x14ac:dyDescent="0.2">
      <c r="C28" s="92"/>
      <c r="D28" s="85" t="s">
        <v>125</v>
      </c>
      <c r="E28" s="60"/>
    </row>
    <row r="29" spans="3:5" x14ac:dyDescent="0.2">
      <c r="C29" s="92"/>
      <c r="D29" s="85"/>
      <c r="E29" s="60"/>
    </row>
    <row r="30" spans="3:5" x14ac:dyDescent="0.2">
      <c r="C30" s="92"/>
      <c r="D30" s="78"/>
      <c r="E30" s="60"/>
    </row>
    <row r="31" spans="3:5" x14ac:dyDescent="0.2">
      <c r="C31" s="92"/>
      <c r="D31" s="78"/>
      <c r="E31" s="60"/>
    </row>
    <row r="32" spans="3:5" x14ac:dyDescent="0.2">
      <c r="C32" s="92"/>
      <c r="D32" s="97" t="s">
        <v>126</v>
      </c>
      <c r="E32" s="60"/>
    </row>
    <row r="33" spans="3:5" x14ac:dyDescent="0.2">
      <c r="C33" s="92"/>
      <c r="D33" s="98" t="str">
        <f>IF(ProjekatA=0,"/","1. PROJEKAT ARHITEKTURE")</f>
        <v>/</v>
      </c>
      <c r="E33" s="60"/>
    </row>
    <row r="34" spans="3:5" x14ac:dyDescent="0.2">
      <c r="C34" s="92"/>
      <c r="D34" s="98" t="e">
        <f>IF(ProjekatK=0,"/","2/1. PROJEKAT KONSTRUKCIJE")</f>
        <v>#REF!</v>
      </c>
      <c r="E34" s="60"/>
    </row>
    <row r="35" spans="3:5" x14ac:dyDescent="0.2">
      <c r="C35" s="92"/>
      <c r="D35" s="98" t="e">
        <f>IF(ProjekatH=0,"/","3. PROJEKAT HIDROTEHNIČKIH INSTALACIJA")</f>
        <v>#REF!</v>
      </c>
      <c r="E35" s="60"/>
    </row>
    <row r="36" spans="3:5" x14ac:dyDescent="0.2">
      <c r="C36" s="92"/>
      <c r="D36" s="98" t="e">
        <f>IF(ProjekatE=0,"/","4. PROJEKAT ELEKTROENERGETSKIH INSTALACIJA")</f>
        <v>#REF!</v>
      </c>
      <c r="E36" s="60"/>
    </row>
    <row r="37" spans="3:5" x14ac:dyDescent="0.2">
      <c r="C37" s="92"/>
      <c r="D37" s="98" t="e">
        <f>IF(ProjekatTS=0,"/","5. PROJEKAT TELEKOMUNIKACIONIH I SIGNALNIH INSTALACIJA")</f>
        <v>#REF!</v>
      </c>
      <c r="E37" s="60"/>
    </row>
    <row r="38" spans="3:5" x14ac:dyDescent="0.2">
      <c r="C38" s="92"/>
      <c r="D38" s="98" t="e">
        <f>IF(ProjekatM=0,"/","6. PROJEKAT MAŠINSKIH INSTALACIJA")</f>
        <v>#REF!</v>
      </c>
      <c r="E38" s="60"/>
    </row>
    <row r="39" spans="3:5" x14ac:dyDescent="0.2">
      <c r="C39" s="92"/>
      <c r="D39" s="98" t="e">
        <f>IF(ProjekatEEE=0,"/","ELABORAT ENERGETSKE EFIKASNOSTI")</f>
        <v>#REF!</v>
      </c>
      <c r="E39" s="60"/>
    </row>
    <row r="40" spans="3:5" x14ac:dyDescent="0.2">
      <c r="C40" s="92"/>
      <c r="D40" s="99" t="e">
        <f>IF(ProjekatPPZ=0,"/","ELABORAT ZAŠTITE OD POŽARA")</f>
        <v>#REF!</v>
      </c>
      <c r="E40" s="60"/>
    </row>
    <row r="41" spans="3:5" x14ac:dyDescent="0.2">
      <c r="C41" s="92"/>
      <c r="D41" s="78"/>
      <c r="E41" s="60"/>
    </row>
    <row r="42" spans="3:5" x14ac:dyDescent="0.2">
      <c r="C42" s="92"/>
      <c r="D42" s="78"/>
      <c r="E42" s="60"/>
    </row>
    <row r="43" spans="3:5" x14ac:dyDescent="0.2">
      <c r="C43" s="92"/>
      <c r="D43" s="78"/>
      <c r="E43" s="60"/>
    </row>
    <row r="44" spans="3:5" x14ac:dyDescent="0.2">
      <c r="C44" s="92"/>
      <c r="D44" s="78"/>
      <c r="E44" s="60"/>
    </row>
    <row r="45" spans="3:5" x14ac:dyDescent="0.2">
      <c r="C45" s="92"/>
      <c r="D45" s="78"/>
      <c r="E45" s="60"/>
    </row>
    <row r="46" spans="3:5" x14ac:dyDescent="0.2">
      <c r="C46" s="92"/>
      <c r="D46" s="78"/>
      <c r="E46" s="60"/>
    </row>
    <row r="47" spans="3:5" x14ac:dyDescent="0.2">
      <c r="C47" s="92"/>
      <c r="D47" s="85" t="e">
        <f>IF(GlavniProjektant=0,"...",GlavniProjektant)</f>
        <v>#REF!</v>
      </c>
      <c r="E47" s="60"/>
    </row>
    <row r="48" spans="3:5" x14ac:dyDescent="0.2">
      <c r="C48" s="92"/>
      <c r="D48" s="86" t="s">
        <v>122</v>
      </c>
      <c r="E48" s="60"/>
    </row>
    <row r="49" spans="3:5" x14ac:dyDescent="0.2">
      <c r="C49" s="92"/>
      <c r="D49" s="78"/>
      <c r="E49" s="60"/>
    </row>
    <row r="50" spans="3:5" x14ac:dyDescent="0.2">
      <c r="C50" s="93"/>
      <c r="D50" s="93"/>
      <c r="E50" s="93"/>
    </row>
    <row r="51" spans="3:5" x14ac:dyDescent="0.2">
      <c r="E51" s="89"/>
    </row>
    <row r="97" ht="15.75" customHeight="1" x14ac:dyDescent="0.2"/>
    <row r="118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1:E53"/>
  <sheetViews>
    <sheetView showGridLines="0" showRowColHeaders="0" workbookViewId="0">
      <pane ySplit="1" topLeftCell="A2" activePane="bottomLeft" state="frozen"/>
      <selection activeCell="F24" sqref="F24"/>
      <selection pane="bottomLeft" activeCell="F24" sqref="F24"/>
    </sheetView>
  </sheetViews>
  <sheetFormatPr defaultRowHeight="15" x14ac:dyDescent="0.2"/>
  <cols>
    <col min="1" max="3" width="2.21875" style="91" customWidth="1"/>
    <col min="4" max="4" width="69.77734375" style="91" customWidth="1"/>
    <col min="5" max="187" width="2.21875" style="91" customWidth="1"/>
    <col min="188" max="16384" width="8.88671875" style="91"/>
  </cols>
  <sheetData>
    <row r="1" spans="3:5" s="90" customFormat="1" ht="30" customHeight="1" thickBot="1" x14ac:dyDescent="0.25"/>
    <row r="2" spans="3:5" ht="15.75" thickTop="1" x14ac:dyDescent="0.2"/>
    <row r="7" spans="3:5" x14ac:dyDescent="0.2">
      <c r="C7" s="75"/>
      <c r="D7" s="75"/>
      <c r="E7" s="75"/>
    </row>
    <row r="8" spans="3:5" x14ac:dyDescent="0.2">
      <c r="C8" s="76"/>
      <c r="D8" s="76"/>
      <c r="E8" s="60"/>
    </row>
    <row r="9" spans="3:5" x14ac:dyDescent="0.2">
      <c r="C9" s="92"/>
      <c r="D9" s="78"/>
      <c r="E9" s="60"/>
    </row>
    <row r="10" spans="3:5" x14ac:dyDescent="0.2">
      <c r="C10" s="92"/>
      <c r="D10" s="78"/>
      <c r="E10" s="60"/>
    </row>
    <row r="11" spans="3:5" ht="15.75" x14ac:dyDescent="0.25">
      <c r="C11" s="92"/>
      <c r="D11" s="79" t="s">
        <v>127</v>
      </c>
      <c r="E11" s="60"/>
    </row>
    <row r="12" spans="3:5" x14ac:dyDescent="0.2">
      <c r="C12" s="92"/>
      <c r="D12" s="78"/>
      <c r="E12" s="60"/>
    </row>
    <row r="13" spans="3:5" x14ac:dyDescent="0.2">
      <c r="C13" s="92"/>
      <c r="D13" s="78"/>
      <c r="E13" s="60"/>
    </row>
    <row r="14" spans="3:5" x14ac:dyDescent="0.2">
      <c r="C14" s="92"/>
      <c r="D14" s="78"/>
      <c r="E14" s="60"/>
    </row>
    <row r="15" spans="3:5" x14ac:dyDescent="0.2">
      <c r="C15" s="92"/>
      <c r="D15" s="78" t="s">
        <v>126</v>
      </c>
      <c r="E15" s="60"/>
    </row>
    <row r="16" spans="3:5" x14ac:dyDescent="0.2">
      <c r="C16" s="92"/>
      <c r="D16" s="78"/>
      <c r="E16" s="60"/>
    </row>
    <row r="17" spans="3:5" x14ac:dyDescent="0.2">
      <c r="C17" s="92"/>
      <c r="D17" s="98" t="str">
        <f>IF(ProjekatA=0,"/","1. PROJEKAT ARHITEKTURE")</f>
        <v>/</v>
      </c>
      <c r="E17" s="60"/>
    </row>
    <row r="18" spans="3:5" x14ac:dyDescent="0.2">
      <c r="C18" s="92"/>
      <c r="D18" s="98"/>
      <c r="E18" s="60"/>
    </row>
    <row r="19" spans="3:5" x14ac:dyDescent="0.2">
      <c r="C19" s="92"/>
      <c r="D19" s="98" t="e">
        <f>IF(ProjekatK=0,"/","2/1. PROJEKAT KONSTRUKCIJE")</f>
        <v>#REF!</v>
      </c>
      <c r="E19" s="60"/>
    </row>
    <row r="20" spans="3:5" x14ac:dyDescent="0.2">
      <c r="C20" s="92"/>
      <c r="D20" s="98"/>
      <c r="E20" s="60"/>
    </row>
    <row r="21" spans="3:5" x14ac:dyDescent="0.2">
      <c r="C21" s="92"/>
      <c r="D21" s="98" t="e">
        <f>IF(ProjekatH=0,"/","3. PROJEKAT HIDROTEHNIČKIH INSTALACIJA")</f>
        <v>#REF!</v>
      </c>
      <c r="E21" s="60"/>
    </row>
    <row r="22" spans="3:5" x14ac:dyDescent="0.2">
      <c r="C22" s="92"/>
      <c r="D22" s="98"/>
      <c r="E22" s="60"/>
    </row>
    <row r="23" spans="3:5" x14ac:dyDescent="0.2">
      <c r="C23" s="92"/>
      <c r="D23" s="98" t="e">
        <f>IF(ProjekatE=0,"/","4. PROJEKAT ELEKTROENERGETSKIH INSTALACIJA")</f>
        <v>#REF!</v>
      </c>
      <c r="E23" s="60"/>
    </row>
    <row r="24" spans="3:5" x14ac:dyDescent="0.2">
      <c r="C24" s="92"/>
      <c r="D24" s="98"/>
      <c r="E24" s="60"/>
    </row>
    <row r="25" spans="3:5" x14ac:dyDescent="0.2">
      <c r="C25" s="92"/>
      <c r="D25" s="98" t="e">
        <f>IF(ProjekatTS=0,"/","5. PROJEKAT TELEKOMUNIKACIONIH I SIGNALNIH INSTALACIJA")</f>
        <v>#REF!</v>
      </c>
      <c r="E25" s="60"/>
    </row>
    <row r="26" spans="3:5" x14ac:dyDescent="0.2">
      <c r="C26" s="92"/>
      <c r="D26" s="98"/>
      <c r="E26" s="60"/>
    </row>
    <row r="27" spans="3:5" x14ac:dyDescent="0.2">
      <c r="C27" s="92"/>
      <c r="D27" s="98" t="e">
        <f>IF(ProjekatM=0,"/","6. PROJEKAT MAŠINSKIH INSTALACIJA")</f>
        <v>#REF!</v>
      </c>
      <c r="E27" s="60"/>
    </row>
    <row r="28" spans="3:5" x14ac:dyDescent="0.2">
      <c r="C28" s="92"/>
      <c r="D28" s="98"/>
      <c r="E28" s="60"/>
    </row>
    <row r="29" spans="3:5" x14ac:dyDescent="0.2">
      <c r="C29" s="92"/>
      <c r="D29" s="98" t="e">
        <f>IF(ProjekatEEE=0,"/","ELABORAT ENERGETSKE EFIKASNOSTI")</f>
        <v>#REF!</v>
      </c>
      <c r="E29" s="60"/>
    </row>
    <row r="30" spans="3:5" x14ac:dyDescent="0.2">
      <c r="C30" s="92"/>
      <c r="D30" s="98"/>
      <c r="E30" s="60"/>
    </row>
    <row r="31" spans="3:5" x14ac:dyDescent="0.2">
      <c r="C31" s="92"/>
      <c r="D31" s="98" t="e">
        <f>IF(ProjekatPPZ=0,"/","ELABORAT ZAŠTITE OD POŽARA")</f>
        <v>#REF!</v>
      </c>
      <c r="E31" s="60"/>
    </row>
    <row r="32" spans="3:5" x14ac:dyDescent="0.2">
      <c r="C32" s="92"/>
      <c r="D32" s="78"/>
      <c r="E32" s="60"/>
    </row>
    <row r="33" spans="3:5" x14ac:dyDescent="0.2">
      <c r="C33" s="93"/>
      <c r="D33" s="93"/>
      <c r="E33" s="93"/>
    </row>
    <row r="34" spans="3:5" x14ac:dyDescent="0.2">
      <c r="E34" s="89"/>
    </row>
    <row r="53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E115"/>
  <sheetViews>
    <sheetView showGridLines="0" showRowColHeaders="0" workbookViewId="0">
      <pane ySplit="1" topLeftCell="A17" activePane="bottomLeft" state="frozen"/>
      <selection activeCell="F24" sqref="F24"/>
      <selection pane="bottomLeft" activeCell="F24" sqref="F24"/>
    </sheetView>
  </sheetViews>
  <sheetFormatPr defaultRowHeight="15" x14ac:dyDescent="0.2"/>
  <cols>
    <col min="1" max="3" width="2.21875" style="91" customWidth="1"/>
    <col min="4" max="4" width="69.77734375" style="91" customWidth="1"/>
    <col min="5" max="187" width="2.21875" style="91" customWidth="1"/>
    <col min="188" max="16384" width="8.88671875" style="91"/>
  </cols>
  <sheetData>
    <row r="1" spans="3:5" s="90" customFormat="1" ht="30" customHeight="1" thickBot="1" x14ac:dyDescent="0.25"/>
    <row r="2" spans="3:5" ht="15.75" thickTop="1" x14ac:dyDescent="0.2"/>
    <row r="7" spans="3:5" x14ac:dyDescent="0.2">
      <c r="C7" s="75"/>
      <c r="D7" s="75"/>
      <c r="E7" s="75"/>
    </row>
    <row r="8" spans="3:5" x14ac:dyDescent="0.2">
      <c r="C8" s="92"/>
      <c r="D8" s="76"/>
      <c r="E8" s="60"/>
    </row>
    <row r="9" spans="3:5" x14ac:dyDescent="0.2">
      <c r="C9" s="92"/>
      <c r="D9" s="78"/>
      <c r="E9" s="60"/>
    </row>
    <row r="10" spans="3:5" x14ac:dyDescent="0.2">
      <c r="C10" s="92"/>
      <c r="D10" s="78"/>
      <c r="E10" s="60"/>
    </row>
    <row r="11" spans="3:5" ht="15.75" x14ac:dyDescent="0.25">
      <c r="C11" s="92"/>
      <c r="D11" s="79" t="s">
        <v>128</v>
      </c>
      <c r="E11" s="60"/>
    </row>
    <row r="12" spans="3:5" x14ac:dyDescent="0.2">
      <c r="C12" s="92"/>
      <c r="D12" s="78"/>
      <c r="E12" s="60"/>
    </row>
    <row r="13" spans="3:5" x14ac:dyDescent="0.2">
      <c r="C13" s="92"/>
      <c r="D13" s="78"/>
      <c r="E13" s="60"/>
    </row>
    <row r="14" spans="3:5" x14ac:dyDescent="0.2">
      <c r="C14" s="92"/>
      <c r="D14" s="100" t="s">
        <v>126</v>
      </c>
      <c r="E14" s="60"/>
    </row>
    <row r="15" spans="3:5" x14ac:dyDescent="0.2">
      <c r="C15" s="92"/>
      <c r="D15" s="96" t="str">
        <f>IF(ProjektnaOrganizacijaGS=0,"...",ProjektnaOrganizacijaGS)</f>
        <v>...</v>
      </c>
      <c r="E15" s="60"/>
    </row>
    <row r="16" spans="3:5" x14ac:dyDescent="0.2">
      <c r="C16" s="92"/>
      <c r="D16" s="83" t="s">
        <v>108</v>
      </c>
      <c r="E16" s="60"/>
    </row>
    <row r="17" spans="3:5" x14ac:dyDescent="0.2">
      <c r="C17" s="92"/>
      <c r="D17" s="78"/>
      <c r="E17" s="60"/>
    </row>
    <row r="18" spans="3:5" x14ac:dyDescent="0.2">
      <c r="C18" s="92"/>
      <c r="D18" s="78"/>
      <c r="E18" s="60"/>
    </row>
    <row r="19" spans="3:5" x14ac:dyDescent="0.2">
      <c r="C19" s="92"/>
      <c r="D19" s="78"/>
      <c r="E19" s="60"/>
    </row>
    <row r="20" spans="3:5" x14ac:dyDescent="0.2">
      <c r="C20" s="92"/>
      <c r="D20" s="78"/>
      <c r="E20" s="60"/>
    </row>
    <row r="21" spans="3:5" x14ac:dyDescent="0.2">
      <c r="C21" s="92"/>
      <c r="D21" s="85" t="e">
        <f>IF(GlavniProjektant=0,"...",GlavniProjektant)</f>
        <v>#REF!</v>
      </c>
      <c r="E21" s="60"/>
    </row>
    <row r="22" spans="3:5" x14ac:dyDescent="0.2">
      <c r="C22" s="92"/>
      <c r="D22" s="86" t="s">
        <v>32</v>
      </c>
      <c r="E22" s="60"/>
    </row>
    <row r="23" spans="3:5" x14ac:dyDescent="0.2">
      <c r="C23" s="92"/>
      <c r="D23" s="78"/>
      <c r="E23" s="60"/>
    </row>
    <row r="24" spans="3:5" x14ac:dyDescent="0.2">
      <c r="C24" s="92"/>
      <c r="D24" s="78"/>
      <c r="E24" s="60"/>
    </row>
    <row r="25" spans="3:5" x14ac:dyDescent="0.2">
      <c r="C25" s="92"/>
      <c r="D25" s="100" t="s">
        <v>129</v>
      </c>
      <c r="E25" s="60"/>
    </row>
    <row r="26" spans="3:5" x14ac:dyDescent="0.2">
      <c r="C26" s="92"/>
      <c r="D26" s="96" t="str">
        <f>IF(ProjekatA=0,"/",IF(ProjektnaOrganizacijaA=0,"...",ProjektnaOrganizacijaA))</f>
        <v>/</v>
      </c>
      <c r="E26" s="60"/>
    </row>
    <row r="27" spans="3:5" x14ac:dyDescent="0.2">
      <c r="C27" s="92"/>
      <c r="D27" s="83" t="s">
        <v>108</v>
      </c>
      <c r="E27" s="60"/>
    </row>
    <row r="28" spans="3:5" x14ac:dyDescent="0.2">
      <c r="C28" s="92"/>
      <c r="D28" s="78"/>
      <c r="E28" s="60"/>
    </row>
    <row r="29" spans="3:5" x14ac:dyDescent="0.2">
      <c r="C29" s="92"/>
      <c r="D29" s="78"/>
      <c r="E29" s="60"/>
    </row>
    <row r="30" spans="3:5" x14ac:dyDescent="0.2">
      <c r="C30" s="92"/>
      <c r="D30" s="78"/>
      <c r="E30" s="60"/>
    </row>
    <row r="31" spans="3:5" x14ac:dyDescent="0.2">
      <c r="C31" s="92"/>
      <c r="D31" s="78"/>
      <c r="E31" s="60"/>
    </row>
    <row r="32" spans="3:5" x14ac:dyDescent="0.2">
      <c r="C32" s="92"/>
      <c r="D32" s="85" t="str">
        <f>IF(ProjekatA=0,"/",IF(OdgovorniProjektantA=0,"...",OdgovorniProjektantA))</f>
        <v>/</v>
      </c>
      <c r="E32" s="60"/>
    </row>
    <row r="33" spans="3:5" x14ac:dyDescent="0.2">
      <c r="C33" s="92"/>
      <c r="D33" s="86" t="s">
        <v>34</v>
      </c>
      <c r="E33" s="60"/>
    </row>
    <row r="34" spans="3:5" x14ac:dyDescent="0.2">
      <c r="C34" s="92"/>
      <c r="D34" s="101"/>
      <c r="E34" s="60"/>
    </row>
    <row r="35" spans="3:5" x14ac:dyDescent="0.2">
      <c r="C35" s="92"/>
      <c r="D35" s="101"/>
      <c r="E35" s="60"/>
    </row>
    <row r="36" spans="3:5" x14ac:dyDescent="0.2">
      <c r="C36" s="92"/>
      <c r="D36" s="100" t="s">
        <v>130</v>
      </c>
      <c r="E36" s="60"/>
    </row>
    <row r="37" spans="3:5" x14ac:dyDescent="0.2">
      <c r="C37" s="92"/>
      <c r="D37" s="96" t="e">
        <f>IF(ProjekatK=0,"/",IF(ProjektnaOrganizacijaK=0,"...",ProjektnaOrganizacijaK))</f>
        <v>#REF!</v>
      </c>
      <c r="E37" s="60"/>
    </row>
    <row r="38" spans="3:5" x14ac:dyDescent="0.2">
      <c r="C38" s="92"/>
      <c r="D38" s="83" t="s">
        <v>108</v>
      </c>
      <c r="E38" s="60"/>
    </row>
    <row r="39" spans="3:5" x14ac:dyDescent="0.2">
      <c r="C39" s="92"/>
      <c r="D39" s="78"/>
      <c r="E39" s="60"/>
    </row>
    <row r="40" spans="3:5" x14ac:dyDescent="0.2">
      <c r="C40" s="92"/>
      <c r="D40" s="78"/>
      <c r="E40" s="60"/>
    </row>
    <row r="41" spans="3:5" x14ac:dyDescent="0.2">
      <c r="C41" s="92"/>
      <c r="D41" s="78"/>
      <c r="E41" s="60"/>
    </row>
    <row r="42" spans="3:5" x14ac:dyDescent="0.2">
      <c r="C42" s="92"/>
      <c r="D42" s="78"/>
      <c r="E42" s="60"/>
    </row>
    <row r="43" spans="3:5" x14ac:dyDescent="0.2">
      <c r="C43" s="92"/>
      <c r="D43" s="85" t="e">
        <f>IF(ProjekatK=0,"/",IF(OdgovorniProjektantK=0,"...",OdgovorniProjektantK))</f>
        <v>#REF!</v>
      </c>
      <c r="E43" s="60"/>
    </row>
    <row r="44" spans="3:5" x14ac:dyDescent="0.2">
      <c r="C44" s="92"/>
      <c r="D44" s="86" t="s">
        <v>35</v>
      </c>
      <c r="E44" s="60"/>
    </row>
    <row r="45" spans="3:5" x14ac:dyDescent="0.2">
      <c r="C45" s="92"/>
      <c r="D45" s="101"/>
      <c r="E45" s="60"/>
    </row>
    <row r="46" spans="3:5" x14ac:dyDescent="0.2">
      <c r="C46" s="92"/>
      <c r="D46" s="101"/>
      <c r="E46" s="60"/>
    </row>
    <row r="47" spans="3:5" x14ac:dyDescent="0.2">
      <c r="C47" s="92"/>
      <c r="D47" s="101"/>
      <c r="E47" s="60"/>
    </row>
    <row r="48" spans="3:5" x14ac:dyDescent="0.2">
      <c r="C48" s="92"/>
      <c r="D48" s="100" t="s">
        <v>131</v>
      </c>
      <c r="E48" s="60"/>
    </row>
    <row r="49" spans="3:5" x14ac:dyDescent="0.2">
      <c r="C49" s="92"/>
      <c r="D49" s="96" t="e">
        <f>IF(ProjekatH=0,"/",IF(ProjektnaOrganizacijaH=0,"...",ProjektnaOrganizacijaH))</f>
        <v>#REF!</v>
      </c>
      <c r="E49" s="60"/>
    </row>
    <row r="50" spans="3:5" x14ac:dyDescent="0.2">
      <c r="C50" s="92"/>
      <c r="D50" s="83" t="s">
        <v>108</v>
      </c>
      <c r="E50" s="60"/>
    </row>
    <row r="51" spans="3:5" x14ac:dyDescent="0.2">
      <c r="C51" s="92"/>
      <c r="D51" s="78"/>
      <c r="E51" s="60"/>
    </row>
    <row r="52" spans="3:5" x14ac:dyDescent="0.2">
      <c r="C52" s="92"/>
      <c r="D52" s="78"/>
      <c r="E52" s="60"/>
    </row>
    <row r="53" spans="3:5" x14ac:dyDescent="0.2">
      <c r="C53" s="92"/>
      <c r="D53" s="78"/>
      <c r="E53" s="60"/>
    </row>
    <row r="54" spans="3:5" x14ac:dyDescent="0.2">
      <c r="C54" s="92"/>
      <c r="D54" s="78"/>
      <c r="E54" s="60"/>
    </row>
    <row r="55" spans="3:5" x14ac:dyDescent="0.2">
      <c r="C55" s="92"/>
      <c r="D55" s="85" t="e">
        <f>IF(ProjekatH=0,"/",IF(OdgovorniProjektantH=0,"...",OdgovorniProjektantH))</f>
        <v>#REF!</v>
      </c>
      <c r="E55" s="60"/>
    </row>
    <row r="56" spans="3:5" x14ac:dyDescent="0.2">
      <c r="C56" s="92"/>
      <c r="D56" s="86" t="s">
        <v>36</v>
      </c>
      <c r="E56" s="60"/>
    </row>
    <row r="57" spans="3:5" x14ac:dyDescent="0.2">
      <c r="C57" s="92"/>
      <c r="D57" s="101"/>
      <c r="E57" s="60"/>
    </row>
    <row r="58" spans="3:5" x14ac:dyDescent="0.2">
      <c r="C58" s="92"/>
      <c r="D58" s="101"/>
      <c r="E58" s="60"/>
    </row>
    <row r="59" spans="3:5" x14ac:dyDescent="0.2">
      <c r="C59" s="92"/>
      <c r="D59" s="100" t="s">
        <v>132</v>
      </c>
      <c r="E59" s="60"/>
    </row>
    <row r="60" spans="3:5" x14ac:dyDescent="0.2">
      <c r="C60" s="92"/>
      <c r="D60" s="96" t="e">
        <f>IF(ProjekatE=0,"/",IF(ProjektnaOrganizacijaE=0,"...",ProjektnaOrganizacijaE))</f>
        <v>#REF!</v>
      </c>
      <c r="E60" s="60"/>
    </row>
    <row r="61" spans="3:5" x14ac:dyDescent="0.2">
      <c r="C61" s="92"/>
      <c r="D61" s="83" t="s">
        <v>108</v>
      </c>
      <c r="E61" s="60"/>
    </row>
    <row r="62" spans="3:5" x14ac:dyDescent="0.2">
      <c r="C62" s="92"/>
      <c r="D62" s="78"/>
      <c r="E62" s="60"/>
    </row>
    <row r="63" spans="3:5" x14ac:dyDescent="0.2">
      <c r="C63" s="92"/>
      <c r="D63" s="78"/>
      <c r="E63" s="60"/>
    </row>
    <row r="64" spans="3:5" x14ac:dyDescent="0.2">
      <c r="C64" s="92"/>
      <c r="D64" s="78"/>
      <c r="E64" s="60"/>
    </row>
    <row r="65" spans="3:5" x14ac:dyDescent="0.2">
      <c r="C65" s="92"/>
      <c r="D65" s="78"/>
      <c r="E65" s="60"/>
    </row>
    <row r="66" spans="3:5" x14ac:dyDescent="0.2">
      <c r="C66" s="92"/>
      <c r="D66" s="85" t="e">
        <f>IF(ProjekatE=0,"/",IF(OdgovorniProjektantE=0,"...",OdgovorniProjektantE))</f>
        <v>#REF!</v>
      </c>
      <c r="E66" s="60"/>
    </row>
    <row r="67" spans="3:5" x14ac:dyDescent="0.2">
      <c r="C67" s="92"/>
      <c r="D67" s="86" t="s">
        <v>37</v>
      </c>
      <c r="E67" s="60"/>
    </row>
    <row r="68" spans="3:5" x14ac:dyDescent="0.2">
      <c r="C68" s="92"/>
      <c r="D68" s="101"/>
      <c r="E68" s="60"/>
    </row>
    <row r="69" spans="3:5" x14ac:dyDescent="0.2">
      <c r="C69" s="92"/>
      <c r="D69" s="101"/>
      <c r="E69" s="60"/>
    </row>
    <row r="70" spans="3:5" x14ac:dyDescent="0.2">
      <c r="C70" s="92"/>
      <c r="D70" s="100" t="s">
        <v>133</v>
      </c>
      <c r="E70" s="60"/>
    </row>
    <row r="71" spans="3:5" x14ac:dyDescent="0.2">
      <c r="C71" s="92"/>
      <c r="D71" s="96" t="e">
        <f>IF(ProjekatTS=0,"/",IF(ProjektnaOrganizacijaTS=0,"...",ProjektnaOrganizacijaTS))</f>
        <v>#REF!</v>
      </c>
      <c r="E71" s="60"/>
    </row>
    <row r="72" spans="3:5" x14ac:dyDescent="0.2">
      <c r="C72" s="92"/>
      <c r="D72" s="83" t="s">
        <v>108</v>
      </c>
      <c r="E72" s="60"/>
    </row>
    <row r="73" spans="3:5" x14ac:dyDescent="0.2">
      <c r="C73" s="92"/>
      <c r="D73" s="78"/>
      <c r="E73" s="60"/>
    </row>
    <row r="74" spans="3:5" x14ac:dyDescent="0.2">
      <c r="C74" s="92"/>
      <c r="D74" s="78"/>
      <c r="E74" s="60"/>
    </row>
    <row r="75" spans="3:5" x14ac:dyDescent="0.2">
      <c r="C75" s="92"/>
      <c r="D75" s="78"/>
      <c r="E75" s="60"/>
    </row>
    <row r="76" spans="3:5" x14ac:dyDescent="0.2">
      <c r="C76" s="92"/>
      <c r="D76" s="78"/>
      <c r="E76" s="60"/>
    </row>
    <row r="77" spans="3:5" x14ac:dyDescent="0.2">
      <c r="C77" s="92"/>
      <c r="D77" s="85" t="e">
        <f>IF(ProjekatTS=0,"/",IF(OdgovorniProjektantTS=0,"...",OdgovorniProjektantTS))</f>
        <v>#REF!</v>
      </c>
      <c r="E77" s="60"/>
    </row>
    <row r="78" spans="3:5" x14ac:dyDescent="0.2">
      <c r="C78" s="92"/>
      <c r="D78" s="86" t="s">
        <v>38</v>
      </c>
      <c r="E78" s="60"/>
    </row>
    <row r="79" spans="3:5" x14ac:dyDescent="0.2">
      <c r="C79" s="92"/>
      <c r="D79" s="101"/>
      <c r="E79" s="60"/>
    </row>
    <row r="80" spans="3:5" x14ac:dyDescent="0.2">
      <c r="C80" s="92"/>
      <c r="D80" s="101"/>
      <c r="E80" s="60"/>
    </row>
    <row r="81" spans="3:5" x14ac:dyDescent="0.2">
      <c r="C81" s="92"/>
      <c r="D81" s="100" t="s">
        <v>134</v>
      </c>
      <c r="E81" s="60"/>
    </row>
    <row r="82" spans="3:5" x14ac:dyDescent="0.2">
      <c r="C82" s="92"/>
      <c r="D82" s="96" t="e">
        <f>IF(ProjekatM=0,"/",IF(ProjektnaOrganizacijaM=0,"...",ProjektnaOrganizacijaM))</f>
        <v>#REF!</v>
      </c>
      <c r="E82" s="60"/>
    </row>
    <row r="83" spans="3:5" x14ac:dyDescent="0.2">
      <c r="C83" s="92"/>
      <c r="D83" s="83" t="s">
        <v>108</v>
      </c>
      <c r="E83" s="60"/>
    </row>
    <row r="84" spans="3:5" x14ac:dyDescent="0.2">
      <c r="C84" s="92"/>
      <c r="D84" s="78"/>
      <c r="E84" s="60"/>
    </row>
    <row r="85" spans="3:5" x14ac:dyDescent="0.2">
      <c r="C85" s="92"/>
      <c r="D85" s="78"/>
      <c r="E85" s="60"/>
    </row>
    <row r="86" spans="3:5" x14ac:dyDescent="0.2">
      <c r="C86" s="92"/>
      <c r="D86" s="78"/>
      <c r="E86" s="60"/>
    </row>
    <row r="87" spans="3:5" x14ac:dyDescent="0.2">
      <c r="C87" s="92"/>
      <c r="D87" s="78"/>
      <c r="E87" s="60"/>
    </row>
    <row r="88" spans="3:5" x14ac:dyDescent="0.2">
      <c r="C88" s="92"/>
      <c r="D88" s="85" t="e">
        <f>IF(ProjekatM=0,"/",IF(OdgovorniProjektantM=0,"...",OdgovorniProjektantM))</f>
        <v>#REF!</v>
      </c>
      <c r="E88" s="60"/>
    </row>
    <row r="89" spans="3:5" x14ac:dyDescent="0.2">
      <c r="C89" s="92"/>
      <c r="D89" s="86" t="s">
        <v>39</v>
      </c>
      <c r="E89" s="60"/>
    </row>
    <row r="90" spans="3:5" x14ac:dyDescent="0.2">
      <c r="C90" s="92"/>
      <c r="D90" s="101"/>
      <c r="E90" s="60"/>
    </row>
    <row r="91" spans="3:5" x14ac:dyDescent="0.2">
      <c r="C91" s="92"/>
      <c r="D91" s="101"/>
      <c r="E91" s="60"/>
    </row>
    <row r="92" spans="3:5" x14ac:dyDescent="0.2">
      <c r="C92" s="92"/>
      <c r="D92" s="101"/>
      <c r="E92" s="60"/>
    </row>
    <row r="93" spans="3:5" x14ac:dyDescent="0.2">
      <c r="C93" s="92"/>
      <c r="D93" s="100" t="s">
        <v>135</v>
      </c>
      <c r="E93" s="60"/>
    </row>
    <row r="94" spans="3:5" x14ac:dyDescent="0.2">
      <c r="C94" s="92"/>
      <c r="D94" s="96" t="e">
        <f>IF(ProjekatEEE=0,"/",IF(ProjektnaOrganizacijaEEE=0,"...",ProjektnaOrganizacijaEEE))</f>
        <v>#REF!</v>
      </c>
      <c r="E94" s="60"/>
    </row>
    <row r="95" spans="3:5" x14ac:dyDescent="0.2">
      <c r="C95" s="92"/>
      <c r="D95" s="83" t="s">
        <v>108</v>
      </c>
      <c r="E95" s="60"/>
    </row>
    <row r="96" spans="3:5" x14ac:dyDescent="0.2">
      <c r="C96" s="92"/>
      <c r="D96" s="78"/>
      <c r="E96" s="60"/>
    </row>
    <row r="97" spans="3:5" x14ac:dyDescent="0.2">
      <c r="C97" s="92"/>
      <c r="D97" s="78"/>
      <c r="E97" s="60"/>
    </row>
    <row r="98" spans="3:5" x14ac:dyDescent="0.2">
      <c r="C98" s="92"/>
      <c r="D98" s="78"/>
      <c r="E98" s="60"/>
    </row>
    <row r="99" spans="3:5" x14ac:dyDescent="0.2">
      <c r="C99" s="92"/>
      <c r="D99" s="78"/>
      <c r="E99" s="60"/>
    </row>
    <row r="100" spans="3:5" x14ac:dyDescent="0.2">
      <c r="C100" s="92"/>
      <c r="D100" s="85" t="e">
        <f>IF(ProjekatEEE=0,"/",IF(OdgovorniProjektantEEE=0,"...",OdgovorniProjektantEEE))</f>
        <v>#REF!</v>
      </c>
      <c r="E100" s="60"/>
    </row>
    <row r="101" spans="3:5" x14ac:dyDescent="0.2">
      <c r="C101" s="92"/>
      <c r="D101" s="86" t="s">
        <v>136</v>
      </c>
      <c r="E101" s="60"/>
    </row>
    <row r="102" spans="3:5" x14ac:dyDescent="0.2">
      <c r="C102" s="92"/>
      <c r="D102" s="101"/>
      <c r="E102" s="60"/>
    </row>
    <row r="103" spans="3:5" x14ac:dyDescent="0.2">
      <c r="C103" s="92"/>
      <c r="D103" s="101"/>
      <c r="E103" s="60"/>
    </row>
    <row r="104" spans="3:5" x14ac:dyDescent="0.2">
      <c r="C104" s="92"/>
      <c r="D104" s="100" t="s">
        <v>137</v>
      </c>
      <c r="E104" s="60"/>
    </row>
    <row r="105" spans="3:5" x14ac:dyDescent="0.2">
      <c r="C105" s="92"/>
      <c r="D105" s="96" t="e">
        <f>IF(ProjekatPPZ=0,"/",IF(ProjektnaOrganizacijaPPZ=0,"...",ProjektnaOrganizacijaPPZ))</f>
        <v>#REF!</v>
      </c>
      <c r="E105" s="60"/>
    </row>
    <row r="106" spans="3:5" x14ac:dyDescent="0.2">
      <c r="C106" s="92"/>
      <c r="D106" s="83" t="s">
        <v>108</v>
      </c>
      <c r="E106" s="60"/>
    </row>
    <row r="107" spans="3:5" x14ac:dyDescent="0.2">
      <c r="C107" s="92"/>
      <c r="D107" s="78"/>
      <c r="E107" s="60"/>
    </row>
    <row r="108" spans="3:5" x14ac:dyDescent="0.2">
      <c r="C108" s="92"/>
      <c r="D108" s="78"/>
      <c r="E108" s="60"/>
    </row>
    <row r="109" spans="3:5" x14ac:dyDescent="0.2">
      <c r="C109" s="92"/>
      <c r="D109" s="78"/>
      <c r="E109" s="60"/>
    </row>
    <row r="110" spans="3:5" x14ac:dyDescent="0.2">
      <c r="C110" s="92"/>
      <c r="D110" s="78"/>
      <c r="E110" s="60"/>
    </row>
    <row r="111" spans="3:5" x14ac:dyDescent="0.2">
      <c r="C111" s="92"/>
      <c r="D111" s="85" t="e">
        <f>IF(ProjekatPPZ=0,"/",IF(OdgovorniProjektantPPZ=0,"...",OdgovorniProjektantPPZ))</f>
        <v>#REF!</v>
      </c>
      <c r="E111" s="60"/>
    </row>
    <row r="112" spans="3:5" x14ac:dyDescent="0.2">
      <c r="C112" s="92"/>
      <c r="D112" s="86" t="s">
        <v>138</v>
      </c>
      <c r="E112" s="60"/>
    </row>
    <row r="113" spans="3:5" x14ac:dyDescent="0.2">
      <c r="C113" s="92"/>
      <c r="D113" s="101"/>
      <c r="E113" s="60"/>
    </row>
    <row r="114" spans="3:5" x14ac:dyDescent="0.2">
      <c r="C114" s="93"/>
      <c r="D114" s="93"/>
      <c r="E114" s="93"/>
    </row>
    <row r="115" spans="3:5" x14ac:dyDescent="0.2">
      <c r="E115" s="89"/>
    </row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rowBreaks count="1" manualBreakCount="1">
    <brk id="45" max="16383" man="1"/>
  </rowBreaks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E94"/>
  <sheetViews>
    <sheetView showGridLines="0" showRowColHeaders="0" workbookViewId="0">
      <pane ySplit="1" topLeftCell="A2" activePane="bottomLeft" state="frozen"/>
      <selection activeCell="F24" sqref="F24"/>
      <selection pane="bottomLeft" activeCell="F24" sqref="F24"/>
    </sheetView>
  </sheetViews>
  <sheetFormatPr defaultRowHeight="15" x14ac:dyDescent="0.2"/>
  <cols>
    <col min="1" max="3" width="2.21875" style="91" customWidth="1"/>
    <col min="4" max="4" width="69.77734375" style="91" customWidth="1"/>
    <col min="5" max="187" width="2.21875" style="91" customWidth="1"/>
    <col min="188" max="16384" width="8.88671875" style="91"/>
  </cols>
  <sheetData>
    <row r="1" spans="3:5" s="90" customFormat="1" ht="30" customHeight="1" thickBot="1" x14ac:dyDescent="0.25"/>
    <row r="2" spans="3:5" ht="15.75" thickTop="1" x14ac:dyDescent="0.2"/>
    <row r="7" spans="3:5" x14ac:dyDescent="0.2">
      <c r="C7" s="75"/>
      <c r="D7" s="75"/>
      <c r="E7" s="75"/>
    </row>
    <row r="8" spans="3:5" x14ac:dyDescent="0.2">
      <c r="C8" s="92"/>
      <c r="D8" s="76"/>
      <c r="E8" s="60"/>
    </row>
    <row r="9" spans="3:5" x14ac:dyDescent="0.2">
      <c r="C9" s="92"/>
      <c r="D9" s="78"/>
      <c r="E9" s="60"/>
    </row>
    <row r="10" spans="3:5" x14ac:dyDescent="0.2">
      <c r="C10" s="92"/>
      <c r="D10" s="78"/>
      <c r="E10" s="60"/>
    </row>
    <row r="11" spans="3:5" ht="15.75" x14ac:dyDescent="0.25">
      <c r="C11" s="92"/>
      <c r="D11" s="79" t="s">
        <v>139</v>
      </c>
      <c r="E11" s="60"/>
    </row>
    <row r="12" spans="3:5" x14ac:dyDescent="0.2">
      <c r="C12" s="92"/>
      <c r="D12" s="78"/>
      <c r="E12" s="60"/>
    </row>
    <row r="13" spans="3:5" x14ac:dyDescent="0.2">
      <c r="C13" s="92"/>
      <c r="D13" s="78"/>
      <c r="E13" s="60"/>
    </row>
    <row r="14" spans="3:5" x14ac:dyDescent="0.2">
      <c r="C14" s="92"/>
      <c r="D14" s="100" t="s">
        <v>140</v>
      </c>
      <c r="E14" s="60"/>
    </row>
    <row r="15" spans="3:5" x14ac:dyDescent="0.2">
      <c r="C15" s="92"/>
      <c r="D15" s="96" t="str">
        <f>IF(TipObjekta=0,"...",TipObjekta)</f>
        <v>...</v>
      </c>
      <c r="E15" s="60"/>
    </row>
    <row r="16" spans="3:5" x14ac:dyDescent="0.2">
      <c r="C16" s="92"/>
      <c r="D16" s="83" t="s">
        <v>42</v>
      </c>
      <c r="E16" s="60"/>
    </row>
    <row r="17" spans="3:5" x14ac:dyDescent="0.2">
      <c r="C17" s="92"/>
      <c r="D17" s="85" t="str">
        <f>IF(KategorijaObjekta=0,"...",KategorijaObjekta)</f>
        <v>...</v>
      </c>
      <c r="E17" s="60"/>
    </row>
    <row r="18" spans="3:5" x14ac:dyDescent="0.2">
      <c r="C18" s="92"/>
      <c r="D18" s="83" t="s">
        <v>44</v>
      </c>
      <c r="E18" s="60"/>
    </row>
    <row r="19" spans="3:5" x14ac:dyDescent="0.2">
      <c r="C19" s="92"/>
      <c r="D19" s="85" t="str">
        <f>IF(UcesceKlasifikacija=0,"...",UcesceKlasifikacija)</f>
        <v>...</v>
      </c>
      <c r="E19" s="60"/>
    </row>
    <row r="20" spans="3:5" x14ac:dyDescent="0.2">
      <c r="C20" s="92"/>
      <c r="D20" s="83" t="s">
        <v>46</v>
      </c>
      <c r="E20" s="60"/>
    </row>
    <row r="21" spans="3:5" x14ac:dyDescent="0.2">
      <c r="C21" s="92"/>
      <c r="D21" s="85" t="str">
        <f>IF(UrbanistickiPlan=0,"...",UrbanistickiPlan)</f>
        <v>...</v>
      </c>
      <c r="E21" s="60"/>
    </row>
    <row r="22" spans="3:5" x14ac:dyDescent="0.2">
      <c r="C22" s="92"/>
      <c r="D22" s="83" t="s">
        <v>48</v>
      </c>
      <c r="E22" s="60"/>
    </row>
    <row r="23" spans="3:5" x14ac:dyDescent="0.2">
      <c r="C23" s="92"/>
      <c r="D23" s="85" t="str">
        <f>IF(KatastarskeParcele=0,"...",KatastarskeParcele)</f>
        <v>...</v>
      </c>
      <c r="E23" s="60"/>
    </row>
    <row r="24" spans="3:5" x14ac:dyDescent="0.2">
      <c r="C24" s="92"/>
      <c r="D24" s="102" t="s">
        <v>50</v>
      </c>
      <c r="E24" s="60"/>
    </row>
    <row r="25" spans="3:5" x14ac:dyDescent="0.2">
      <c r="C25" s="92"/>
      <c r="D25" s="78"/>
      <c r="E25" s="60"/>
    </row>
    <row r="26" spans="3:5" x14ac:dyDescent="0.2">
      <c r="C26" s="92"/>
      <c r="D26" s="78"/>
      <c r="E26" s="60"/>
    </row>
    <row r="27" spans="3:5" x14ac:dyDescent="0.2">
      <c r="C27" s="92"/>
      <c r="D27" s="78"/>
      <c r="E27" s="60"/>
    </row>
    <row r="28" spans="3:5" x14ac:dyDescent="0.2">
      <c r="C28" s="92"/>
      <c r="D28" s="100" t="s">
        <v>141</v>
      </c>
      <c r="E28" s="60"/>
    </row>
    <row r="29" spans="3:5" x14ac:dyDescent="0.2">
      <c r="C29" s="92"/>
      <c r="D29" s="96" t="str">
        <f>IF(PrikljucakNaVodovod=0,"...",PrikljucakNaVodovod)</f>
        <v>...</v>
      </c>
      <c r="E29" s="60"/>
    </row>
    <row r="30" spans="3:5" x14ac:dyDescent="0.2">
      <c r="C30" s="92"/>
      <c r="D30" s="83" t="s">
        <v>53</v>
      </c>
      <c r="E30" s="60"/>
    </row>
    <row r="31" spans="3:5" x14ac:dyDescent="0.2">
      <c r="C31" s="92"/>
      <c r="D31" s="85" t="str">
        <f>IF(PrikljucakNaKanalizaciju=0,"...",PrikljucakNaKanalizaciju)</f>
        <v>...</v>
      </c>
      <c r="E31" s="60"/>
    </row>
    <row r="32" spans="3:5" x14ac:dyDescent="0.2">
      <c r="C32" s="92"/>
      <c r="D32" s="83" t="s">
        <v>55</v>
      </c>
      <c r="E32" s="60"/>
    </row>
    <row r="33" spans="3:5" x14ac:dyDescent="0.2">
      <c r="C33" s="92"/>
      <c r="D33" s="85" t="str">
        <f>IF(PrikljucakNaStruju=0,"...",PrikljucakNaStruju)</f>
        <v>...</v>
      </c>
      <c r="E33" s="60"/>
    </row>
    <row r="34" spans="3:5" x14ac:dyDescent="0.2">
      <c r="C34" s="92"/>
      <c r="D34" s="86" t="s">
        <v>57</v>
      </c>
      <c r="E34" s="60"/>
    </row>
    <row r="35" spans="3:5" x14ac:dyDescent="0.2">
      <c r="C35" s="92"/>
      <c r="D35" s="78"/>
      <c r="E35" s="60"/>
    </row>
    <row r="36" spans="3:5" x14ac:dyDescent="0.2">
      <c r="C36" s="92"/>
      <c r="D36" s="78"/>
      <c r="E36" s="60"/>
    </row>
    <row r="37" spans="3:5" x14ac:dyDescent="0.2">
      <c r="C37" s="92"/>
      <c r="D37" s="78"/>
      <c r="E37" s="60"/>
    </row>
    <row r="38" spans="3:5" x14ac:dyDescent="0.2">
      <c r="C38" s="92"/>
      <c r="D38" s="103" t="s">
        <v>142</v>
      </c>
      <c r="E38" s="60"/>
    </row>
    <row r="39" spans="3:5" x14ac:dyDescent="0.2">
      <c r="C39" s="92"/>
      <c r="D39" s="104" t="str">
        <f>IF(LokacijskiUslovi=0,"...",LokacijskiUslovi)</f>
        <v>...</v>
      </c>
      <c r="E39" s="60"/>
    </row>
    <row r="40" spans="3:5" x14ac:dyDescent="0.2">
      <c r="C40" s="92"/>
      <c r="D40" s="78"/>
      <c r="E40" s="60"/>
    </row>
    <row r="41" spans="3:5" x14ac:dyDescent="0.2">
      <c r="C41" s="92"/>
      <c r="D41" s="78"/>
      <c r="E41" s="60"/>
    </row>
    <row r="42" spans="3:5" x14ac:dyDescent="0.2">
      <c r="C42" s="92"/>
      <c r="D42" s="78"/>
      <c r="E42" s="60"/>
    </row>
    <row r="43" spans="3:5" x14ac:dyDescent="0.2">
      <c r="C43" s="92"/>
      <c r="D43" s="100" t="s">
        <v>143</v>
      </c>
      <c r="E43" s="60"/>
    </row>
    <row r="44" spans="3:5" x14ac:dyDescent="0.2">
      <c r="C44" s="92"/>
      <c r="D44" s="105" t="str">
        <f>IF(PovrsinaParcele=0,"...",PovrsinaParcele)</f>
        <v>...</v>
      </c>
      <c r="E44" s="60"/>
    </row>
    <row r="45" spans="3:5" x14ac:dyDescent="0.2">
      <c r="C45" s="92"/>
      <c r="D45" s="83" t="s">
        <v>144</v>
      </c>
      <c r="E45" s="60"/>
    </row>
    <row r="46" spans="3:5" x14ac:dyDescent="0.2">
      <c r="C46" s="92"/>
      <c r="D46" s="106" t="str">
        <f>IF(UkupnaBrutoPovrsinaNadzemno=0,"...",UkupnaBrutoPovrsinaNadzemno)</f>
        <v>...</v>
      </c>
      <c r="E46" s="60"/>
    </row>
    <row r="47" spans="3:5" x14ac:dyDescent="0.2">
      <c r="C47" s="92"/>
      <c r="D47" s="83" t="s">
        <v>65</v>
      </c>
      <c r="E47" s="60"/>
    </row>
    <row r="48" spans="3:5" x14ac:dyDescent="0.2">
      <c r="C48" s="92"/>
      <c r="D48" s="106" t="str">
        <f>IF(UkupnaBrutoPovrsina=0,"...",UkupnaBrutoPovrsina)</f>
        <v>...</v>
      </c>
      <c r="E48" s="60"/>
    </row>
    <row r="49" spans="3:5" x14ac:dyDescent="0.2">
      <c r="C49" s="92"/>
      <c r="D49" s="83" t="s">
        <v>67</v>
      </c>
      <c r="E49" s="60"/>
    </row>
    <row r="50" spans="3:5" x14ac:dyDescent="0.2">
      <c r="C50" s="92"/>
      <c r="D50" s="106" t="str">
        <f>IF(UkupnaNetoPovrsina=0,"...",UkupnaNetoPovrsina)</f>
        <v>...</v>
      </c>
      <c r="E50" s="60"/>
    </row>
    <row r="51" spans="3:5" x14ac:dyDescent="0.2">
      <c r="C51" s="92"/>
      <c r="D51" s="83" t="s">
        <v>68</v>
      </c>
      <c r="E51" s="60"/>
    </row>
    <row r="52" spans="3:5" x14ac:dyDescent="0.2">
      <c r="C52" s="92"/>
      <c r="D52" s="106" t="str">
        <f>IF(BrutoPovrsinaPr=0,"...",BrutoPovrsinaPr)</f>
        <v>...</v>
      </c>
      <c r="E52" s="60"/>
    </row>
    <row r="53" spans="3:5" x14ac:dyDescent="0.2">
      <c r="C53" s="92"/>
      <c r="D53" s="83" t="s">
        <v>145</v>
      </c>
      <c r="E53" s="60"/>
    </row>
    <row r="54" spans="3:5" x14ac:dyDescent="0.2">
      <c r="C54" s="92"/>
      <c r="D54" s="106" t="str">
        <f>IF(Zauzetost=0,"...",Zauzetost)</f>
        <v>...</v>
      </c>
      <c r="E54" s="60"/>
    </row>
    <row r="55" spans="3:5" x14ac:dyDescent="0.2">
      <c r="C55" s="92"/>
      <c r="D55" s="83" t="s">
        <v>71</v>
      </c>
      <c r="E55" s="60"/>
    </row>
    <row r="56" spans="3:5" x14ac:dyDescent="0.2">
      <c r="C56" s="92"/>
      <c r="D56" s="85" t="str">
        <f>IF(Spratnost=0,"...",Spratnost)</f>
        <v>...</v>
      </c>
      <c r="E56" s="60"/>
    </row>
    <row r="57" spans="3:5" x14ac:dyDescent="0.2">
      <c r="C57" s="92"/>
      <c r="D57" s="83" t="s">
        <v>72</v>
      </c>
      <c r="E57" s="60"/>
    </row>
    <row r="58" spans="3:5" x14ac:dyDescent="0.2">
      <c r="C58" s="92"/>
      <c r="D58" s="106" t="str">
        <f>IF(VisinaVenca=0,"...",VisinaVenca)</f>
        <v>...</v>
      </c>
      <c r="E58" s="60"/>
    </row>
    <row r="59" spans="3:5" x14ac:dyDescent="0.2">
      <c r="C59" s="92"/>
      <c r="D59" s="83" t="s">
        <v>74</v>
      </c>
      <c r="E59" s="60"/>
    </row>
    <row r="60" spans="3:5" x14ac:dyDescent="0.2">
      <c r="C60" s="92"/>
      <c r="D60" s="106" t="str">
        <f>IF(VisinaSlemena=0,"...",VisinaSlemena)</f>
        <v>...</v>
      </c>
      <c r="E60" s="60"/>
    </row>
    <row r="61" spans="3:5" x14ac:dyDescent="0.2">
      <c r="C61" s="92"/>
      <c r="D61" s="83" t="s">
        <v>76</v>
      </c>
      <c r="E61" s="60"/>
    </row>
    <row r="62" spans="3:5" x14ac:dyDescent="0.2">
      <c r="C62" s="92"/>
      <c r="D62" s="106" t="str">
        <f>IF(SpratnaVisina=0,"...",SpratnaVisina)</f>
        <v>...</v>
      </c>
      <c r="E62" s="60"/>
    </row>
    <row r="63" spans="3:5" x14ac:dyDescent="0.2">
      <c r="C63" s="92"/>
      <c r="D63" s="83" t="s">
        <v>78</v>
      </c>
      <c r="E63" s="60"/>
    </row>
    <row r="64" spans="3:5" x14ac:dyDescent="0.2">
      <c r="C64" s="92"/>
      <c r="D64" s="107" t="str">
        <f>IF(BrojFunkcionalnihJedinica=0,"...",BrojFunkcionalnihJedinica)</f>
        <v>...</v>
      </c>
      <c r="E64" s="60"/>
    </row>
    <row r="65" spans="3:5" x14ac:dyDescent="0.2">
      <c r="C65" s="92"/>
      <c r="D65" s="83" t="s">
        <v>80</v>
      </c>
      <c r="E65" s="60"/>
    </row>
    <row r="66" spans="3:5" x14ac:dyDescent="0.2">
      <c r="C66" s="92"/>
      <c r="D66" s="107" t="str">
        <f>IF(BrojParkingMesta=0,"...",BrojParkingMesta)</f>
        <v>...</v>
      </c>
      <c r="E66" s="60"/>
    </row>
    <row r="67" spans="3:5" x14ac:dyDescent="0.2">
      <c r="C67" s="92"/>
      <c r="D67" s="86" t="s">
        <v>82</v>
      </c>
      <c r="E67" s="60"/>
    </row>
    <row r="68" spans="3:5" x14ac:dyDescent="0.2">
      <c r="C68" s="92"/>
      <c r="D68" s="78"/>
      <c r="E68" s="60"/>
    </row>
    <row r="69" spans="3:5" x14ac:dyDescent="0.2">
      <c r="C69" s="92"/>
      <c r="D69" s="78"/>
      <c r="E69" s="60"/>
    </row>
    <row r="70" spans="3:5" x14ac:dyDescent="0.2">
      <c r="C70" s="92"/>
      <c r="D70" s="78"/>
      <c r="E70" s="60"/>
    </row>
    <row r="71" spans="3:5" x14ac:dyDescent="0.2">
      <c r="C71" s="92"/>
      <c r="D71" s="100" t="s">
        <v>146</v>
      </c>
      <c r="E71" s="60"/>
    </row>
    <row r="72" spans="3:5" x14ac:dyDescent="0.2">
      <c r="C72" s="92"/>
      <c r="D72" s="96" t="str">
        <f>IF(ObradaFasade=0,"...",ObradaFasade)</f>
        <v>...</v>
      </c>
      <c r="E72" s="60"/>
    </row>
    <row r="73" spans="3:5" x14ac:dyDescent="0.2">
      <c r="C73" s="92"/>
      <c r="D73" s="83" t="s">
        <v>147</v>
      </c>
      <c r="E73" s="60"/>
    </row>
    <row r="74" spans="3:5" x14ac:dyDescent="0.2">
      <c r="C74" s="92"/>
      <c r="D74" s="85" t="str">
        <f>IF(OrjentacijaSlemena=0,"...",OrjentacijaSlemena)</f>
        <v>...</v>
      </c>
      <c r="E74" s="60"/>
    </row>
    <row r="75" spans="3:5" x14ac:dyDescent="0.2">
      <c r="C75" s="92"/>
      <c r="D75" s="83" t="s">
        <v>86</v>
      </c>
      <c r="E75" s="60"/>
    </row>
    <row r="76" spans="3:5" x14ac:dyDescent="0.2">
      <c r="C76" s="92"/>
      <c r="D76" s="106" t="str">
        <f>IF(NagibKrova=0,"...",NagibKrova)</f>
        <v>...</v>
      </c>
      <c r="E76" s="60"/>
    </row>
    <row r="77" spans="3:5" x14ac:dyDescent="0.2">
      <c r="C77" s="92"/>
      <c r="D77" s="83" t="s">
        <v>88</v>
      </c>
      <c r="E77" s="60"/>
    </row>
    <row r="78" spans="3:5" x14ac:dyDescent="0.2">
      <c r="C78" s="92"/>
      <c r="D78" s="85" t="str">
        <f>IF(ObradaKrova=0,"...",ObradaKrova)</f>
        <v>...</v>
      </c>
      <c r="E78" s="60"/>
    </row>
    <row r="79" spans="3:5" x14ac:dyDescent="0.2">
      <c r="C79" s="92"/>
      <c r="D79" s="86" t="s">
        <v>148</v>
      </c>
      <c r="E79" s="60"/>
    </row>
    <row r="80" spans="3:5" x14ac:dyDescent="0.2">
      <c r="C80" s="92"/>
      <c r="D80" s="78"/>
      <c r="E80" s="60"/>
    </row>
    <row r="81" spans="3:5" x14ac:dyDescent="0.2">
      <c r="C81" s="92"/>
      <c r="D81" s="78"/>
      <c r="E81" s="60"/>
    </row>
    <row r="82" spans="3:5" x14ac:dyDescent="0.2">
      <c r="C82" s="92"/>
      <c r="D82" s="78"/>
      <c r="E82" s="60"/>
    </row>
    <row r="83" spans="3:5" x14ac:dyDescent="0.2">
      <c r="C83" s="92"/>
      <c r="D83" s="100" t="s">
        <v>149</v>
      </c>
      <c r="E83" s="60"/>
    </row>
    <row r="84" spans="3:5" x14ac:dyDescent="0.2">
      <c r="C84" s="92"/>
      <c r="D84" s="105" t="str">
        <f>IF(ProcenatZelenihPovrsina=0,"...",ProcenatZelenihPovrsina)</f>
        <v>...</v>
      </c>
      <c r="E84" s="60"/>
    </row>
    <row r="85" spans="3:5" x14ac:dyDescent="0.2">
      <c r="C85" s="92"/>
      <c r="D85" s="83" t="s">
        <v>93</v>
      </c>
      <c r="E85" s="60"/>
    </row>
    <row r="86" spans="3:5" x14ac:dyDescent="0.2">
      <c r="C86" s="92"/>
      <c r="D86" s="108" t="str">
        <f>IF(IndeksZauzetosti=0,"...",IndeksZauzetosti)</f>
        <v>...</v>
      </c>
      <c r="E86" s="60"/>
    </row>
    <row r="87" spans="3:5" x14ac:dyDescent="0.2">
      <c r="C87" s="92"/>
      <c r="D87" s="101" t="s">
        <v>95</v>
      </c>
      <c r="E87" s="60"/>
    </row>
    <row r="88" spans="3:5" x14ac:dyDescent="0.2">
      <c r="C88" s="92"/>
      <c r="D88" s="108" t="str">
        <f>IF(IndeksIzgradjenosti=0,"...",IndeksIzgradjenosti)</f>
        <v>...</v>
      </c>
      <c r="E88" s="60"/>
    </row>
    <row r="89" spans="3:5" x14ac:dyDescent="0.2">
      <c r="C89" s="92"/>
      <c r="D89" s="83" t="s">
        <v>96</v>
      </c>
      <c r="E89" s="60"/>
    </row>
    <row r="90" spans="3:5" x14ac:dyDescent="0.2">
      <c r="C90" s="92"/>
      <c r="D90" s="109" t="str">
        <f>IF(OR(UkupnaBrutoPovrsina=0,CenaPoM2=0),"...",UkupnaBrutoPovrsina*CenaPoM2)</f>
        <v>...</v>
      </c>
      <c r="E90" s="60"/>
    </row>
    <row r="91" spans="3:5" x14ac:dyDescent="0.2">
      <c r="C91" s="92"/>
      <c r="D91" s="86" t="s">
        <v>150</v>
      </c>
      <c r="E91" s="60"/>
    </row>
    <row r="92" spans="3:5" x14ac:dyDescent="0.2">
      <c r="C92" s="92"/>
      <c r="D92" s="78"/>
      <c r="E92" s="60"/>
    </row>
    <row r="93" spans="3:5" x14ac:dyDescent="0.2">
      <c r="C93" s="93"/>
      <c r="D93" s="93"/>
      <c r="E93" s="93"/>
    </row>
    <row r="94" spans="3:5" x14ac:dyDescent="0.2">
      <c r="E94" s="89"/>
    </row>
  </sheetData>
  <sheetProtection selectLockedCells="1"/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rowBreaks count="5" manualBreakCount="5">
    <brk id="25" max="16383" man="1"/>
    <brk id="35" max="16383" man="1"/>
    <brk id="40" max="16383" man="1"/>
    <brk id="68" max="16383" man="1"/>
    <brk id="80" max="16383" man="1"/>
  </rowBreaks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C1:E110"/>
  <sheetViews>
    <sheetView showGridLines="0" showRowColHeaders="0" workbookViewId="0">
      <pane ySplit="1" topLeftCell="A2" activePane="bottomLeft" state="frozen"/>
      <selection activeCell="F24" sqref="F24"/>
      <selection pane="bottomLeft" activeCell="F24" sqref="F24"/>
    </sheetView>
  </sheetViews>
  <sheetFormatPr defaultRowHeight="15" x14ac:dyDescent="0.2"/>
  <cols>
    <col min="1" max="3" width="2.21875" style="91" customWidth="1"/>
    <col min="4" max="4" width="69.77734375" style="91" customWidth="1"/>
    <col min="5" max="187" width="2.21875" style="91" customWidth="1"/>
    <col min="188" max="16384" width="8.88671875" style="91"/>
  </cols>
  <sheetData>
    <row r="1" spans="3:5" s="90" customFormat="1" ht="30" customHeight="1" thickBot="1" x14ac:dyDescent="0.25"/>
    <row r="2" spans="3:5" ht="15.75" thickTop="1" x14ac:dyDescent="0.2"/>
    <row r="7" spans="3:5" x14ac:dyDescent="0.2">
      <c r="C7" s="75"/>
      <c r="D7" s="75"/>
      <c r="E7" s="75"/>
    </row>
    <row r="8" spans="3:5" x14ac:dyDescent="0.2">
      <c r="C8" s="92"/>
      <c r="D8" s="76"/>
      <c r="E8" s="60"/>
    </row>
    <row r="9" spans="3:5" x14ac:dyDescent="0.2">
      <c r="C9" s="92"/>
      <c r="D9" s="78"/>
      <c r="E9" s="60"/>
    </row>
    <row r="10" spans="3:5" x14ac:dyDescent="0.2">
      <c r="C10" s="92"/>
      <c r="D10" s="78"/>
      <c r="E10" s="60"/>
    </row>
    <row r="11" spans="3:5" ht="31.5" x14ac:dyDescent="0.25">
      <c r="C11" s="92"/>
      <c r="D11" s="110" t="s">
        <v>151</v>
      </c>
      <c r="E11" s="60"/>
    </row>
    <row r="12" spans="3:5" x14ac:dyDescent="0.2">
      <c r="C12" s="92"/>
      <c r="D12" s="78"/>
      <c r="E12" s="60"/>
    </row>
    <row r="13" spans="3:5" x14ac:dyDescent="0.2">
      <c r="C13" s="92"/>
      <c r="D13" s="78"/>
      <c r="E13" s="60"/>
    </row>
    <row r="14" spans="3:5" x14ac:dyDescent="0.2">
      <c r="C14" s="92"/>
      <c r="D14" s="78"/>
      <c r="E14" s="60"/>
    </row>
    <row r="15" spans="3:5" x14ac:dyDescent="0.2">
      <c r="C15" s="92"/>
      <c r="D15" s="85" t="str">
        <f>IF(OR(ObjekatIzKonteksta=0,VrstaRadovaIzKonteksta=0),"...","Kao ovlašćeno lice koje je izradilo elaborat energetske efikasnosti koji se prilaže Projektu za građevinsku dozvolu (PGD), za "&amp;VrstaRadovaIzKonteksta&amp;", "&amp;ObjekatIzKonteksta&amp;",")</f>
        <v>...</v>
      </c>
      <c r="E15" s="60"/>
    </row>
    <row r="16" spans="3:5" ht="15" customHeight="1" x14ac:dyDescent="0.2">
      <c r="C16" s="92"/>
      <c r="D16" s="78"/>
      <c r="E16" s="60"/>
    </row>
    <row r="17" spans="3:5" x14ac:dyDescent="0.2">
      <c r="C17" s="92"/>
      <c r="D17" s="78"/>
      <c r="E17" s="60"/>
    </row>
    <row r="18" spans="3:5" x14ac:dyDescent="0.2">
      <c r="C18" s="92"/>
      <c r="D18" s="78"/>
      <c r="E18" s="60"/>
    </row>
    <row r="19" spans="3:5" x14ac:dyDescent="0.2">
      <c r="C19" s="92"/>
      <c r="D19" s="111" t="e">
        <f>IF(OdgovorniProjektantEEE=0,"...",OdgovorniProjektantEEE)</f>
        <v>#REF!</v>
      </c>
      <c r="E19" s="60"/>
    </row>
    <row r="20" spans="3:5" x14ac:dyDescent="0.2">
      <c r="C20" s="92"/>
      <c r="D20" s="95" t="s">
        <v>122</v>
      </c>
      <c r="E20" s="60"/>
    </row>
    <row r="21" spans="3:5" x14ac:dyDescent="0.2">
      <c r="C21" s="92"/>
      <c r="D21" s="78"/>
      <c r="E21" s="60"/>
    </row>
    <row r="22" spans="3:5" x14ac:dyDescent="0.2">
      <c r="C22" s="92"/>
      <c r="D22" s="78"/>
      <c r="E22" s="60"/>
    </row>
    <row r="23" spans="3:5" x14ac:dyDescent="0.2">
      <c r="C23" s="92"/>
      <c r="D23" s="78"/>
      <c r="E23" s="60"/>
    </row>
    <row r="24" spans="3:5" ht="15.75" x14ac:dyDescent="0.25">
      <c r="C24" s="92"/>
      <c r="D24" s="79" t="s">
        <v>124</v>
      </c>
      <c r="E24" s="60"/>
    </row>
    <row r="25" spans="3:5" x14ac:dyDescent="0.2">
      <c r="C25" s="92"/>
      <c r="D25" s="78"/>
      <c r="E25" s="60"/>
    </row>
    <row r="26" spans="3:5" x14ac:dyDescent="0.2">
      <c r="C26" s="92"/>
      <c r="D26" s="78"/>
      <c r="E26" s="60"/>
    </row>
    <row r="27" spans="3:5" x14ac:dyDescent="0.2">
      <c r="C27" s="92"/>
      <c r="D27" s="78"/>
      <c r="E27" s="60"/>
    </row>
    <row r="28" spans="3:5" ht="45" x14ac:dyDescent="0.2">
      <c r="C28" s="92"/>
      <c r="D28" s="78" t="s">
        <v>152</v>
      </c>
      <c r="E28" s="60"/>
    </row>
    <row r="29" spans="3:5" ht="30" x14ac:dyDescent="0.2">
      <c r="C29" s="92"/>
      <c r="D29" s="78" t="s">
        <v>153</v>
      </c>
      <c r="E29" s="60"/>
    </row>
    <row r="30" spans="3:5" x14ac:dyDescent="0.2">
      <c r="C30" s="92"/>
      <c r="D30" s="78"/>
      <c r="E30" s="60"/>
    </row>
    <row r="31" spans="3:5" x14ac:dyDescent="0.2">
      <c r="C31" s="92"/>
      <c r="D31" s="78"/>
      <c r="E31" s="60"/>
    </row>
    <row r="32" spans="3:5" x14ac:dyDescent="0.2">
      <c r="C32" s="92"/>
      <c r="D32" s="78"/>
      <c r="E32" s="60"/>
    </row>
    <row r="33" spans="3:5" x14ac:dyDescent="0.2">
      <c r="C33" s="92"/>
      <c r="D33" s="97" t="e">
        <f>IF(ProjektnaOrganizacijaEEE=0,"...",ProjektnaOrganizacijaEEE)</f>
        <v>#REF!</v>
      </c>
      <c r="E33" s="60"/>
    </row>
    <row r="34" spans="3:5" x14ac:dyDescent="0.2">
      <c r="C34" s="92"/>
      <c r="D34" s="83" t="s">
        <v>108</v>
      </c>
      <c r="E34" s="60"/>
    </row>
    <row r="35" spans="3:5" x14ac:dyDescent="0.2">
      <c r="C35" s="92"/>
      <c r="D35" s="78"/>
      <c r="E35" s="60"/>
    </row>
    <row r="36" spans="3:5" x14ac:dyDescent="0.2">
      <c r="C36" s="92"/>
      <c r="D36" s="78"/>
      <c r="E36" s="60"/>
    </row>
    <row r="37" spans="3:5" x14ac:dyDescent="0.2">
      <c r="C37" s="92"/>
      <c r="D37" s="78"/>
      <c r="E37" s="60"/>
    </row>
    <row r="38" spans="3:5" x14ac:dyDescent="0.2">
      <c r="C38" s="92"/>
      <c r="D38" s="78"/>
      <c r="E38" s="60"/>
    </row>
    <row r="39" spans="3:5" x14ac:dyDescent="0.2">
      <c r="C39" s="92"/>
      <c r="D39" s="78" t="e">
        <f>IF(OdgovorniProjektantEEE=0,"...",OdgovorniProjektantEEE)</f>
        <v>#REF!</v>
      </c>
      <c r="E39" s="60"/>
    </row>
    <row r="40" spans="3:5" x14ac:dyDescent="0.2">
      <c r="C40" s="92"/>
      <c r="D40" s="86" t="s">
        <v>154</v>
      </c>
      <c r="E40" s="60"/>
    </row>
    <row r="41" spans="3:5" x14ac:dyDescent="0.2">
      <c r="C41" s="92"/>
      <c r="D41" s="78"/>
      <c r="E41" s="60"/>
    </row>
    <row r="42" spans="3:5" x14ac:dyDescent="0.2">
      <c r="C42" s="93"/>
      <c r="D42" s="93"/>
      <c r="E42" s="93"/>
    </row>
    <row r="43" spans="3:5" x14ac:dyDescent="0.2">
      <c r="E43" s="89"/>
    </row>
    <row r="89" ht="15.75" customHeight="1" x14ac:dyDescent="0.2"/>
    <row r="110" ht="15" customHeight="1" x14ac:dyDescent="0.2"/>
  </sheetData>
  <pageMargins left="1.3779527559055118" right="0.39370078740157483" top="1.1811023622047245" bottom="1.1811023622047245" header="0" footer="0"/>
  <pageSetup paperSize="151" orientation="portrait" horizontalDpi="4294967292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C1:E110"/>
  <sheetViews>
    <sheetView showGridLines="0" showRowColHeaders="0" workbookViewId="0">
      <pane ySplit="1" topLeftCell="A2" activePane="bottomLeft" state="frozen"/>
      <selection activeCell="F24" sqref="F24"/>
      <selection pane="bottomLeft" activeCell="F24" sqref="F24"/>
    </sheetView>
  </sheetViews>
  <sheetFormatPr defaultRowHeight="15" x14ac:dyDescent="0.2"/>
  <cols>
    <col min="1" max="3" width="2.21875" style="91" customWidth="1"/>
    <col min="4" max="4" width="69.77734375" style="91" customWidth="1"/>
    <col min="5" max="187" width="2.21875" style="91" customWidth="1"/>
    <col min="188" max="16384" width="8.88671875" style="91"/>
  </cols>
  <sheetData>
    <row r="1" spans="3:5" s="90" customFormat="1" ht="30" customHeight="1" thickBot="1" x14ac:dyDescent="0.25"/>
    <row r="2" spans="3:5" ht="15.75" thickTop="1" x14ac:dyDescent="0.2"/>
    <row r="7" spans="3:5" x14ac:dyDescent="0.2">
      <c r="C7" s="75"/>
      <c r="D7" s="75"/>
      <c r="E7" s="75"/>
    </row>
    <row r="8" spans="3:5" x14ac:dyDescent="0.2">
      <c r="C8" s="92"/>
      <c r="D8" s="76"/>
      <c r="E8" s="60"/>
    </row>
    <row r="9" spans="3:5" x14ac:dyDescent="0.2">
      <c r="C9" s="92"/>
      <c r="D9" s="78"/>
      <c r="E9" s="60"/>
    </row>
    <row r="10" spans="3:5" x14ac:dyDescent="0.2">
      <c r="C10" s="92"/>
      <c r="D10" s="78"/>
      <c r="E10" s="60"/>
    </row>
    <row r="11" spans="3:5" ht="31.5" x14ac:dyDescent="0.25">
      <c r="C11" s="92"/>
      <c r="D11" s="110" t="s">
        <v>155</v>
      </c>
      <c r="E11" s="60"/>
    </row>
    <row r="12" spans="3:5" x14ac:dyDescent="0.2">
      <c r="C12" s="92"/>
      <c r="D12" s="78"/>
      <c r="E12" s="60"/>
    </row>
    <row r="13" spans="3:5" x14ac:dyDescent="0.2">
      <c r="C13" s="92"/>
      <c r="D13" s="78"/>
      <c r="E13" s="60"/>
    </row>
    <row r="14" spans="3:5" x14ac:dyDescent="0.2">
      <c r="C14" s="92"/>
      <c r="D14" s="78"/>
      <c r="E14" s="60"/>
    </row>
    <row r="15" spans="3:5" x14ac:dyDescent="0.2">
      <c r="C15" s="92"/>
      <c r="D15" s="85" t="str">
        <f>IF(OR(ObjekatIzKonteksta=0,VrstaRadovaIzKonteksta=0),"...","Kao ovlašćeno lice koje je izradilo elaborat zaštite od požara koji se prilaže Projektu za građevinsku dozvolu (PGD), za "&amp;VrstaRadovaIzKonteksta&amp;", "&amp;ObjekatIzKonteksta&amp;",")</f>
        <v>...</v>
      </c>
      <c r="E15" s="60"/>
    </row>
    <row r="16" spans="3:5" ht="15" customHeight="1" x14ac:dyDescent="0.2">
      <c r="C16" s="92"/>
      <c r="D16" s="78"/>
      <c r="E16" s="60"/>
    </row>
    <row r="17" spans="3:5" x14ac:dyDescent="0.2">
      <c r="C17" s="92"/>
      <c r="D17" s="78"/>
      <c r="E17" s="60"/>
    </row>
    <row r="18" spans="3:5" x14ac:dyDescent="0.2">
      <c r="C18" s="92"/>
      <c r="D18" s="78"/>
      <c r="E18" s="60"/>
    </row>
    <row r="19" spans="3:5" x14ac:dyDescent="0.2">
      <c r="C19" s="92"/>
      <c r="D19" s="111" t="e">
        <f>IF(OdgovorniProjektantPPZ=0,"...",OdgovorniProjektantPPZ)</f>
        <v>#REF!</v>
      </c>
      <c r="E19" s="60"/>
    </row>
    <row r="20" spans="3:5" x14ac:dyDescent="0.2">
      <c r="C20" s="92"/>
      <c r="D20" s="95" t="s">
        <v>122</v>
      </c>
      <c r="E20" s="60"/>
    </row>
    <row r="21" spans="3:5" x14ac:dyDescent="0.2">
      <c r="C21" s="92"/>
      <c r="D21" s="78"/>
      <c r="E21" s="60"/>
    </row>
    <row r="22" spans="3:5" x14ac:dyDescent="0.2">
      <c r="C22" s="92"/>
      <c r="D22" s="78"/>
      <c r="E22" s="60"/>
    </row>
    <row r="23" spans="3:5" x14ac:dyDescent="0.2">
      <c r="C23" s="92"/>
      <c r="D23" s="78"/>
      <c r="E23" s="60"/>
    </row>
    <row r="24" spans="3:5" ht="15.75" x14ac:dyDescent="0.25">
      <c r="C24" s="92"/>
      <c r="D24" s="79" t="s">
        <v>124</v>
      </c>
      <c r="E24" s="60"/>
    </row>
    <row r="25" spans="3:5" x14ac:dyDescent="0.2">
      <c r="C25" s="92"/>
      <c r="D25" s="78"/>
      <c r="E25" s="60"/>
    </row>
    <row r="26" spans="3:5" x14ac:dyDescent="0.2">
      <c r="C26" s="92"/>
      <c r="D26" s="78"/>
      <c r="E26" s="60"/>
    </row>
    <row r="27" spans="3:5" x14ac:dyDescent="0.2">
      <c r="C27" s="92"/>
      <c r="D27" s="78"/>
      <c r="E27" s="60"/>
    </row>
    <row r="28" spans="3:5" ht="30" x14ac:dyDescent="0.2">
      <c r="C28" s="92"/>
      <c r="D28" s="78" t="s">
        <v>156</v>
      </c>
      <c r="E28" s="60"/>
    </row>
    <row r="29" spans="3:5" ht="30" x14ac:dyDescent="0.2">
      <c r="C29" s="92"/>
      <c r="D29" s="78" t="s">
        <v>157</v>
      </c>
      <c r="E29" s="60"/>
    </row>
    <row r="30" spans="3:5" x14ac:dyDescent="0.2">
      <c r="C30" s="92"/>
      <c r="D30" s="78"/>
      <c r="E30" s="60"/>
    </row>
    <row r="31" spans="3:5" x14ac:dyDescent="0.2">
      <c r="C31" s="92"/>
      <c r="D31" s="78"/>
      <c r="E31" s="60"/>
    </row>
    <row r="32" spans="3:5" x14ac:dyDescent="0.2">
      <c r="C32" s="92"/>
      <c r="D32" s="78"/>
      <c r="E32" s="60"/>
    </row>
    <row r="33" spans="3:5" x14ac:dyDescent="0.2">
      <c r="C33" s="92"/>
      <c r="D33" s="97" t="e">
        <f>IF(ProjektnaOrganizacijaPPZ=0,"...",ProjektnaOrganizacijaPPZ)</f>
        <v>#REF!</v>
      </c>
      <c r="E33" s="60"/>
    </row>
    <row r="34" spans="3:5" x14ac:dyDescent="0.2">
      <c r="C34" s="92"/>
      <c r="D34" s="83" t="s">
        <v>108</v>
      </c>
      <c r="E34" s="60"/>
    </row>
    <row r="35" spans="3:5" x14ac:dyDescent="0.2">
      <c r="C35" s="92"/>
      <c r="D35" s="78"/>
      <c r="E35" s="60"/>
    </row>
    <row r="36" spans="3:5" x14ac:dyDescent="0.2">
      <c r="C36" s="92"/>
      <c r="D36" s="78"/>
      <c r="E36" s="60"/>
    </row>
    <row r="37" spans="3:5" x14ac:dyDescent="0.2">
      <c r="C37" s="92"/>
      <c r="D37" s="78"/>
      <c r="E37" s="60"/>
    </row>
    <row r="38" spans="3:5" x14ac:dyDescent="0.2">
      <c r="C38" s="92"/>
      <c r="D38" s="78"/>
      <c r="E38" s="60"/>
    </row>
    <row r="39" spans="3:5" x14ac:dyDescent="0.2">
      <c r="C39" s="92"/>
      <c r="D39" s="78" t="e">
        <f>IF(OdgovorniProjektantPPZ=0,"...",OdgovorniProjektantPPZ)</f>
        <v>#REF!</v>
      </c>
      <c r="E39" s="60"/>
    </row>
    <row r="40" spans="3:5" x14ac:dyDescent="0.2">
      <c r="C40" s="92"/>
      <c r="D40" s="86" t="s">
        <v>154</v>
      </c>
      <c r="E40" s="60"/>
    </row>
    <row r="41" spans="3:5" x14ac:dyDescent="0.2">
      <c r="C41" s="92"/>
      <c r="D41" s="78"/>
      <c r="E41" s="60"/>
    </row>
    <row r="42" spans="3:5" x14ac:dyDescent="0.2">
      <c r="C42" s="93"/>
      <c r="D42" s="93"/>
      <c r="E42" s="93"/>
    </row>
    <row r="43" spans="3:5" x14ac:dyDescent="0.2">
      <c r="E43" s="89"/>
    </row>
    <row r="89" ht="15.75" customHeight="1" x14ac:dyDescent="0.2"/>
    <row r="110" ht="15" customHeight="1" x14ac:dyDescent="0.2"/>
  </sheetData>
  <pageMargins left="1.3779527559055118" right="0.39370078740157483" top="1.1811023622047245" bottom="1.1811023622047245" header="0" footer="0"/>
  <pageSetup paperSize="151" orientation="portrait" horizontalDpi="4294967292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E199"/>
  <sheetViews>
    <sheetView showGridLines="0" showRowColHeaders="0" zoomScaleNormal="100" workbookViewId="0">
      <pane ySplit="1" topLeftCell="A2" activePane="bottomLeft" state="frozen"/>
      <selection activeCell="G32" sqref="G32"/>
      <selection pane="bottomLeft" activeCell="D15" sqref="D15:D24"/>
    </sheetView>
  </sheetViews>
  <sheetFormatPr defaultRowHeight="15" x14ac:dyDescent="0.2"/>
  <cols>
    <col min="1" max="3" width="2.21875" style="74" customWidth="1"/>
    <col min="4" max="4" width="80.109375" style="74" customWidth="1"/>
    <col min="5" max="191" width="2.21875" style="74" customWidth="1"/>
    <col min="192" max="16384" width="8.88671875" style="74"/>
  </cols>
  <sheetData>
    <row r="1" spans="3:5" s="71" customFormat="1" ht="30" customHeight="1" thickBot="1" x14ac:dyDescent="0.25">
      <c r="C1" s="119"/>
      <c r="D1" s="119"/>
      <c r="E1" s="119"/>
    </row>
    <row r="2" spans="3:5" ht="15.75" thickTop="1" x14ac:dyDescent="0.2"/>
    <row r="7" spans="3:5" x14ac:dyDescent="0.2">
      <c r="C7" s="75"/>
      <c r="D7" s="75"/>
      <c r="E7" s="75"/>
    </row>
    <row r="8" spans="3:5" x14ac:dyDescent="0.2">
      <c r="C8" s="76"/>
      <c r="D8" s="76"/>
      <c r="E8" s="76"/>
    </row>
    <row r="9" spans="3:5" x14ac:dyDescent="0.2">
      <c r="C9" s="60"/>
      <c r="D9" s="78"/>
      <c r="E9" s="92"/>
    </row>
    <row r="10" spans="3:5" x14ac:dyDescent="0.2">
      <c r="C10" s="60"/>
      <c r="D10" s="78"/>
      <c r="E10" s="92"/>
    </row>
    <row r="11" spans="3:5" ht="15.75" x14ac:dyDescent="0.25">
      <c r="C11" s="60"/>
      <c r="D11" s="79" t="s">
        <v>158</v>
      </c>
      <c r="E11" s="92"/>
    </row>
    <row r="12" spans="3:5" x14ac:dyDescent="0.2">
      <c r="C12" s="60"/>
      <c r="D12" s="78"/>
      <c r="E12" s="92"/>
    </row>
    <row r="13" spans="3:5" x14ac:dyDescent="0.2">
      <c r="C13" s="60"/>
      <c r="D13" s="78"/>
      <c r="E13" s="92"/>
    </row>
    <row r="14" spans="3:5" x14ac:dyDescent="0.2">
      <c r="C14" s="60"/>
      <c r="D14" s="78"/>
      <c r="E14" s="92"/>
    </row>
    <row r="15" spans="3:5" s="82" customFormat="1" x14ac:dyDescent="0.2">
      <c r="C15" s="60"/>
      <c r="D15" s="81" t="str">
        <f>IF(Investitor=0,"...","")</f>
        <v>...</v>
      </c>
      <c r="E15" s="92"/>
    </row>
    <row r="16" spans="3:5" x14ac:dyDescent="0.2">
      <c r="C16" s="60"/>
      <c r="D16" s="83" t="s">
        <v>14</v>
      </c>
      <c r="E16" s="92"/>
    </row>
    <row r="17" spans="3:5" x14ac:dyDescent="0.2">
      <c r="C17" s="60"/>
      <c r="D17" s="84" t="str">
        <f>IF(Objekat=0,"...","")</f>
        <v>...</v>
      </c>
      <c r="E17" s="92"/>
    </row>
    <row r="18" spans="3:5" x14ac:dyDescent="0.2">
      <c r="C18" s="60"/>
      <c r="D18" s="83" t="s">
        <v>18</v>
      </c>
      <c r="E18" s="92"/>
    </row>
    <row r="19" spans="3:5" x14ac:dyDescent="0.2">
      <c r="C19" s="60"/>
      <c r="D19" s="78" t="s">
        <v>103</v>
      </c>
      <c r="E19" s="92"/>
    </row>
    <row r="20" spans="3:5" x14ac:dyDescent="0.2">
      <c r="C20" s="60"/>
      <c r="D20" s="83" t="s">
        <v>104</v>
      </c>
      <c r="E20" s="92"/>
    </row>
    <row r="21" spans="3:5" x14ac:dyDescent="0.2">
      <c r="C21" s="60"/>
      <c r="D21" s="78" t="s">
        <v>159</v>
      </c>
      <c r="E21" s="92"/>
    </row>
    <row r="22" spans="3:5" x14ac:dyDescent="0.2">
      <c r="C22" s="60"/>
      <c r="D22" s="83" t="s">
        <v>106</v>
      </c>
      <c r="E22" s="92"/>
    </row>
    <row r="23" spans="3:5" x14ac:dyDescent="0.2">
      <c r="C23" s="60"/>
      <c r="D23" s="85" t="str">
        <f>IF(VrstaRadova=0,"...","")</f>
        <v>...</v>
      </c>
      <c r="E23" s="92"/>
    </row>
    <row r="24" spans="3:5" x14ac:dyDescent="0.2">
      <c r="C24" s="60"/>
      <c r="D24" s="86" t="s">
        <v>107</v>
      </c>
      <c r="E24" s="92"/>
    </row>
    <row r="25" spans="3:5" x14ac:dyDescent="0.2">
      <c r="C25" s="60"/>
      <c r="D25" s="85" t="str">
        <f>IF(ProjektnaOrganizacijaA=0,"...",ProjektnaOrganizacijaA)</f>
        <v>...</v>
      </c>
      <c r="E25" s="92"/>
    </row>
    <row r="26" spans="3:5" x14ac:dyDescent="0.2">
      <c r="C26" s="60"/>
      <c r="D26" s="83" t="s">
        <v>108</v>
      </c>
      <c r="E26" s="92"/>
    </row>
    <row r="27" spans="3:5" x14ac:dyDescent="0.2">
      <c r="C27" s="60"/>
      <c r="D27" s="78"/>
      <c r="E27" s="92"/>
    </row>
    <row r="28" spans="3:5" x14ac:dyDescent="0.2">
      <c r="C28" s="60"/>
      <c r="D28" s="78"/>
      <c r="E28" s="92"/>
    </row>
    <row r="29" spans="3:5" x14ac:dyDescent="0.2">
      <c r="C29" s="60"/>
      <c r="D29" s="78"/>
      <c r="E29" s="92"/>
    </row>
    <row r="30" spans="3:5" x14ac:dyDescent="0.2">
      <c r="C30" s="60"/>
      <c r="D30" s="78"/>
      <c r="E30" s="92"/>
    </row>
    <row r="31" spans="3:5" x14ac:dyDescent="0.2">
      <c r="C31" s="60"/>
      <c r="D31" s="85" t="s">
        <v>170</v>
      </c>
      <c r="E31" s="92"/>
    </row>
    <row r="32" spans="3:5" x14ac:dyDescent="0.2">
      <c r="C32" s="60"/>
      <c r="D32" s="86" t="s">
        <v>16</v>
      </c>
      <c r="E32" s="92"/>
    </row>
    <row r="33" spans="3:5" x14ac:dyDescent="0.2">
      <c r="C33" s="60"/>
      <c r="D33" s="78"/>
      <c r="E33" s="92"/>
    </row>
    <row r="34" spans="3:5" x14ac:dyDescent="0.2">
      <c r="C34" s="60"/>
      <c r="D34" s="78"/>
      <c r="E34" s="92"/>
    </row>
    <row r="35" spans="3:5" x14ac:dyDescent="0.2">
      <c r="C35" s="60"/>
      <c r="D35" s="78"/>
      <c r="E35" s="92"/>
    </row>
    <row r="36" spans="3:5" x14ac:dyDescent="0.2">
      <c r="C36" s="60"/>
      <c r="D36" s="78"/>
      <c r="E36" s="92"/>
    </row>
    <row r="37" spans="3:5" x14ac:dyDescent="0.2">
      <c r="C37" s="60"/>
      <c r="D37" s="78"/>
      <c r="E37" s="92"/>
    </row>
    <row r="38" spans="3:5" x14ac:dyDescent="0.2">
      <c r="C38" s="60"/>
      <c r="D38" s="78"/>
      <c r="E38" s="92"/>
    </row>
    <row r="39" spans="3:5" x14ac:dyDescent="0.2">
      <c r="C39" s="60"/>
      <c r="D39" s="85" t="e">
        <f>IF(OdgovorniProjektantA=0,"...","")</f>
        <v>#REF!</v>
      </c>
      <c r="E39" s="92"/>
    </row>
    <row r="40" spans="3:5" x14ac:dyDescent="0.2">
      <c r="C40" s="60"/>
      <c r="D40" s="86" t="s">
        <v>160</v>
      </c>
      <c r="E40" s="92"/>
    </row>
    <row r="41" spans="3:5" x14ac:dyDescent="0.2">
      <c r="C41" s="60"/>
      <c r="D41" s="78"/>
      <c r="E41" s="92"/>
    </row>
    <row r="42" spans="3:5" x14ac:dyDescent="0.2">
      <c r="C42" s="60"/>
      <c r="D42" s="78"/>
      <c r="E42" s="92"/>
    </row>
    <row r="43" spans="3:5" x14ac:dyDescent="0.2">
      <c r="C43" s="60"/>
      <c r="D43" s="85" t="str">
        <f>IF(EvidencioniBroj=0,"...","")</f>
        <v>...</v>
      </c>
      <c r="E43" s="92"/>
    </row>
    <row r="44" spans="3:5" x14ac:dyDescent="0.2">
      <c r="C44" s="60"/>
      <c r="D44" s="83" t="s">
        <v>109</v>
      </c>
      <c r="E44" s="92"/>
    </row>
    <row r="45" spans="3:5" x14ac:dyDescent="0.2">
      <c r="C45" s="60"/>
      <c r="D45" s="85" t="str">
        <f>IF(OR(Datum=0,Mesto=0),"...",Mesto&amp;", "&amp;TEXT(Datum,"DD.MM.YYYY")&amp;". godine")</f>
        <v>...</v>
      </c>
      <c r="E45" s="92"/>
    </row>
    <row r="46" spans="3:5" x14ac:dyDescent="0.2">
      <c r="C46" s="60"/>
      <c r="D46" s="83" t="s">
        <v>110</v>
      </c>
      <c r="E46" s="92"/>
    </row>
    <row r="47" spans="3:5" x14ac:dyDescent="0.2">
      <c r="C47" s="93"/>
      <c r="D47" s="93"/>
      <c r="E47" s="93"/>
    </row>
    <row r="96" ht="15" customHeight="1" x14ac:dyDescent="0.2"/>
    <row r="178" ht="15.75" customHeight="1" x14ac:dyDescent="0.2"/>
    <row r="199" ht="15" customHeight="1" x14ac:dyDescent="0.2"/>
  </sheetData>
  <mergeCells count="1">
    <mergeCell ref="C1:E1"/>
  </mergeCells>
  <pageMargins left="0.39370078740157483" right="0.39370078740157483" top="2.3622047244094491" bottom="1.1811023622047245" header="0" footer="0"/>
  <pageSetup paperSize="151" orientation="portrait" r:id="rId1"/>
  <headerFooter scaleWithDoc="0">
    <oddHeader>&amp;C&amp;G</oddHeader>
    <oddFooter>&amp;C&amp;G</oddFoot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C1:E154"/>
  <sheetViews>
    <sheetView showGridLines="0" showRowColHeaders="0" zoomScaleNormal="100" workbookViewId="0">
      <pane ySplit="1" topLeftCell="A2" activePane="bottomLeft" state="frozen"/>
      <selection activeCell="G32" sqref="G32"/>
      <selection pane="bottomLeft" activeCell="G32" sqref="G32"/>
    </sheetView>
  </sheetViews>
  <sheetFormatPr defaultRowHeight="15" x14ac:dyDescent="0.2"/>
  <cols>
    <col min="1" max="3" width="2.21875" style="91" customWidth="1"/>
    <col min="4" max="4" width="69.77734375" style="91" customWidth="1"/>
    <col min="5" max="187" width="2.21875" style="91" customWidth="1"/>
    <col min="188" max="16384" width="8.88671875" style="91"/>
  </cols>
  <sheetData>
    <row r="1" spans="3:5" s="90" customFormat="1" ht="30" customHeight="1" thickBot="1" x14ac:dyDescent="0.25">
      <c r="C1" s="120"/>
      <c r="D1" s="120"/>
      <c r="E1" s="120"/>
    </row>
    <row r="2" spans="3:5" ht="15.75" thickTop="1" x14ac:dyDescent="0.2"/>
    <row r="7" spans="3:5" x14ac:dyDescent="0.2">
      <c r="C7" s="75"/>
      <c r="D7" s="75"/>
      <c r="E7" s="75"/>
    </row>
    <row r="8" spans="3:5" x14ac:dyDescent="0.2">
      <c r="C8" s="76"/>
      <c r="D8" s="76"/>
      <c r="E8" s="76"/>
    </row>
    <row r="9" spans="3:5" x14ac:dyDescent="0.2">
      <c r="C9" s="60"/>
      <c r="D9" s="78"/>
      <c r="E9" s="92"/>
    </row>
    <row r="10" spans="3:5" x14ac:dyDescent="0.2">
      <c r="C10" s="60"/>
      <c r="D10" s="78"/>
      <c r="E10" s="92"/>
    </row>
    <row r="11" spans="3:5" ht="31.5" x14ac:dyDescent="0.25">
      <c r="C11" s="60"/>
      <c r="D11" s="110" t="s">
        <v>161</v>
      </c>
      <c r="E11" s="92"/>
    </row>
    <row r="12" spans="3:5" x14ac:dyDescent="0.2">
      <c r="C12" s="60"/>
      <c r="D12" s="78"/>
      <c r="E12" s="92"/>
    </row>
    <row r="13" spans="3:5" x14ac:dyDescent="0.2">
      <c r="C13" s="60"/>
      <c r="D13" s="78"/>
      <c r="E13" s="92"/>
    </row>
    <row r="14" spans="3:5" x14ac:dyDescent="0.2">
      <c r="C14" s="60"/>
      <c r="D14" s="78"/>
      <c r="E14" s="92"/>
    </row>
    <row r="15" spans="3:5" ht="75" x14ac:dyDescent="0.2">
      <c r="C15" s="60"/>
      <c r="D15" s="78" t="s">
        <v>120</v>
      </c>
      <c r="E15" s="92"/>
    </row>
    <row r="16" spans="3:5" x14ac:dyDescent="0.2">
      <c r="C16" s="60"/>
      <c r="D16" s="78"/>
      <c r="E16" s="92"/>
    </row>
    <row r="17" spans="3:5" x14ac:dyDescent="0.2">
      <c r="C17" s="60"/>
      <c r="D17" s="78"/>
      <c r="E17" s="92"/>
    </row>
    <row r="18" spans="3:5" x14ac:dyDescent="0.2">
      <c r="C18" s="60"/>
      <c r="D18" s="78"/>
      <c r="E18" s="92"/>
    </row>
    <row r="19" spans="3:5" ht="15.75" x14ac:dyDescent="0.25">
      <c r="C19" s="60"/>
      <c r="D19" s="79" t="s">
        <v>162</v>
      </c>
      <c r="E19" s="92"/>
    </row>
    <row r="20" spans="3:5" x14ac:dyDescent="0.2">
      <c r="C20" s="60"/>
      <c r="D20" s="78"/>
      <c r="E20" s="92"/>
    </row>
    <row r="21" spans="3:5" x14ac:dyDescent="0.2">
      <c r="C21" s="60"/>
      <c r="D21" s="78"/>
      <c r="E21" s="92"/>
    </row>
    <row r="22" spans="3:5" x14ac:dyDescent="0.2">
      <c r="C22" s="60"/>
      <c r="D22" s="78"/>
      <c r="E22" s="92"/>
    </row>
    <row r="23" spans="3:5" x14ac:dyDescent="0.2">
      <c r="C23" s="60"/>
      <c r="D23" s="85" t="str">
        <f>IF(OR(ObjekatIzKonteksta=0,VrstaRadovaIzKonteksta=0),"...","za izradu projekta arhitekture koji je deo Projekta za građevinku dozvolu (PGD), za " &amp;VrstaRadovaIzKonteksta &amp; " " &amp;ObjekatIzKonteksta &amp; " određuje se:")</f>
        <v>...</v>
      </c>
      <c r="E23" s="92"/>
    </row>
    <row r="24" spans="3:5" x14ac:dyDescent="0.2">
      <c r="C24" s="60"/>
      <c r="D24" s="78"/>
      <c r="E24" s="92"/>
    </row>
    <row r="25" spans="3:5" x14ac:dyDescent="0.2">
      <c r="C25" s="60"/>
      <c r="D25" s="78"/>
      <c r="E25" s="92"/>
    </row>
    <row r="26" spans="3:5" x14ac:dyDescent="0.2">
      <c r="C26" s="60"/>
      <c r="D26" s="78"/>
      <c r="E26" s="92"/>
    </row>
    <row r="27" spans="3:5" x14ac:dyDescent="0.2">
      <c r="C27" s="60"/>
      <c r="D27" s="111" t="e">
        <f>IF(OdgovorniProjektantA=0,"...","")</f>
        <v>#REF!</v>
      </c>
      <c r="E27" s="92"/>
    </row>
    <row r="28" spans="3:5" x14ac:dyDescent="0.2">
      <c r="C28" s="60"/>
      <c r="D28" s="95" t="s">
        <v>122</v>
      </c>
      <c r="E28" s="92"/>
    </row>
    <row r="29" spans="3:5" x14ac:dyDescent="0.2">
      <c r="C29" s="60"/>
      <c r="D29" s="78"/>
      <c r="E29" s="92"/>
    </row>
    <row r="30" spans="3:5" x14ac:dyDescent="0.2">
      <c r="C30" s="60"/>
      <c r="D30" s="78"/>
      <c r="E30" s="92"/>
    </row>
    <row r="31" spans="3:5" x14ac:dyDescent="0.2">
      <c r="C31" s="60"/>
      <c r="D31" s="78"/>
      <c r="E31" s="92"/>
    </row>
    <row r="32" spans="3:5" x14ac:dyDescent="0.2">
      <c r="C32" s="60"/>
      <c r="D32" s="97" t="str">
        <f>IF(ProjektnaOrganizacijaA=0,"...",ProjektnaOrganizacijaA)</f>
        <v>...</v>
      </c>
      <c r="E32" s="92"/>
    </row>
    <row r="33" spans="3:5" x14ac:dyDescent="0.2">
      <c r="C33" s="60"/>
      <c r="D33" s="83" t="s">
        <v>108</v>
      </c>
      <c r="E33" s="92"/>
    </row>
    <row r="34" spans="3:5" x14ac:dyDescent="0.2">
      <c r="C34" s="60"/>
      <c r="D34" s="78"/>
      <c r="E34" s="92"/>
    </row>
    <row r="35" spans="3:5" x14ac:dyDescent="0.2">
      <c r="C35" s="60"/>
      <c r="D35" s="78"/>
      <c r="E35" s="92"/>
    </row>
    <row r="36" spans="3:5" x14ac:dyDescent="0.2">
      <c r="C36" s="60"/>
      <c r="D36" s="78"/>
      <c r="E36" s="92"/>
    </row>
    <row r="37" spans="3:5" x14ac:dyDescent="0.2">
      <c r="C37" s="60"/>
      <c r="D37" s="78"/>
      <c r="E37" s="92"/>
    </row>
    <row r="38" spans="3:5" x14ac:dyDescent="0.2">
      <c r="C38" s="60"/>
      <c r="D38" s="78" t="s">
        <v>170</v>
      </c>
      <c r="E38" s="92"/>
    </row>
    <row r="39" spans="3:5" x14ac:dyDescent="0.2">
      <c r="C39" s="60"/>
      <c r="D39" s="86" t="s">
        <v>16</v>
      </c>
      <c r="E39" s="92"/>
    </row>
    <row r="40" spans="3:5" x14ac:dyDescent="0.2">
      <c r="C40" s="92"/>
      <c r="D40" s="78"/>
      <c r="E40" s="92"/>
    </row>
    <row r="41" spans="3:5" x14ac:dyDescent="0.2">
      <c r="C41" s="93"/>
      <c r="D41" s="93"/>
      <c r="E41" s="93"/>
    </row>
    <row r="51" ht="15" customHeight="1" x14ac:dyDescent="0.2"/>
    <row r="133" ht="15.75" customHeight="1" x14ac:dyDescent="0.2"/>
    <row r="154" ht="15" customHeight="1" x14ac:dyDescent="0.2"/>
  </sheetData>
  <mergeCells count="1"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1:E111"/>
  <sheetViews>
    <sheetView showGridLines="0" showRowColHeaders="0" zoomScaleNormal="100" workbookViewId="0">
      <pane ySplit="1" topLeftCell="A2" activePane="bottomLeft" state="frozen"/>
      <selection activeCell="G32" sqref="G32"/>
      <selection pane="bottomLeft" activeCell="G32" sqref="G32"/>
    </sheetView>
  </sheetViews>
  <sheetFormatPr defaultRowHeight="15" x14ac:dyDescent="0.2"/>
  <cols>
    <col min="1" max="3" width="2.21875" style="91" customWidth="1"/>
    <col min="4" max="4" width="69.77734375" style="91" customWidth="1"/>
    <col min="5" max="187" width="2.21875" style="91" customWidth="1"/>
    <col min="188" max="16384" width="8.88671875" style="91"/>
  </cols>
  <sheetData>
    <row r="1" spans="3:5" s="90" customFormat="1" ht="30" customHeight="1" thickBot="1" x14ac:dyDescent="0.25">
      <c r="C1" s="120"/>
      <c r="D1" s="120"/>
      <c r="E1" s="120"/>
    </row>
    <row r="2" spans="3:5" ht="15.75" thickTop="1" x14ac:dyDescent="0.2"/>
    <row r="7" spans="3:5" x14ac:dyDescent="0.2">
      <c r="C7" s="75"/>
      <c r="D7" s="75"/>
      <c r="E7" s="75"/>
    </row>
    <row r="8" spans="3:5" x14ac:dyDescent="0.2">
      <c r="C8" s="92"/>
      <c r="D8" s="76"/>
      <c r="E8" s="92"/>
    </row>
    <row r="9" spans="3:5" x14ac:dyDescent="0.2">
      <c r="C9" s="60"/>
      <c r="D9" s="78"/>
      <c r="E9" s="92"/>
    </row>
    <row r="10" spans="3:5" x14ac:dyDescent="0.2">
      <c r="C10" s="60"/>
      <c r="D10" s="78"/>
      <c r="E10" s="92"/>
    </row>
    <row r="11" spans="3:5" ht="15.75" x14ac:dyDescent="0.25">
      <c r="C11" s="60"/>
      <c r="D11" s="79" t="s">
        <v>163</v>
      </c>
      <c r="E11" s="92"/>
    </row>
    <row r="12" spans="3:5" x14ac:dyDescent="0.2">
      <c r="C12" s="60"/>
      <c r="D12" s="78"/>
      <c r="E12" s="92"/>
    </row>
    <row r="13" spans="3:5" x14ac:dyDescent="0.2">
      <c r="C13" s="60"/>
      <c r="D13" s="78"/>
      <c r="E13" s="92"/>
    </row>
    <row r="14" spans="3:5" x14ac:dyDescent="0.2">
      <c r="C14" s="60"/>
      <c r="D14" s="78"/>
      <c r="E14" s="92"/>
    </row>
    <row r="15" spans="3:5" x14ac:dyDescent="0.2">
      <c r="C15" s="60"/>
      <c r="D15" s="85" t="str">
        <f>IF(OR(ObjekatIzKonteksta=0,VrstaRadovaIzKonteksta=0),"...","Odgovorni projektant projekta arhitekture koji je deo Projekta za građevinsku dozvolu (PGD), za " &amp;VrstaRadovaIzKonteksta &amp; " " &amp;ObjekatIzKonteksta &amp; " ,")</f>
        <v>...</v>
      </c>
      <c r="E15" s="92"/>
    </row>
    <row r="16" spans="3:5" x14ac:dyDescent="0.2">
      <c r="C16" s="60"/>
      <c r="D16" s="78"/>
      <c r="E16" s="92"/>
    </row>
    <row r="17" spans="3:5" x14ac:dyDescent="0.2">
      <c r="C17" s="60"/>
      <c r="D17" s="78"/>
      <c r="E17" s="92"/>
    </row>
    <row r="18" spans="3:5" x14ac:dyDescent="0.2">
      <c r="C18" s="60"/>
      <c r="D18" s="78"/>
      <c r="E18" s="92"/>
    </row>
    <row r="19" spans="3:5" x14ac:dyDescent="0.2">
      <c r="C19" s="60"/>
      <c r="D19" s="94" t="e">
        <f>IF(OdgovorniProjektantA=0,"...",OdgovorniProjektantA)</f>
        <v>#REF!</v>
      </c>
      <c r="E19" s="92"/>
    </row>
    <row r="20" spans="3:5" x14ac:dyDescent="0.2">
      <c r="C20" s="60"/>
      <c r="D20" s="95" t="s">
        <v>122</v>
      </c>
      <c r="E20" s="92"/>
    </row>
    <row r="21" spans="3:5" x14ac:dyDescent="0.2">
      <c r="C21" s="60"/>
      <c r="D21" s="78"/>
      <c r="E21" s="92"/>
    </row>
    <row r="22" spans="3:5" x14ac:dyDescent="0.2">
      <c r="C22" s="60"/>
      <c r="D22" s="78"/>
      <c r="E22" s="92"/>
    </row>
    <row r="23" spans="3:5" x14ac:dyDescent="0.2">
      <c r="C23" s="60"/>
      <c r="D23" s="78"/>
      <c r="E23" s="92"/>
    </row>
    <row r="24" spans="3:5" ht="15.75" x14ac:dyDescent="0.25">
      <c r="C24" s="60"/>
      <c r="D24" s="79" t="s">
        <v>124</v>
      </c>
      <c r="E24" s="92"/>
    </row>
    <row r="25" spans="3:5" x14ac:dyDescent="0.2">
      <c r="C25" s="60"/>
      <c r="D25" s="78"/>
      <c r="E25" s="92"/>
    </row>
    <row r="26" spans="3:5" x14ac:dyDescent="0.2">
      <c r="C26" s="60"/>
      <c r="D26" s="78"/>
      <c r="E26" s="92"/>
    </row>
    <row r="27" spans="3:5" x14ac:dyDescent="0.2">
      <c r="C27" s="60"/>
      <c r="D27" s="78"/>
      <c r="E27" s="92"/>
    </row>
    <row r="28" spans="3:5" x14ac:dyDescent="0.2">
      <c r="C28" s="60"/>
      <c r="D28" s="78" t="s">
        <v>164</v>
      </c>
      <c r="E28" s="92"/>
    </row>
    <row r="29" spans="3:5" ht="30" x14ac:dyDescent="0.2">
      <c r="C29" s="60"/>
      <c r="D29" s="85" t="s">
        <v>165</v>
      </c>
      <c r="E29" s="92"/>
    </row>
    <row r="30" spans="3:5" ht="45" x14ac:dyDescent="0.2">
      <c r="C30" s="60"/>
      <c r="D30" s="85" t="s">
        <v>166</v>
      </c>
      <c r="E30" s="92"/>
    </row>
    <row r="31" spans="3:5" x14ac:dyDescent="0.2">
      <c r="C31" s="60"/>
      <c r="D31" s="78"/>
      <c r="E31" s="92"/>
    </row>
    <row r="32" spans="3:5" x14ac:dyDescent="0.2">
      <c r="C32" s="60"/>
      <c r="D32" s="78"/>
      <c r="E32" s="92"/>
    </row>
    <row r="33" spans="3:5" x14ac:dyDescent="0.2">
      <c r="C33" s="60"/>
      <c r="D33" s="78"/>
      <c r="E33" s="92"/>
    </row>
    <row r="34" spans="3:5" x14ac:dyDescent="0.2">
      <c r="C34" s="60"/>
      <c r="D34" s="97" t="str">
        <f>IF(ProjektnaOrganizacijaA=0,"...",ProjektnaOrganizacijaA)</f>
        <v>...</v>
      </c>
      <c r="E34" s="92"/>
    </row>
    <row r="35" spans="3:5" x14ac:dyDescent="0.2">
      <c r="C35" s="60"/>
      <c r="D35" s="83" t="s">
        <v>108</v>
      </c>
      <c r="E35" s="92"/>
    </row>
    <row r="36" spans="3:5" x14ac:dyDescent="0.2">
      <c r="C36" s="60"/>
      <c r="D36" s="78"/>
      <c r="E36" s="92"/>
    </row>
    <row r="37" spans="3:5" x14ac:dyDescent="0.2">
      <c r="C37" s="60"/>
      <c r="D37" s="78"/>
      <c r="E37" s="92"/>
    </row>
    <row r="38" spans="3:5" x14ac:dyDescent="0.2">
      <c r="C38" s="60"/>
      <c r="D38" s="78"/>
      <c r="E38" s="92"/>
    </row>
    <row r="39" spans="3:5" x14ac:dyDescent="0.2">
      <c r="C39" s="60"/>
      <c r="D39" s="78"/>
      <c r="E39" s="92"/>
    </row>
    <row r="40" spans="3:5" x14ac:dyDescent="0.2">
      <c r="C40" s="60"/>
      <c r="D40" s="78" t="e">
        <f>IF(OdgovorniProjektantA=0,"...",OdgovorniProjektantA)</f>
        <v>#REF!</v>
      </c>
      <c r="E40" s="92"/>
    </row>
    <row r="41" spans="3:5" x14ac:dyDescent="0.2">
      <c r="C41" s="60"/>
      <c r="D41" s="86" t="s">
        <v>160</v>
      </c>
      <c r="E41" s="92"/>
    </row>
    <row r="42" spans="3:5" x14ac:dyDescent="0.2">
      <c r="C42" s="92"/>
      <c r="D42" s="78"/>
      <c r="E42" s="92"/>
    </row>
    <row r="43" spans="3:5" x14ac:dyDescent="0.2">
      <c r="C43" s="93"/>
      <c r="D43" s="93"/>
      <c r="E43" s="93"/>
    </row>
    <row r="90" ht="15.75" customHeight="1" x14ac:dyDescent="0.2"/>
    <row r="111" ht="15" customHeight="1" x14ac:dyDescent="0.2"/>
  </sheetData>
  <mergeCells count="1"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C1:E122"/>
  <sheetViews>
    <sheetView showGridLines="0" showRowColHeaders="0" zoomScaleNormal="100" workbookViewId="0">
      <pane ySplit="1" topLeftCell="A2" activePane="bottomLeft" state="frozen"/>
      <selection activeCell="G32" sqref="G32"/>
      <selection pane="bottomLeft" activeCell="G32" sqref="G32"/>
    </sheetView>
  </sheetViews>
  <sheetFormatPr defaultRowHeight="15" x14ac:dyDescent="0.2"/>
  <cols>
    <col min="1" max="3" width="2.21875" style="91" customWidth="1"/>
    <col min="4" max="4" width="69.77734375" style="91" customWidth="1"/>
    <col min="5" max="187" width="2.21875" style="91" customWidth="1"/>
    <col min="188" max="16384" width="8.88671875" style="91"/>
  </cols>
  <sheetData>
    <row r="1" spans="3:5" s="90" customFormat="1" ht="30" customHeight="1" thickBot="1" x14ac:dyDescent="0.25">
      <c r="C1" s="120"/>
      <c r="D1" s="120"/>
      <c r="E1" s="120"/>
    </row>
    <row r="2" spans="3:5" ht="15.75" thickTop="1" x14ac:dyDescent="0.2"/>
    <row r="7" spans="3:5" x14ac:dyDescent="0.2">
      <c r="C7" s="75"/>
      <c r="D7" s="75"/>
      <c r="E7" s="75"/>
    </row>
    <row r="8" spans="3:5" x14ac:dyDescent="0.2">
      <c r="C8" s="92"/>
      <c r="D8" s="76"/>
      <c r="E8" s="92"/>
    </row>
    <row r="9" spans="3:5" x14ac:dyDescent="0.2">
      <c r="C9" s="92"/>
      <c r="D9" s="121" t="s">
        <v>167</v>
      </c>
      <c r="E9" s="92"/>
    </row>
    <row r="10" spans="3:5" x14ac:dyDescent="0.2">
      <c r="C10" s="92"/>
      <c r="D10" s="122"/>
      <c r="E10" s="92"/>
    </row>
    <row r="11" spans="3:5" x14ac:dyDescent="0.2">
      <c r="C11" s="92"/>
      <c r="D11" s="122"/>
      <c r="E11" s="92"/>
    </row>
    <row r="12" spans="3:5" x14ac:dyDescent="0.2">
      <c r="C12" s="92"/>
      <c r="D12" s="122"/>
      <c r="E12" s="92"/>
    </row>
    <row r="13" spans="3:5" x14ac:dyDescent="0.2">
      <c r="C13" s="92"/>
      <c r="D13" s="122"/>
      <c r="E13" s="92"/>
    </row>
    <row r="14" spans="3:5" x14ac:dyDescent="0.2">
      <c r="C14" s="92"/>
      <c r="D14" s="122"/>
      <c r="E14" s="92"/>
    </row>
    <row r="15" spans="3:5" x14ac:dyDescent="0.2">
      <c r="C15" s="92"/>
      <c r="D15" s="122"/>
      <c r="E15" s="92"/>
    </row>
    <row r="16" spans="3:5" x14ac:dyDescent="0.2">
      <c r="C16" s="92"/>
      <c r="D16" s="122"/>
      <c r="E16" s="92"/>
    </row>
    <row r="17" spans="3:5" x14ac:dyDescent="0.2">
      <c r="C17" s="92"/>
      <c r="D17" s="122"/>
      <c r="E17" s="92"/>
    </row>
    <row r="18" spans="3:5" x14ac:dyDescent="0.2">
      <c r="C18" s="92"/>
      <c r="D18" s="122"/>
      <c r="E18" s="92"/>
    </row>
    <row r="19" spans="3:5" x14ac:dyDescent="0.2">
      <c r="C19" s="92"/>
      <c r="D19" s="122"/>
      <c r="E19" s="92"/>
    </row>
    <row r="20" spans="3:5" x14ac:dyDescent="0.2">
      <c r="C20" s="92"/>
      <c r="D20" s="122"/>
      <c r="E20" s="92"/>
    </row>
    <row r="21" spans="3:5" x14ac:dyDescent="0.2">
      <c r="C21" s="92"/>
      <c r="D21" s="122"/>
      <c r="E21" s="92"/>
    </row>
    <row r="22" spans="3:5" x14ac:dyDescent="0.2">
      <c r="C22" s="92"/>
      <c r="D22" s="122"/>
      <c r="E22" s="92"/>
    </row>
    <row r="23" spans="3:5" x14ac:dyDescent="0.2">
      <c r="C23" s="92"/>
      <c r="D23" s="122"/>
      <c r="E23" s="92"/>
    </row>
    <row r="24" spans="3:5" x14ac:dyDescent="0.2">
      <c r="C24" s="92"/>
      <c r="D24" s="122"/>
      <c r="E24" s="92"/>
    </row>
    <row r="25" spans="3:5" x14ac:dyDescent="0.2">
      <c r="C25" s="92"/>
      <c r="D25" s="122"/>
      <c r="E25" s="92"/>
    </row>
    <row r="26" spans="3:5" x14ac:dyDescent="0.2">
      <c r="C26" s="92"/>
      <c r="D26" s="122"/>
      <c r="E26" s="92"/>
    </row>
    <row r="27" spans="3:5" x14ac:dyDescent="0.2">
      <c r="C27" s="92"/>
      <c r="D27" s="122"/>
      <c r="E27" s="92"/>
    </row>
    <row r="28" spans="3:5" x14ac:dyDescent="0.2">
      <c r="C28" s="92"/>
      <c r="D28" s="122"/>
      <c r="E28" s="92"/>
    </row>
    <row r="29" spans="3:5" x14ac:dyDescent="0.2">
      <c r="C29" s="92"/>
      <c r="D29" s="122"/>
      <c r="E29" s="92"/>
    </row>
    <row r="30" spans="3:5" x14ac:dyDescent="0.2">
      <c r="C30" s="92"/>
      <c r="D30" s="122"/>
      <c r="E30" s="92"/>
    </row>
    <row r="31" spans="3:5" x14ac:dyDescent="0.2">
      <c r="C31" s="92"/>
      <c r="D31" s="122"/>
      <c r="E31" s="92"/>
    </row>
    <row r="32" spans="3:5" x14ac:dyDescent="0.2">
      <c r="C32" s="92"/>
      <c r="D32" s="122"/>
      <c r="E32" s="92"/>
    </row>
    <row r="33" spans="3:5" x14ac:dyDescent="0.2">
      <c r="C33" s="92"/>
      <c r="D33" s="122"/>
      <c r="E33" s="92"/>
    </row>
    <row r="34" spans="3:5" x14ac:dyDescent="0.2">
      <c r="C34" s="92"/>
      <c r="D34" s="122"/>
      <c r="E34" s="92"/>
    </row>
    <row r="35" spans="3:5" x14ac:dyDescent="0.2">
      <c r="C35" s="92"/>
      <c r="D35" s="122"/>
      <c r="E35" s="92"/>
    </row>
    <row r="36" spans="3:5" x14ac:dyDescent="0.2">
      <c r="C36" s="92"/>
      <c r="D36" s="122"/>
      <c r="E36" s="92"/>
    </row>
    <row r="37" spans="3:5" x14ac:dyDescent="0.2">
      <c r="C37" s="92"/>
      <c r="D37" s="122"/>
      <c r="E37" s="92"/>
    </row>
    <row r="38" spans="3:5" x14ac:dyDescent="0.2">
      <c r="C38" s="92"/>
      <c r="D38" s="122"/>
      <c r="E38" s="92"/>
    </row>
    <row r="39" spans="3:5" x14ac:dyDescent="0.2">
      <c r="C39" s="92"/>
      <c r="D39" s="122"/>
      <c r="E39" s="92"/>
    </row>
    <row r="40" spans="3:5" x14ac:dyDescent="0.2">
      <c r="C40" s="92"/>
      <c r="D40" s="122"/>
      <c r="E40" s="92"/>
    </row>
    <row r="41" spans="3:5" x14ac:dyDescent="0.2">
      <c r="C41" s="92"/>
      <c r="D41" s="122"/>
      <c r="E41" s="92"/>
    </row>
    <row r="42" spans="3:5" x14ac:dyDescent="0.2">
      <c r="C42" s="92"/>
      <c r="D42" s="122"/>
      <c r="E42" s="92"/>
    </row>
    <row r="43" spans="3:5" x14ac:dyDescent="0.2">
      <c r="C43" s="92"/>
      <c r="D43" s="122"/>
      <c r="E43" s="92"/>
    </row>
    <row r="44" spans="3:5" x14ac:dyDescent="0.2">
      <c r="C44" s="92"/>
      <c r="D44" s="122"/>
      <c r="E44" s="92"/>
    </row>
    <row r="45" spans="3:5" x14ac:dyDescent="0.2">
      <c r="C45" s="92"/>
      <c r="D45" s="122"/>
      <c r="E45" s="92"/>
    </row>
    <row r="46" spans="3:5" x14ac:dyDescent="0.2">
      <c r="C46" s="92"/>
      <c r="D46" s="122"/>
      <c r="E46" s="92"/>
    </row>
    <row r="47" spans="3:5" x14ac:dyDescent="0.2">
      <c r="C47" s="92"/>
      <c r="D47" s="122"/>
      <c r="E47" s="92"/>
    </row>
    <row r="48" spans="3:5" x14ac:dyDescent="0.2">
      <c r="C48" s="92"/>
      <c r="D48" s="122"/>
      <c r="E48" s="92"/>
    </row>
    <row r="49" spans="3:5" x14ac:dyDescent="0.2">
      <c r="C49" s="92"/>
      <c r="D49" s="122"/>
      <c r="E49" s="92"/>
    </row>
    <row r="50" spans="3:5" x14ac:dyDescent="0.2">
      <c r="C50" s="92"/>
      <c r="D50" s="122"/>
      <c r="E50" s="92"/>
    </row>
    <row r="51" spans="3:5" x14ac:dyDescent="0.2">
      <c r="C51" s="92"/>
      <c r="D51" s="122"/>
      <c r="E51" s="92"/>
    </row>
    <row r="52" spans="3:5" x14ac:dyDescent="0.2">
      <c r="C52" s="92"/>
      <c r="D52" s="122"/>
      <c r="E52" s="92"/>
    </row>
    <row r="53" spans="3:5" x14ac:dyDescent="0.2">
      <c r="C53" s="92"/>
      <c r="D53" s="122"/>
      <c r="E53" s="92"/>
    </row>
    <row r="54" spans="3:5" x14ac:dyDescent="0.2">
      <c r="C54" s="93"/>
      <c r="D54" s="93"/>
      <c r="E54" s="93"/>
    </row>
    <row r="101" ht="15.75" customHeight="1" x14ac:dyDescent="0.2"/>
    <row r="122" ht="15" customHeight="1" x14ac:dyDescent="0.2"/>
  </sheetData>
  <mergeCells count="2">
    <mergeCell ref="C1:E1"/>
    <mergeCell ref="D9:D53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C1:E196"/>
  <sheetViews>
    <sheetView zoomScaleNormal="100" workbookViewId="0">
      <pane ySplit="1" topLeftCell="A2" activePane="bottomLeft" state="frozen"/>
      <selection activeCell="G32" sqref="G32"/>
      <selection pane="bottomLeft" activeCell="D12" sqref="D12"/>
    </sheetView>
  </sheetViews>
  <sheetFormatPr defaultRowHeight="15" x14ac:dyDescent="0.2"/>
  <cols>
    <col min="1" max="3" width="2.21875" style="91" customWidth="1"/>
    <col min="4" max="4" width="69.77734375" style="91" customWidth="1"/>
    <col min="5" max="187" width="2.21875" style="91" customWidth="1"/>
    <col min="188" max="16384" width="8.88671875" style="91"/>
  </cols>
  <sheetData>
    <row r="1" spans="3:5" s="90" customFormat="1" ht="30" customHeight="1" thickBot="1" x14ac:dyDescent="0.25">
      <c r="C1" s="120"/>
      <c r="D1" s="120"/>
      <c r="E1" s="120"/>
    </row>
    <row r="2" spans="3:5" ht="15.75" thickTop="1" x14ac:dyDescent="0.2"/>
    <row r="7" spans="3:5" x14ac:dyDescent="0.2">
      <c r="C7" s="75"/>
      <c r="D7" s="75"/>
      <c r="E7" s="75"/>
    </row>
    <row r="8" spans="3:5" x14ac:dyDescent="0.2">
      <c r="C8" s="76"/>
      <c r="D8" s="76"/>
      <c r="E8" s="76"/>
    </row>
    <row r="9" spans="3:5" x14ac:dyDescent="0.2">
      <c r="C9" s="60"/>
      <c r="D9" s="78"/>
      <c r="E9" s="92"/>
    </row>
    <row r="10" spans="3:5" x14ac:dyDescent="0.2">
      <c r="C10" s="60"/>
      <c r="D10" s="78"/>
      <c r="E10" s="92"/>
    </row>
    <row r="11" spans="3:5" ht="31.5" x14ac:dyDescent="0.25">
      <c r="C11" s="60"/>
      <c r="D11" s="110" t="s">
        <v>182</v>
      </c>
      <c r="E11" s="92"/>
    </row>
    <row r="12" spans="3:5" x14ac:dyDescent="0.2">
      <c r="C12" s="60"/>
      <c r="D12" s="78"/>
      <c r="E12" s="92"/>
    </row>
    <row r="13" spans="3:5" x14ac:dyDescent="0.2">
      <c r="C13" s="60"/>
      <c r="D13" s="78"/>
      <c r="E13" s="92"/>
    </row>
    <row r="14" spans="3:5" x14ac:dyDescent="0.2">
      <c r="C14" s="60"/>
      <c r="D14" s="78"/>
      <c r="E14" s="92"/>
    </row>
    <row r="15" spans="3:5" x14ac:dyDescent="0.2">
      <c r="C15" s="60"/>
      <c r="D15" s="81" t="str">
        <f>IF(Investitor=0,"...","")</f>
        <v>...</v>
      </c>
      <c r="E15" s="92"/>
    </row>
    <row r="16" spans="3:5" x14ac:dyDescent="0.2">
      <c r="C16" s="60"/>
      <c r="D16" s="83" t="s">
        <v>14</v>
      </c>
      <c r="E16" s="92"/>
    </row>
    <row r="17" spans="3:5" x14ac:dyDescent="0.2">
      <c r="C17" s="60"/>
      <c r="D17" s="84" t="str">
        <f>IF(Objekat=0,"...","")</f>
        <v>...</v>
      </c>
      <c r="E17" s="92"/>
    </row>
    <row r="18" spans="3:5" x14ac:dyDescent="0.2">
      <c r="C18" s="60"/>
      <c r="D18" s="83" t="s">
        <v>18</v>
      </c>
      <c r="E18" s="92"/>
    </row>
    <row r="19" spans="3:5" x14ac:dyDescent="0.2">
      <c r="C19" s="60"/>
      <c r="D19" s="78" t="s">
        <v>103</v>
      </c>
      <c r="E19" s="92"/>
    </row>
    <row r="20" spans="3:5" x14ac:dyDescent="0.2">
      <c r="C20" s="60"/>
      <c r="D20" s="83" t="s">
        <v>104</v>
      </c>
      <c r="E20" s="92"/>
    </row>
    <row r="21" spans="3:5" x14ac:dyDescent="0.2">
      <c r="C21" s="60"/>
      <c r="D21" s="85" t="str">
        <f>IF(VrstaRadova=0,"...","")</f>
        <v>...</v>
      </c>
      <c r="E21" s="92"/>
    </row>
    <row r="22" spans="3:5" x14ac:dyDescent="0.2">
      <c r="C22" s="60"/>
      <c r="D22" s="101" t="s">
        <v>107</v>
      </c>
      <c r="E22" s="92"/>
    </row>
    <row r="23" spans="3:5" x14ac:dyDescent="0.2">
      <c r="C23" s="60"/>
      <c r="D23" s="78" t="s">
        <v>159</v>
      </c>
      <c r="E23" s="92"/>
    </row>
    <row r="24" spans="3:5" x14ac:dyDescent="0.2">
      <c r="C24" s="60"/>
      <c r="D24" s="101" t="s">
        <v>179</v>
      </c>
      <c r="E24" s="92"/>
    </row>
    <row r="25" spans="3:5" x14ac:dyDescent="0.2">
      <c r="C25" s="60"/>
      <c r="D25" s="113"/>
      <c r="E25" s="92"/>
    </row>
    <row r="26" spans="3:5" x14ac:dyDescent="0.2">
      <c r="C26" s="60"/>
      <c r="D26" s="78"/>
      <c r="E26" s="92"/>
    </row>
    <row r="27" spans="3:5" x14ac:dyDescent="0.2">
      <c r="C27" s="60"/>
      <c r="D27" s="78"/>
      <c r="E27" s="92"/>
    </row>
    <row r="28" spans="3:5" ht="45" x14ac:dyDescent="0.2">
      <c r="C28" s="60"/>
      <c r="D28" s="114" t="s">
        <v>171</v>
      </c>
      <c r="E28" s="92"/>
    </row>
    <row r="29" spans="3:5" x14ac:dyDescent="0.2">
      <c r="C29" s="60"/>
      <c r="D29" s="78"/>
      <c r="E29" s="92"/>
    </row>
    <row r="30" spans="3:5" x14ac:dyDescent="0.2">
      <c r="C30" s="60"/>
      <c r="D30" s="78"/>
      <c r="E30" s="92"/>
    </row>
    <row r="31" spans="3:5" x14ac:dyDescent="0.2">
      <c r="C31" s="60"/>
      <c r="D31" s="78"/>
      <c r="E31" s="92"/>
    </row>
    <row r="32" spans="3:5" ht="15.75" x14ac:dyDescent="0.25">
      <c r="C32" s="60"/>
      <c r="D32" s="79" t="s">
        <v>162</v>
      </c>
      <c r="E32" s="92"/>
    </row>
    <row r="33" spans="3:5" x14ac:dyDescent="0.2">
      <c r="C33" s="60"/>
      <c r="D33" s="78"/>
      <c r="E33" s="92"/>
    </row>
    <row r="34" spans="3:5" x14ac:dyDescent="0.2">
      <c r="C34" s="60"/>
      <c r="D34" s="78"/>
      <c r="E34" s="92"/>
    </row>
    <row r="35" spans="3:5" x14ac:dyDescent="0.2">
      <c r="C35" s="60"/>
      <c r="D35" s="78"/>
      <c r="E35" s="92"/>
    </row>
    <row r="36" spans="3:5" x14ac:dyDescent="0.2">
      <c r="C36" s="60"/>
      <c r="D36" s="111" t="e">
        <f>IF(OdgovorniProjektantA=0,"...","")</f>
        <v>#REF!</v>
      </c>
      <c r="E36" s="92"/>
    </row>
    <row r="37" spans="3:5" x14ac:dyDescent="0.2">
      <c r="C37" s="60"/>
      <c r="D37" s="95" t="s">
        <v>122</v>
      </c>
      <c r="E37" s="92"/>
    </row>
    <row r="38" spans="3:5" x14ac:dyDescent="0.2">
      <c r="C38" s="60"/>
      <c r="D38"/>
      <c r="E38" s="92"/>
    </row>
    <row r="39" spans="3:5" x14ac:dyDescent="0.2">
      <c r="C39" s="60"/>
      <c r="D39"/>
      <c r="E39" s="92"/>
    </row>
    <row r="40" spans="3:5" x14ac:dyDescent="0.2">
      <c r="C40" s="60"/>
      <c r="D40"/>
      <c r="E40" s="92"/>
    </row>
    <row r="41" spans="3:5" x14ac:dyDescent="0.2">
      <c r="C41" s="60"/>
      <c r="D41" s="116" t="s">
        <v>174</v>
      </c>
      <c r="E41" s="92"/>
    </row>
    <row r="42" spans="3:5" ht="45" x14ac:dyDescent="0.2">
      <c r="C42" s="60"/>
      <c r="D42" s="116" t="s">
        <v>175</v>
      </c>
      <c r="E42" s="92"/>
    </row>
    <row r="43" spans="3:5" ht="30" x14ac:dyDescent="0.2">
      <c r="C43" s="60"/>
      <c r="D43" s="116" t="s">
        <v>176</v>
      </c>
      <c r="E43" s="92"/>
    </row>
    <row r="44" spans="3:5" ht="60" x14ac:dyDescent="0.2">
      <c r="C44" s="60"/>
      <c r="D44" s="116" t="s">
        <v>177</v>
      </c>
      <c r="E44" s="92"/>
    </row>
    <row r="45" spans="3:5" ht="30" x14ac:dyDescent="0.2">
      <c r="C45" s="60"/>
      <c r="D45" s="116" t="s">
        <v>178</v>
      </c>
      <c r="E45" s="92"/>
    </row>
    <row r="46" spans="3:5" x14ac:dyDescent="0.2">
      <c r="C46" s="60"/>
      <c r="D46"/>
      <c r="E46" s="92"/>
    </row>
    <row r="47" spans="3:5" x14ac:dyDescent="0.2">
      <c r="C47" s="60"/>
      <c r="D47"/>
      <c r="E47" s="92"/>
    </row>
    <row r="48" spans="3:5" x14ac:dyDescent="0.2">
      <c r="C48" s="60"/>
      <c r="D48"/>
      <c r="E48" s="92"/>
    </row>
    <row r="49" spans="3:5" x14ac:dyDescent="0.2">
      <c r="C49" s="60"/>
      <c r="D49"/>
      <c r="E49" s="92"/>
    </row>
    <row r="50" spans="3:5" x14ac:dyDescent="0.2">
      <c r="C50" s="60"/>
      <c r="D50"/>
      <c r="E50" s="92"/>
    </row>
    <row r="51" spans="3:5" x14ac:dyDescent="0.2">
      <c r="C51" s="60"/>
      <c r="D51"/>
      <c r="E51" s="92"/>
    </row>
    <row r="52" spans="3:5" x14ac:dyDescent="0.2">
      <c r="C52" s="60"/>
      <c r="D52"/>
      <c r="E52" s="92"/>
    </row>
    <row r="53" spans="3:5" x14ac:dyDescent="0.2">
      <c r="C53" s="60"/>
      <c r="D53"/>
      <c r="E53" s="92"/>
    </row>
    <row r="54" spans="3:5" x14ac:dyDescent="0.2">
      <c r="C54" s="60"/>
      <c r="D54"/>
      <c r="E54" s="92"/>
    </row>
    <row r="55" spans="3:5" x14ac:dyDescent="0.2">
      <c r="C55" s="60"/>
      <c r="D55"/>
      <c r="E55" s="92"/>
    </row>
    <row r="56" spans="3:5" x14ac:dyDescent="0.2">
      <c r="C56" s="60"/>
      <c r="D56"/>
      <c r="E56" s="92"/>
    </row>
    <row r="57" spans="3:5" x14ac:dyDescent="0.2">
      <c r="C57" s="60"/>
      <c r="D57"/>
      <c r="E57" s="92"/>
    </row>
    <row r="58" spans="3:5" x14ac:dyDescent="0.2">
      <c r="C58" s="60"/>
      <c r="D58"/>
      <c r="E58" s="92"/>
    </row>
    <row r="59" spans="3:5" x14ac:dyDescent="0.2">
      <c r="C59" s="60"/>
      <c r="D59"/>
      <c r="E59" s="92"/>
    </row>
    <row r="60" spans="3:5" x14ac:dyDescent="0.2">
      <c r="C60" s="60"/>
      <c r="D60"/>
      <c r="E60" s="92"/>
    </row>
    <row r="61" spans="3:5" x14ac:dyDescent="0.2">
      <c r="C61" s="60"/>
      <c r="D61"/>
      <c r="E61" s="92"/>
    </row>
    <row r="62" spans="3:5" x14ac:dyDescent="0.2">
      <c r="C62" s="60"/>
      <c r="D62"/>
      <c r="E62" s="92"/>
    </row>
    <row r="63" spans="3:5" x14ac:dyDescent="0.2">
      <c r="C63" s="60"/>
      <c r="D63"/>
      <c r="E63" s="92"/>
    </row>
    <row r="64" spans="3:5" x14ac:dyDescent="0.2">
      <c r="C64" s="60"/>
      <c r="D64"/>
      <c r="E64" s="92"/>
    </row>
    <row r="65" spans="3:5" x14ac:dyDescent="0.2">
      <c r="C65" s="60"/>
      <c r="D65"/>
      <c r="E65" s="92"/>
    </row>
    <row r="66" spans="3:5" x14ac:dyDescent="0.2">
      <c r="C66" s="60"/>
      <c r="D66"/>
      <c r="E66" s="92"/>
    </row>
    <row r="67" spans="3:5" x14ac:dyDescent="0.2">
      <c r="C67" s="60"/>
      <c r="D67"/>
      <c r="E67" s="92"/>
    </row>
    <row r="68" spans="3:5" x14ac:dyDescent="0.2">
      <c r="C68" s="60"/>
      <c r="D68"/>
      <c r="E68" s="92"/>
    </row>
    <row r="69" spans="3:5" x14ac:dyDescent="0.2">
      <c r="C69" s="60"/>
      <c r="D69"/>
      <c r="E69" s="92"/>
    </row>
    <row r="70" spans="3:5" x14ac:dyDescent="0.2">
      <c r="C70" s="60"/>
      <c r="D70"/>
      <c r="E70" s="92"/>
    </row>
    <row r="71" spans="3:5" x14ac:dyDescent="0.2">
      <c r="C71" s="60"/>
      <c r="D71"/>
      <c r="E71" s="92"/>
    </row>
    <row r="72" spans="3:5" x14ac:dyDescent="0.2">
      <c r="C72" s="60"/>
      <c r="D72"/>
      <c r="E72" s="92"/>
    </row>
    <row r="73" spans="3:5" x14ac:dyDescent="0.2">
      <c r="C73" s="60"/>
      <c r="D73" s="78"/>
      <c r="E73" s="92"/>
    </row>
    <row r="74" spans="3:5" x14ac:dyDescent="0.2">
      <c r="C74" s="60"/>
      <c r="D74" s="97" t="str">
        <f>IF(ProjektnaOrganizacijaA=0,"...",ProjektnaOrganizacijaA)</f>
        <v>...</v>
      </c>
      <c r="E74" s="92"/>
    </row>
    <row r="75" spans="3:5" x14ac:dyDescent="0.2">
      <c r="C75" s="60"/>
      <c r="D75" s="83" t="s">
        <v>172</v>
      </c>
      <c r="E75" s="92"/>
    </row>
    <row r="76" spans="3:5" x14ac:dyDescent="0.2">
      <c r="C76" s="60"/>
      <c r="D76" s="78"/>
      <c r="E76" s="92"/>
    </row>
    <row r="77" spans="3:5" x14ac:dyDescent="0.2">
      <c r="C77" s="60"/>
      <c r="D77" s="78"/>
      <c r="E77" s="92"/>
    </row>
    <row r="78" spans="3:5" x14ac:dyDescent="0.2">
      <c r="C78" s="60"/>
      <c r="D78" s="78"/>
      <c r="E78" s="92"/>
    </row>
    <row r="79" spans="3:5" x14ac:dyDescent="0.2">
      <c r="C79" s="60"/>
      <c r="D79" s="78"/>
      <c r="E79" s="92"/>
    </row>
    <row r="80" spans="3:5" x14ac:dyDescent="0.2">
      <c r="C80" s="60"/>
      <c r="D80" s="78" t="s">
        <v>170</v>
      </c>
      <c r="E80" s="92"/>
    </row>
    <row r="81" spans="3:5" x14ac:dyDescent="0.2">
      <c r="C81" s="60"/>
      <c r="D81" s="86" t="s">
        <v>173</v>
      </c>
      <c r="E81" s="92"/>
    </row>
    <row r="82" spans="3:5" x14ac:dyDescent="0.2">
      <c r="C82" s="92"/>
      <c r="D82" s="78"/>
      <c r="E82" s="92"/>
    </row>
    <row r="83" spans="3:5" x14ac:dyDescent="0.2">
      <c r="C83" s="93"/>
      <c r="D83" s="93"/>
      <c r="E83" s="93"/>
    </row>
    <row r="93" spans="3:5" ht="15" customHeight="1" x14ac:dyDescent="0.2"/>
    <row r="175" ht="15.75" customHeight="1" x14ac:dyDescent="0.2"/>
    <row r="196" ht="15" customHeight="1" x14ac:dyDescent="0.2"/>
  </sheetData>
  <mergeCells count="1"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C1:E70"/>
  <sheetViews>
    <sheetView workbookViewId="0">
      <pane ySplit="1" topLeftCell="A8" activePane="bottomLeft" state="frozen"/>
      <selection activeCell="F24" sqref="F24"/>
      <selection pane="bottomLeft" activeCell="D18" sqref="D18"/>
    </sheetView>
  </sheetViews>
  <sheetFormatPr defaultRowHeight="15" x14ac:dyDescent="0.2"/>
  <cols>
    <col min="1" max="3" width="2.21875" style="91" customWidth="1"/>
    <col min="4" max="4" width="69.77734375" style="91" customWidth="1"/>
    <col min="5" max="187" width="2.21875" style="91" customWidth="1"/>
    <col min="188" max="16384" width="8.88671875" style="91"/>
  </cols>
  <sheetData>
    <row r="1" spans="3:5" s="90" customFormat="1" ht="30" customHeight="1" thickBot="1" x14ac:dyDescent="0.25"/>
    <row r="2" spans="3:5" ht="15.75" thickTop="1" x14ac:dyDescent="0.2"/>
    <row r="7" spans="3:5" x14ac:dyDescent="0.2">
      <c r="C7" s="75"/>
      <c r="D7" s="75"/>
      <c r="E7" s="75"/>
    </row>
    <row r="8" spans="3:5" x14ac:dyDescent="0.2">
      <c r="C8" s="76"/>
      <c r="D8" s="76"/>
      <c r="E8" s="60"/>
    </row>
    <row r="9" spans="3:5" x14ac:dyDescent="0.2">
      <c r="C9" s="92"/>
      <c r="D9" s="78"/>
      <c r="E9" s="60"/>
    </row>
    <row r="10" spans="3:5" x14ac:dyDescent="0.2">
      <c r="C10" s="92"/>
      <c r="D10" s="78"/>
      <c r="E10" s="60"/>
    </row>
    <row r="11" spans="3:5" ht="31.5" x14ac:dyDescent="0.25">
      <c r="C11" s="92"/>
      <c r="D11" s="110" t="s">
        <v>180</v>
      </c>
      <c r="E11" s="60"/>
    </row>
    <row r="12" spans="3:5" x14ac:dyDescent="0.2">
      <c r="C12" s="92"/>
      <c r="D12" s="78"/>
      <c r="E12" s="60"/>
    </row>
    <row r="13" spans="3:5" x14ac:dyDescent="0.2">
      <c r="C13" s="92"/>
      <c r="D13" s="78"/>
      <c r="E13" s="60"/>
    </row>
    <row r="14" spans="3:5" x14ac:dyDescent="0.2">
      <c r="C14" s="92"/>
      <c r="D14"/>
      <c r="E14" s="60"/>
    </row>
    <row r="15" spans="3:5" x14ac:dyDescent="0.2">
      <c r="C15" s="92"/>
      <c r="D15" t="s">
        <v>129</v>
      </c>
      <c r="E15" s="60"/>
    </row>
    <row r="16" spans="3:5" x14ac:dyDescent="0.2">
      <c r="C16" s="92"/>
      <c r="D16"/>
      <c r="E16" s="60"/>
    </row>
    <row r="17" spans="3:5" x14ac:dyDescent="0.2">
      <c r="C17" s="92"/>
      <c r="D17" s="117" t="s">
        <v>181</v>
      </c>
      <c r="E17" s="60"/>
    </row>
    <row r="18" spans="3:5" x14ac:dyDescent="0.2">
      <c r="C18" s="92"/>
      <c r="D18" s="83" t="s">
        <v>122</v>
      </c>
      <c r="E18" s="60"/>
    </row>
    <row r="19" spans="3:5" x14ac:dyDescent="0.2">
      <c r="C19" s="92"/>
      <c r="D19"/>
      <c r="E19" s="60"/>
    </row>
    <row r="20" spans="3:5" x14ac:dyDescent="0.2">
      <c r="C20" s="92"/>
      <c r="D20"/>
      <c r="E20" s="60"/>
    </row>
    <row r="21" spans="3:5" x14ac:dyDescent="0.2">
      <c r="C21" s="92"/>
      <c r="D21"/>
      <c r="E21" s="60"/>
    </row>
    <row r="22" spans="3:5" x14ac:dyDescent="0.2">
      <c r="C22" s="92"/>
      <c r="D22"/>
      <c r="E22" s="60"/>
    </row>
    <row r="23" spans="3:5" x14ac:dyDescent="0.2">
      <c r="C23" s="92"/>
      <c r="D23"/>
      <c r="E23" s="60"/>
    </row>
    <row r="24" spans="3:5" x14ac:dyDescent="0.2">
      <c r="C24" s="92"/>
      <c r="D24"/>
      <c r="E24" s="60"/>
    </row>
    <row r="25" spans="3:5" x14ac:dyDescent="0.2">
      <c r="C25" s="92"/>
      <c r="D25"/>
      <c r="E25" s="60"/>
    </row>
    <row r="26" spans="3:5" x14ac:dyDescent="0.2">
      <c r="C26" s="92"/>
      <c r="D26"/>
      <c r="E26" s="60"/>
    </row>
    <row r="27" spans="3:5" x14ac:dyDescent="0.2">
      <c r="C27" s="92"/>
      <c r="D27"/>
      <c r="E27" s="60"/>
    </row>
    <row r="28" spans="3:5" x14ac:dyDescent="0.2">
      <c r="C28" s="92"/>
      <c r="D28"/>
      <c r="E28" s="60"/>
    </row>
    <row r="29" spans="3:5" x14ac:dyDescent="0.2">
      <c r="C29" s="92"/>
      <c r="D29"/>
      <c r="E29" s="60"/>
    </row>
    <row r="30" spans="3:5" x14ac:dyDescent="0.2">
      <c r="C30" s="92"/>
      <c r="D30"/>
      <c r="E30" s="60"/>
    </row>
    <row r="31" spans="3:5" x14ac:dyDescent="0.2">
      <c r="C31" s="92"/>
      <c r="D31"/>
      <c r="E31" s="60"/>
    </row>
    <row r="32" spans="3:5" x14ac:dyDescent="0.2">
      <c r="C32" s="92"/>
      <c r="D32"/>
      <c r="E32" s="60"/>
    </row>
    <row r="33" spans="3:5" x14ac:dyDescent="0.2">
      <c r="C33" s="92"/>
      <c r="D33"/>
      <c r="E33" s="60"/>
    </row>
    <row r="34" spans="3:5" x14ac:dyDescent="0.2">
      <c r="C34" s="92"/>
      <c r="D34"/>
      <c r="E34" s="60"/>
    </row>
    <row r="35" spans="3:5" x14ac:dyDescent="0.2">
      <c r="C35" s="92"/>
      <c r="D35"/>
      <c r="E35" s="60"/>
    </row>
    <row r="36" spans="3:5" x14ac:dyDescent="0.2">
      <c r="C36" s="92"/>
      <c r="D36"/>
      <c r="E36" s="60"/>
    </row>
    <row r="37" spans="3:5" x14ac:dyDescent="0.2">
      <c r="C37" s="92"/>
      <c r="D37"/>
      <c r="E37" s="60"/>
    </row>
    <row r="38" spans="3:5" x14ac:dyDescent="0.2">
      <c r="C38" s="92"/>
      <c r="D38"/>
      <c r="E38" s="60"/>
    </row>
    <row r="39" spans="3:5" x14ac:dyDescent="0.2">
      <c r="C39" s="92"/>
      <c r="D39"/>
      <c r="E39" s="60"/>
    </row>
    <row r="40" spans="3:5" x14ac:dyDescent="0.2">
      <c r="C40" s="92"/>
      <c r="D40"/>
      <c r="E40" s="60"/>
    </row>
    <row r="41" spans="3:5" x14ac:dyDescent="0.2">
      <c r="C41" s="92"/>
      <c r="D41"/>
      <c r="E41" s="60"/>
    </row>
    <row r="42" spans="3:5" x14ac:dyDescent="0.2">
      <c r="C42" s="92"/>
      <c r="D42"/>
      <c r="E42" s="60"/>
    </row>
    <row r="43" spans="3:5" x14ac:dyDescent="0.2">
      <c r="C43" s="92"/>
      <c r="D43"/>
      <c r="E43" s="60"/>
    </row>
    <row r="44" spans="3:5" x14ac:dyDescent="0.2">
      <c r="C44" s="92"/>
      <c r="D44"/>
      <c r="E44" s="60"/>
    </row>
    <row r="45" spans="3:5" x14ac:dyDescent="0.2">
      <c r="C45" s="92"/>
      <c r="D45"/>
      <c r="E45" s="60"/>
    </row>
    <row r="46" spans="3:5" x14ac:dyDescent="0.2">
      <c r="C46" s="92"/>
      <c r="D46"/>
      <c r="E46" s="60"/>
    </row>
    <row r="47" spans="3:5" x14ac:dyDescent="0.2">
      <c r="C47" s="92"/>
      <c r="D47"/>
      <c r="E47" s="60"/>
    </row>
    <row r="48" spans="3:5" x14ac:dyDescent="0.2">
      <c r="C48" s="92"/>
      <c r="D48"/>
      <c r="E48" s="60"/>
    </row>
    <row r="49" spans="3:5" x14ac:dyDescent="0.2">
      <c r="C49" s="92"/>
      <c r="D49"/>
      <c r="E49" s="60"/>
    </row>
    <row r="50" spans="3:5" x14ac:dyDescent="0.2">
      <c r="C50" s="93"/>
      <c r="D50" s="93"/>
      <c r="E50" s="93"/>
    </row>
    <row r="51" spans="3:5" x14ac:dyDescent="0.2">
      <c r="E51" s="89"/>
    </row>
    <row r="70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C1:E188"/>
  <sheetViews>
    <sheetView zoomScaleNormal="100" workbookViewId="0">
      <pane ySplit="1" topLeftCell="A50" activePane="bottomLeft" state="frozen"/>
      <selection activeCell="G32" sqref="G32"/>
      <selection pane="bottomLeft" activeCell="AE20" sqref="AE20"/>
    </sheetView>
  </sheetViews>
  <sheetFormatPr defaultRowHeight="15" x14ac:dyDescent="0.2"/>
  <cols>
    <col min="1" max="3" width="2.21875" style="91" customWidth="1"/>
    <col min="4" max="4" width="69.77734375" style="91" customWidth="1"/>
    <col min="5" max="187" width="2.21875" style="91" customWidth="1"/>
    <col min="188" max="16384" width="8.88671875" style="91"/>
  </cols>
  <sheetData>
    <row r="1" spans="3:5" s="90" customFormat="1" ht="30" customHeight="1" thickBot="1" x14ac:dyDescent="0.25">
      <c r="C1" s="120"/>
      <c r="D1" s="120"/>
      <c r="E1" s="120"/>
    </row>
    <row r="2" spans="3:5" ht="15.75" thickTop="1" x14ac:dyDescent="0.2"/>
    <row r="7" spans="3:5" x14ac:dyDescent="0.2">
      <c r="C7" s="75"/>
      <c r="D7" s="75"/>
      <c r="E7" s="75"/>
    </row>
    <row r="8" spans="3:5" x14ac:dyDescent="0.2">
      <c r="C8" s="76"/>
      <c r="D8" s="76"/>
      <c r="E8" s="76"/>
    </row>
    <row r="9" spans="3:5" x14ac:dyDescent="0.2">
      <c r="C9" s="60"/>
      <c r="D9" s="78"/>
      <c r="E9" s="92"/>
    </row>
    <row r="10" spans="3:5" x14ac:dyDescent="0.2">
      <c r="C10" s="60"/>
      <c r="D10" s="78"/>
      <c r="E10" s="92"/>
    </row>
    <row r="11" spans="3:5" ht="31.5" x14ac:dyDescent="0.25">
      <c r="C11" s="60"/>
      <c r="D11" s="110" t="s">
        <v>183</v>
      </c>
      <c r="E11" s="92"/>
    </row>
    <row r="12" spans="3:5" x14ac:dyDescent="0.2">
      <c r="C12" s="60"/>
      <c r="D12" s="78"/>
      <c r="E12" s="92"/>
    </row>
    <row r="13" spans="3:5" x14ac:dyDescent="0.2">
      <c r="C13" s="60"/>
      <c r="D13" s="78"/>
      <c r="E13" s="92"/>
    </row>
    <row r="14" spans="3:5" x14ac:dyDescent="0.2">
      <c r="C14" s="60"/>
      <c r="D14" s="78"/>
      <c r="E14" s="92"/>
    </row>
    <row r="15" spans="3:5" x14ac:dyDescent="0.2">
      <c r="C15" s="60"/>
      <c r="D15" s="81" t="str">
        <f>IF(Investitor=0,"...","")</f>
        <v>...</v>
      </c>
      <c r="E15" s="92"/>
    </row>
    <row r="16" spans="3:5" x14ac:dyDescent="0.2">
      <c r="C16" s="60"/>
      <c r="D16" s="83" t="s">
        <v>14</v>
      </c>
      <c r="E16" s="92"/>
    </row>
    <row r="17" spans="3:5" x14ac:dyDescent="0.2">
      <c r="C17" s="60"/>
      <c r="D17" s="84" t="str">
        <f>IF(Objekat=0,"...","")</f>
        <v>...</v>
      </c>
      <c r="E17" s="92"/>
    </row>
    <row r="18" spans="3:5" x14ac:dyDescent="0.2">
      <c r="C18" s="60"/>
      <c r="D18" s="83" t="s">
        <v>18</v>
      </c>
      <c r="E18" s="92"/>
    </row>
    <row r="19" spans="3:5" x14ac:dyDescent="0.2">
      <c r="C19" s="60"/>
      <c r="D19" s="78" t="s">
        <v>103</v>
      </c>
      <c r="E19" s="92"/>
    </row>
    <row r="20" spans="3:5" x14ac:dyDescent="0.2">
      <c r="C20" s="60"/>
      <c r="D20" s="83" t="s">
        <v>104</v>
      </c>
      <c r="E20" s="92"/>
    </row>
    <row r="21" spans="3:5" x14ac:dyDescent="0.2">
      <c r="C21" s="60"/>
      <c r="D21" s="85" t="str">
        <f>IF(VrstaRadova=0,"...","")</f>
        <v>...</v>
      </c>
      <c r="E21" s="92"/>
    </row>
    <row r="22" spans="3:5" x14ac:dyDescent="0.2">
      <c r="C22" s="60"/>
      <c r="D22" s="101" t="s">
        <v>107</v>
      </c>
      <c r="E22" s="92"/>
    </row>
    <row r="23" spans="3:5" x14ac:dyDescent="0.2">
      <c r="C23" s="60"/>
      <c r="D23" s="78" t="s">
        <v>159</v>
      </c>
      <c r="E23" s="92"/>
    </row>
    <row r="24" spans="3:5" x14ac:dyDescent="0.2">
      <c r="C24" s="60"/>
      <c r="D24" s="101" t="s">
        <v>106</v>
      </c>
      <c r="E24" s="92"/>
    </row>
    <row r="25" spans="3:5" x14ac:dyDescent="0.2">
      <c r="C25" s="60"/>
      <c r="D25" s="114" t="s">
        <v>185</v>
      </c>
      <c r="E25" s="92"/>
    </row>
    <row r="26" spans="3:5" x14ac:dyDescent="0.2">
      <c r="C26" s="60"/>
      <c r="D26" s="101" t="s">
        <v>184</v>
      </c>
      <c r="E26" s="92"/>
    </row>
    <row r="27" spans="3:5" x14ac:dyDescent="0.2">
      <c r="C27" s="60"/>
      <c r="D27" s="78" t="s">
        <v>159</v>
      </c>
      <c r="E27" s="92"/>
    </row>
    <row r="28" spans="3:5" x14ac:dyDescent="0.2">
      <c r="C28" s="60"/>
      <c r="D28" s="101" t="s">
        <v>179</v>
      </c>
      <c r="E28" s="92"/>
    </row>
    <row r="29" spans="3:5" x14ac:dyDescent="0.2">
      <c r="C29" s="60"/>
      <c r="D29" s="113"/>
      <c r="E29" s="92"/>
    </row>
    <row r="30" spans="3:5" x14ac:dyDescent="0.2">
      <c r="C30" s="60"/>
      <c r="D30" s="78"/>
      <c r="E30" s="92"/>
    </row>
    <row r="31" spans="3:5" x14ac:dyDescent="0.2">
      <c r="C31" s="60"/>
      <c r="D31" s="78"/>
      <c r="E31" s="92"/>
    </row>
    <row r="32" spans="3:5" ht="15.75" x14ac:dyDescent="0.25">
      <c r="C32" s="60"/>
      <c r="D32" s="118" t="s">
        <v>187</v>
      </c>
      <c r="E32" s="92"/>
    </row>
    <row r="33" spans="3:5" x14ac:dyDescent="0.2">
      <c r="C33" s="60"/>
      <c r="D33" s="78"/>
      <c r="E33" s="92"/>
    </row>
    <row r="34" spans="3:5" ht="150" x14ac:dyDescent="0.2">
      <c r="C34" s="60"/>
      <c r="D34" s="114" t="s">
        <v>186</v>
      </c>
      <c r="E34" s="92"/>
    </row>
    <row r="35" spans="3:5" x14ac:dyDescent="0.2">
      <c r="C35" s="60"/>
      <c r="D35" s="78"/>
      <c r="E35" s="92"/>
    </row>
    <row r="36" spans="3:5" x14ac:dyDescent="0.2">
      <c r="C36" s="60"/>
      <c r="D36" s="78"/>
      <c r="E36" s="92"/>
    </row>
    <row r="37" spans="3:5" x14ac:dyDescent="0.2">
      <c r="C37" s="60"/>
      <c r="D37" s="78"/>
      <c r="E37" s="92"/>
    </row>
    <row r="38" spans="3:5" ht="15.75" x14ac:dyDescent="0.25">
      <c r="C38" s="60"/>
      <c r="D38" s="118" t="s">
        <v>189</v>
      </c>
      <c r="E38" s="92"/>
    </row>
    <row r="39" spans="3:5" x14ac:dyDescent="0.2">
      <c r="C39" s="60"/>
      <c r="D39" s="78"/>
      <c r="E39" s="92"/>
    </row>
    <row r="40" spans="3:5" ht="75" x14ac:dyDescent="0.2">
      <c r="C40" s="60"/>
      <c r="D40" s="114" t="s">
        <v>188</v>
      </c>
      <c r="E40" s="92"/>
    </row>
    <row r="41" spans="3:5" x14ac:dyDescent="0.2">
      <c r="C41" s="60"/>
      <c r="D41"/>
      <c r="E41" s="92"/>
    </row>
    <row r="42" spans="3:5" x14ac:dyDescent="0.2">
      <c r="C42" s="60"/>
      <c r="D42"/>
      <c r="E42" s="92"/>
    </row>
    <row r="43" spans="3:5" x14ac:dyDescent="0.2">
      <c r="C43" s="60"/>
      <c r="D43"/>
      <c r="E43" s="92"/>
    </row>
    <row r="44" spans="3:5" x14ac:dyDescent="0.2">
      <c r="C44" s="60"/>
      <c r="D44"/>
      <c r="E44" s="92"/>
    </row>
    <row r="45" spans="3:5" x14ac:dyDescent="0.2">
      <c r="C45" s="60"/>
      <c r="D45"/>
      <c r="E45" s="92"/>
    </row>
    <row r="46" spans="3:5" x14ac:dyDescent="0.2">
      <c r="C46" s="60"/>
      <c r="D46"/>
      <c r="E46" s="92"/>
    </row>
    <row r="47" spans="3:5" x14ac:dyDescent="0.2">
      <c r="C47" s="60"/>
      <c r="D47"/>
      <c r="E47" s="92"/>
    </row>
    <row r="48" spans="3:5" x14ac:dyDescent="0.2">
      <c r="C48" s="60"/>
      <c r="D48"/>
      <c r="E48" s="92"/>
    </row>
    <row r="49" spans="3:5" x14ac:dyDescent="0.2">
      <c r="C49" s="60"/>
      <c r="D49"/>
      <c r="E49" s="92"/>
    </row>
    <row r="50" spans="3:5" x14ac:dyDescent="0.2">
      <c r="C50" s="60"/>
      <c r="D50"/>
      <c r="E50" s="92"/>
    </row>
    <row r="51" spans="3:5" x14ac:dyDescent="0.2">
      <c r="C51" s="60"/>
      <c r="D51"/>
      <c r="E51" s="92"/>
    </row>
    <row r="52" spans="3:5" x14ac:dyDescent="0.2">
      <c r="C52" s="60"/>
      <c r="D52"/>
      <c r="E52" s="92"/>
    </row>
    <row r="53" spans="3:5" x14ac:dyDescent="0.2">
      <c r="C53" s="60"/>
      <c r="D53"/>
      <c r="E53" s="92"/>
    </row>
    <row r="54" spans="3:5" x14ac:dyDescent="0.2">
      <c r="C54" s="60"/>
      <c r="D54"/>
      <c r="E54" s="92"/>
    </row>
    <row r="55" spans="3:5" x14ac:dyDescent="0.2">
      <c r="C55" s="60"/>
      <c r="D55"/>
      <c r="E55" s="92"/>
    </row>
    <row r="56" spans="3:5" x14ac:dyDescent="0.2">
      <c r="C56" s="60"/>
      <c r="D56"/>
      <c r="E56" s="92"/>
    </row>
    <row r="57" spans="3:5" x14ac:dyDescent="0.2">
      <c r="C57" s="60"/>
      <c r="D57"/>
      <c r="E57" s="92"/>
    </row>
    <row r="58" spans="3:5" x14ac:dyDescent="0.2">
      <c r="C58" s="60"/>
      <c r="D58"/>
      <c r="E58" s="92"/>
    </row>
    <row r="59" spans="3:5" x14ac:dyDescent="0.2">
      <c r="C59" s="60"/>
      <c r="D59"/>
      <c r="E59" s="92"/>
    </row>
    <row r="60" spans="3:5" x14ac:dyDescent="0.2">
      <c r="C60" s="60"/>
      <c r="D60"/>
      <c r="E60" s="92"/>
    </row>
    <row r="61" spans="3:5" x14ac:dyDescent="0.2">
      <c r="C61" s="60"/>
      <c r="D61"/>
      <c r="E61" s="92"/>
    </row>
    <row r="62" spans="3:5" x14ac:dyDescent="0.2">
      <c r="C62" s="60"/>
      <c r="D62"/>
      <c r="E62" s="92"/>
    </row>
    <row r="63" spans="3:5" x14ac:dyDescent="0.2">
      <c r="C63" s="60"/>
      <c r="D63"/>
      <c r="E63" s="92"/>
    </row>
    <row r="64" spans="3:5" x14ac:dyDescent="0.2">
      <c r="C64" s="60"/>
      <c r="D64"/>
      <c r="E64" s="92"/>
    </row>
    <row r="65" spans="3:5" x14ac:dyDescent="0.2">
      <c r="C65" s="60"/>
      <c r="D65" s="78"/>
      <c r="E65" s="92"/>
    </row>
    <row r="66" spans="3:5" x14ac:dyDescent="0.2">
      <c r="C66" s="60"/>
      <c r="D66" s="115" t="s">
        <v>181</v>
      </c>
      <c r="E66" s="92"/>
    </row>
    <row r="67" spans="3:5" x14ac:dyDescent="0.2">
      <c r="C67" s="60"/>
      <c r="D67" s="83" t="s">
        <v>172</v>
      </c>
      <c r="E67" s="92"/>
    </row>
    <row r="68" spans="3:5" x14ac:dyDescent="0.2">
      <c r="C68" s="60"/>
      <c r="D68" s="78"/>
      <c r="E68" s="92"/>
    </row>
    <row r="69" spans="3:5" x14ac:dyDescent="0.2">
      <c r="C69" s="60"/>
      <c r="D69" s="78"/>
      <c r="E69" s="92"/>
    </row>
    <row r="70" spans="3:5" x14ac:dyDescent="0.2">
      <c r="C70" s="60"/>
      <c r="D70" s="78"/>
      <c r="E70" s="92"/>
    </row>
    <row r="71" spans="3:5" x14ac:dyDescent="0.2">
      <c r="C71" s="60"/>
      <c r="D71" s="78"/>
      <c r="E71" s="92"/>
    </row>
    <row r="72" spans="3:5" x14ac:dyDescent="0.2">
      <c r="C72" s="60"/>
      <c r="D72" s="114" t="s">
        <v>181</v>
      </c>
      <c r="E72" s="92"/>
    </row>
    <row r="73" spans="3:5" x14ac:dyDescent="0.2">
      <c r="C73" s="60"/>
      <c r="D73" s="86" t="s">
        <v>173</v>
      </c>
      <c r="E73" s="92"/>
    </row>
    <row r="74" spans="3:5" x14ac:dyDescent="0.2">
      <c r="C74" s="92"/>
      <c r="D74" s="78"/>
      <c r="E74" s="92"/>
    </row>
    <row r="75" spans="3:5" x14ac:dyDescent="0.2">
      <c r="C75" s="93"/>
      <c r="D75" s="93"/>
      <c r="E75" s="93"/>
    </row>
    <row r="85" ht="15" customHeight="1" x14ac:dyDescent="0.2"/>
    <row r="167" ht="15.75" customHeight="1" x14ac:dyDescent="0.2"/>
    <row r="188" ht="15" customHeight="1" x14ac:dyDescent="0.2"/>
  </sheetData>
  <mergeCells count="1"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61</vt:i4>
      </vt:variant>
    </vt:vector>
  </HeadingPairs>
  <TitlesOfParts>
    <vt:vector size="78" baseType="lpstr">
      <vt:lpstr>Index</vt:lpstr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11</vt:lpstr>
      <vt:lpstr>13</vt:lpstr>
      <vt:lpstr>14</vt:lpstr>
      <vt:lpstr>17</vt:lpstr>
      <vt:lpstr>22</vt:lpstr>
      <vt:lpstr>23</vt:lpstr>
      <vt:lpstr>241</vt:lpstr>
      <vt:lpstr>BrojFunkcionalnihJedinica</vt:lpstr>
      <vt:lpstr>BrojParkingMesta</vt:lpstr>
      <vt:lpstr>BrutoPovrsinaPr</vt:lpstr>
      <vt:lpstr>CenaPoM2</vt:lpstr>
      <vt:lpstr>Datum</vt:lpstr>
      <vt:lpstr>EvidencioniBroj</vt:lpstr>
      <vt:lpstr>IndeksIzgradjenosti</vt:lpstr>
      <vt:lpstr>IndeksZauzetosti</vt:lpstr>
      <vt:lpstr>Investitor</vt:lpstr>
      <vt:lpstr>KatastarskeParcele</vt:lpstr>
      <vt:lpstr>KategorijaObjekta</vt:lpstr>
      <vt:lpstr>LokacijskiUslovi</vt:lpstr>
      <vt:lpstr>Mesto</vt:lpstr>
      <vt:lpstr>NagibKrova</vt:lpstr>
      <vt:lpstr>Objekat</vt:lpstr>
      <vt:lpstr>ObjekatIzKonteksta</vt:lpstr>
      <vt:lpstr>ObradaFasade</vt:lpstr>
      <vt:lpstr>ObradaKrova</vt:lpstr>
      <vt:lpstr>OdgovornoLice</vt:lpstr>
      <vt:lpstr>OdgovornoLiceGS</vt:lpstr>
      <vt:lpstr>OrjentacijaSlemena</vt:lpstr>
      <vt:lpstr>Pilot</vt:lpstr>
      <vt:lpstr>PovrsinaParcele</vt:lpstr>
      <vt:lpstr>PrikljucakNaKanalizaciju</vt:lpstr>
      <vt:lpstr>PrikljucakNaStruju</vt:lpstr>
      <vt:lpstr>PrikljucakNaVodovod</vt:lpstr>
      <vt:lpstr>'01'!Print_Area</vt:lpstr>
      <vt:lpstr>'02'!Print_Area</vt:lpstr>
      <vt:lpstr>'03'!Print_Area</vt:lpstr>
      <vt:lpstr>'04'!Print_Area</vt:lpstr>
      <vt:lpstr>'05'!Print_Area</vt:lpstr>
      <vt:lpstr>'06'!Print_Area</vt:lpstr>
      <vt:lpstr>'07'!Print_Area</vt:lpstr>
      <vt:lpstr>'08'!Print_Area</vt:lpstr>
      <vt:lpstr>'09'!Print_Area</vt:lpstr>
      <vt:lpstr>'11'!Print_Area</vt:lpstr>
      <vt:lpstr>'13'!Print_Area</vt:lpstr>
      <vt:lpstr>'14'!Print_Area</vt:lpstr>
      <vt:lpstr>'17'!Print_Area</vt:lpstr>
      <vt:lpstr>'22'!Print_Area</vt:lpstr>
      <vt:lpstr>'23'!Print_Area</vt:lpstr>
      <vt:lpstr>'241'!Print_Area</vt:lpstr>
      <vt:lpstr>Index!Print_Area</vt:lpstr>
      <vt:lpstr>ProcenatZelenihPovrsina</vt:lpstr>
      <vt:lpstr>ProjekatA</vt:lpstr>
      <vt:lpstr>ProjektnaOrganizacijaA</vt:lpstr>
      <vt:lpstr>ProjektnaOrganizacijaGS</vt:lpstr>
      <vt:lpstr>PutanjaBaze</vt:lpstr>
      <vt:lpstr>SpratnaVisina</vt:lpstr>
      <vt:lpstr>Spratnost</vt:lpstr>
      <vt:lpstr>TipObjekta</vt:lpstr>
      <vt:lpstr>UcesceKlasifikacija</vt:lpstr>
      <vt:lpstr>UkupnaBrutoPovrsina</vt:lpstr>
      <vt:lpstr>UkupnaBrutoPovrsinaNadzemno</vt:lpstr>
      <vt:lpstr>UkupnaNetoPovrsina</vt:lpstr>
      <vt:lpstr>UrbanistickiPlan</vt:lpstr>
      <vt:lpstr>VisinaSlemena</vt:lpstr>
      <vt:lpstr>VisinaVenca</vt:lpstr>
      <vt:lpstr>VrstaRadova</vt:lpstr>
      <vt:lpstr>VrstaRadovaIzKonteksta</vt:lpstr>
      <vt:lpstr>Zauzetost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Masina</dc:creator>
  <cp:lastModifiedBy>Vuk Stojanovic</cp:lastModifiedBy>
  <cp:lastPrinted>2017-10-29T20:38:29Z</cp:lastPrinted>
  <dcterms:created xsi:type="dcterms:W3CDTF">2015-09-10T18:25:48Z</dcterms:created>
  <dcterms:modified xsi:type="dcterms:W3CDTF">2017-12-22T01:05:19Z</dcterms:modified>
</cp:coreProperties>
</file>