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Vuk\Dropbox\Mehanizam\Mehanizam\Resources\"/>
    </mc:Choice>
  </mc:AlternateContent>
  <bookViews>
    <workbookView xWindow="0" yWindow="0" windowWidth="28800" windowHeight="12300"/>
  </bookViews>
  <sheets>
    <sheet name="Index" sheetId="4" r:id="rId1"/>
    <sheet name="01" sheetId="5" r:id="rId2"/>
    <sheet name="02" sheetId="6" r:id="rId3"/>
    <sheet name="03" sheetId="7" r:id="rId4"/>
    <sheet name="04" sheetId="8" r:id="rId5"/>
    <sheet name="05" sheetId="9" r:id="rId6"/>
    <sheet name="06" sheetId="10" r:id="rId7"/>
    <sheet name="07" sheetId="11" r:id="rId8"/>
    <sheet name="08" sheetId="12" state="hidden" r:id="rId9"/>
    <sheet name="09" sheetId="13" state="hidden" r:id="rId10"/>
  </sheets>
  <definedNames>
    <definedName name="BrojFunkcionalnihJedinica">Index!$F$255</definedName>
    <definedName name="BrojParkingMesta">Index!$F$259</definedName>
    <definedName name="BrutoPovrsinaPr">Index!$F$231</definedName>
    <definedName name="CenaPoM2">Index!$F$297</definedName>
    <definedName name="Datum">Index!$F$24</definedName>
    <definedName name="EvidencioniBroj">Index!$F$28</definedName>
    <definedName name="GlavnaSveskaPozicijaSlike">Index!$F$310</definedName>
    <definedName name="GlavniProjektant">Index!$F$123</definedName>
    <definedName name="GlavniProjektantPozicijaSlike">Index!$F$315</definedName>
    <definedName name="IndeksIzgradjenosti">Index!$F$293</definedName>
    <definedName name="IndeksZauzetosti">Index!$F$289</definedName>
    <definedName name="Investitor">Index!$F$39</definedName>
    <definedName name="InvestitorPozicijaSlike">Index!$F$305</definedName>
    <definedName name="KatastarskeParcele">Index!$F$186</definedName>
    <definedName name="KategorijaObjekta">Index!$F$174</definedName>
    <definedName name="LokacijskiUslovi">Index!$F$208</definedName>
    <definedName name="Mesto">Index!$F$32</definedName>
    <definedName name="NagibKrova">Index!$F$274</definedName>
    <definedName name="Objekat">Index!$F$50</definedName>
    <definedName name="ObjekatIzKonteksta">Index!$F$54</definedName>
    <definedName name="ObradaFasade">Index!$F$266</definedName>
    <definedName name="ObradaKrova">Index!$F$278</definedName>
    <definedName name="OdgovorniProjektantA">Index!$F$128</definedName>
    <definedName name="OdgovorniProjektantE">Index!$F$143</definedName>
    <definedName name="OdgovorniProjektantEEE">Index!$F$158</definedName>
    <definedName name="OdgovorniProjektantH">Index!$F$138</definedName>
    <definedName name="OdgovorniProjektantK">Index!$F$133</definedName>
    <definedName name="OdgovorniProjektantM">Index!$F$153</definedName>
    <definedName name="OdgovorniProjektantPPZ">Index!$F$163</definedName>
    <definedName name="OdgovorniProjektantTS">Index!$F$148</definedName>
    <definedName name="OdgovornoLice">Index!$F$43</definedName>
    <definedName name="OdgovornoLiceGS">Index!$F$76</definedName>
    <definedName name="OrjentacijaSlemena">Index!$F$270</definedName>
    <definedName name="Pilot">Index!$F$8</definedName>
    <definedName name="PovrsinaParcele">Index!$F$215</definedName>
    <definedName name="PrikljucakNaKanalizaciju">Index!$F$197</definedName>
    <definedName name="PrikljucakNaStruju">Index!$F$201</definedName>
    <definedName name="PrikljucakNaVodovod">Index!$F$193</definedName>
    <definedName name="_xlnm.Print_Area" localSheetId="1">'01'!$D$9:$D$46</definedName>
    <definedName name="_xlnm.Print_Area" localSheetId="2">'02'!$D$9:$D$32</definedName>
    <definedName name="_xlnm.Print_Area" localSheetId="3">'03'!$D$9:$D$40</definedName>
    <definedName name="_xlnm.Print_Area" localSheetId="4">'04'!$D$9:$D$49</definedName>
    <definedName name="_xlnm.Print_Area" localSheetId="5">'05'!$D$9:$D$19</definedName>
    <definedName name="_xlnm.Print_Area" localSheetId="6">'06'!$D$9:$D$113</definedName>
    <definedName name="_xlnm.Print_Area" localSheetId="7">'07'!$D$9:$D$92</definedName>
    <definedName name="_xlnm.Print_Area" localSheetId="8">'08'!$D$9:$D$41</definedName>
    <definedName name="_xlnm.Print_Area" localSheetId="9">'09'!$D$9:$D$41</definedName>
    <definedName name="_xlnm.Print_Area" localSheetId="0">Index!$D$2:$H$357</definedName>
    <definedName name="ProcenatZelenihPovrsina">Index!$F$285</definedName>
    <definedName name="ProjekatA">Index!$G$79</definedName>
    <definedName name="ProjekatE">Index!$G$94</definedName>
    <definedName name="ProjekatEEE">Index!$G$109</definedName>
    <definedName name="ProjekatH">Index!$G$89</definedName>
    <definedName name="ProjekatK">Index!$G$84</definedName>
    <definedName name="ProjekatM">Index!$G$104</definedName>
    <definedName name="ProjekatPPZ">Index!$G$114</definedName>
    <definedName name="ProjekatTS">Index!$G$99</definedName>
    <definedName name="ProjektantAPozicijaSlike">Index!$F$320</definedName>
    <definedName name="ProjektantEEEPozicijaSlike">Index!$F$350</definedName>
    <definedName name="ProjektantEPozicijaSlike">Index!$F$335</definedName>
    <definedName name="ProjektantHPozicijaSlike">Index!$F$330</definedName>
    <definedName name="ProjektantKPozicijaSlike">Index!$F$325</definedName>
    <definedName name="ProjektantMPozicijaSlike">Index!$F$345</definedName>
    <definedName name="ProjektantPPZPozicijaSlike">Index!$F$355</definedName>
    <definedName name="ProjektantTSPozicijaSlike">Index!$F$340</definedName>
    <definedName name="ProjektnaOrganizacijaA">Index!$F$81</definedName>
    <definedName name="ProjektnaOrganizacijaE">Index!$F$96</definedName>
    <definedName name="ProjektnaOrganizacijaEEE">Index!$F$111</definedName>
    <definedName name="ProjektnaOrganizacijaGS">Index!$F$72</definedName>
    <definedName name="ProjektnaOrganizacijaH">Index!$F$91</definedName>
    <definedName name="ProjektnaOrganizacijaK">Index!$F$86</definedName>
    <definedName name="ProjektnaOrganizacijaM">Index!$F$106</definedName>
    <definedName name="ProjektnaOrganizacijaPPZ">Index!$F$116</definedName>
    <definedName name="ProjektnaOrganizacijaTS">Index!$F$101</definedName>
    <definedName name="PutanjaBaze">Index!$F$15</definedName>
    <definedName name="SpratnaVisina">Index!$F$251</definedName>
    <definedName name="Spratnost">Index!$F$239</definedName>
    <definedName name="TipObjekta">Index!$F$170</definedName>
    <definedName name="UcesceKlasifikacija">Index!$F$178</definedName>
    <definedName name="UkupnaBrutoPovrsina">Index!$F$223</definedName>
    <definedName name="UkupnaBrutoPovrsinaNadzemno">Index!$F$219</definedName>
    <definedName name="UkupnaNetoPovrsina">Index!$F$227</definedName>
    <definedName name="UrbanistickiPlan">Index!$F$182</definedName>
    <definedName name="VisinaSlemena">Index!$F$247</definedName>
    <definedName name="VisinaVenca">Index!$F$243</definedName>
    <definedName name="VrstaRadova">Index!$F$61</definedName>
    <definedName name="VrstaRadovaIzKonteksta">Index!$F$65</definedName>
    <definedName name="Zauzetost">Index!$F$235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3" i="7" l="1"/>
  <c r="E297" i="4" l="1"/>
  <c r="F293" i="4"/>
  <c r="E293" i="4" s="1"/>
  <c r="F285" i="4"/>
  <c r="E285" i="4" s="1"/>
  <c r="F289" i="4" l="1"/>
  <c r="E289" i="4" s="1"/>
  <c r="D15" i="13"/>
  <c r="D15" i="12"/>
  <c r="D15" i="8"/>
  <c r="D19" i="13" l="1"/>
  <c r="D39" i="13"/>
  <c r="D33" i="13"/>
  <c r="D31" i="6"/>
  <c r="D29" i="6"/>
  <c r="D19" i="12"/>
  <c r="D33" i="12" l="1"/>
  <c r="D39" i="12"/>
  <c r="D111" i="10" l="1"/>
  <c r="D105" i="10"/>
  <c r="D100" i="10"/>
  <c r="D94" i="10"/>
  <c r="D88" i="10"/>
  <c r="D82" i="10"/>
  <c r="D77" i="10"/>
  <c r="D71" i="10"/>
  <c r="D66" i="10"/>
  <c r="D60" i="10"/>
  <c r="D55" i="10"/>
  <c r="D49" i="10"/>
  <c r="D43" i="10"/>
  <c r="D37" i="10"/>
  <c r="D31" i="9"/>
  <c r="D29" i="9"/>
  <c r="D27" i="9"/>
  <c r="D25" i="9"/>
  <c r="D23" i="9"/>
  <c r="D21" i="9"/>
  <c r="D19" i="9"/>
  <c r="D17" i="9"/>
  <c r="D40" i="8"/>
  <c r="D39" i="8"/>
  <c r="D38" i="8"/>
  <c r="D37" i="8"/>
  <c r="D36" i="8"/>
  <c r="D35" i="8"/>
  <c r="D34" i="8"/>
  <c r="D33" i="8"/>
  <c r="D32" i="10"/>
  <c r="E163" i="4"/>
  <c r="E158" i="4"/>
  <c r="E153" i="4"/>
  <c r="E148" i="4"/>
  <c r="E143" i="4"/>
  <c r="E138" i="4"/>
  <c r="E133" i="4"/>
  <c r="E128" i="4"/>
  <c r="E116" i="4"/>
  <c r="E111" i="4"/>
  <c r="E106" i="4"/>
  <c r="E101" i="4"/>
  <c r="E96" i="4"/>
  <c r="E91" i="4"/>
  <c r="E86" i="4"/>
  <c r="E81" i="4"/>
  <c r="D26" i="10"/>
  <c r="A17" i="4"/>
  <c r="A18" i="4"/>
  <c r="E8" i="4"/>
  <c r="D90" i="11" l="1"/>
  <c r="D88" i="11"/>
  <c r="D86" i="11"/>
  <c r="D84" i="11"/>
  <c r="D78" i="11"/>
  <c r="D76" i="11"/>
  <c r="D74" i="11"/>
  <c r="D72" i="11"/>
  <c r="D66" i="11"/>
  <c r="D64" i="11"/>
  <c r="D62" i="11"/>
  <c r="D60" i="11"/>
  <c r="D58" i="11"/>
  <c r="D56" i="11"/>
  <c r="D54" i="11"/>
  <c r="D52" i="11"/>
  <c r="D50" i="11"/>
  <c r="D48" i="11"/>
  <c r="D46" i="11"/>
  <c r="D44" i="11"/>
  <c r="D39" i="11"/>
  <c r="D33" i="11"/>
  <c r="D31" i="11"/>
  <c r="D29" i="11"/>
  <c r="D23" i="11"/>
  <c r="D21" i="11"/>
  <c r="D19" i="11"/>
  <c r="D17" i="11"/>
  <c r="D15" i="11"/>
  <c r="D21" i="10"/>
  <c r="D15" i="10"/>
  <c r="D47" i="8"/>
  <c r="D19" i="8"/>
  <c r="D38" i="7"/>
  <c r="D32" i="7"/>
  <c r="D27" i="7"/>
  <c r="D45" i="5"/>
  <c r="D43" i="5"/>
  <c r="D39" i="5"/>
  <c r="D31" i="5"/>
  <c r="D25" i="5"/>
  <c r="D23" i="5"/>
  <c r="D17" i="5"/>
  <c r="D15" i="5"/>
  <c r="A22" i="4" l="1"/>
  <c r="A23" i="4"/>
  <c r="A24" i="4"/>
  <c r="A25" i="4"/>
  <c r="A26" i="4"/>
  <c r="A27" i="4"/>
  <c r="A28" i="4"/>
  <c r="A33" i="4"/>
  <c r="A32" i="4" l="1"/>
  <c r="A31" i="4"/>
  <c r="A30" i="4"/>
  <c r="A29" i="4"/>
  <c r="E15" i="4" l="1"/>
  <c r="E278" i="4" l="1"/>
  <c r="E274" i="4"/>
  <c r="E270" i="4"/>
  <c r="E266" i="4"/>
  <c r="E259" i="4"/>
  <c r="E255" i="4"/>
  <c r="E251" i="4"/>
  <c r="E247" i="4"/>
  <c r="E243" i="4"/>
  <c r="E239" i="4"/>
  <c r="E235" i="4"/>
  <c r="E231" i="4"/>
  <c r="E227" i="4"/>
  <c r="E223" i="4"/>
  <c r="E219" i="4"/>
  <c r="E215" i="4"/>
  <c r="E208" i="4"/>
  <c r="E201" i="4"/>
  <c r="E197" i="4"/>
  <c r="E193" i="4"/>
  <c r="E186" i="4"/>
  <c r="E182" i="4"/>
  <c r="E178" i="4"/>
  <c r="E174" i="4"/>
  <c r="E170" i="4"/>
  <c r="E123" i="4"/>
  <c r="E76" i="4"/>
  <c r="E72" i="4"/>
  <c r="E65" i="4"/>
  <c r="E61" i="4"/>
  <c r="E54" i="4"/>
  <c r="E50" i="4"/>
  <c r="E43" i="4"/>
  <c r="E39" i="4"/>
  <c r="E32" i="4"/>
  <c r="E28" i="4"/>
  <c r="E24" i="4"/>
</calcChain>
</file>

<file path=xl/sharedStrings.xml><?xml version="1.0" encoding="utf-8"?>
<sst xmlns="http://schemas.openxmlformats.org/spreadsheetml/2006/main" count="259" uniqueCount="169">
  <si>
    <t>Investitor</t>
  </si>
  <si>
    <t>0.1. NASLOVNA STRANA GLAVNE SVESKE TEHNICKE DOKUMENTACIJE</t>
  </si>
  <si>
    <t>Objekat</t>
  </si>
  <si>
    <t>Vrsta tehničke dokumentacije</t>
  </si>
  <si>
    <t>0. Glavna sveska</t>
  </si>
  <si>
    <t>Naziv i oznaka dela projekta</t>
  </si>
  <si>
    <t>Za gradjenje / izvodjenje radova</t>
  </si>
  <si>
    <t>Projektant</t>
  </si>
  <si>
    <t>Odgovorno lice</t>
  </si>
  <si>
    <t>Glavni projektant</t>
  </si>
  <si>
    <t>Broj tehničke dokumentacije</t>
  </si>
  <si>
    <t>Mesto i datum</t>
  </si>
  <si>
    <t>(primer: Vuk Stojanović, JMBG 1234567891234, Ćuprija 35230, Alekse Šantića 3)</t>
  </si>
  <si>
    <t>Objekat iz konteksta</t>
  </si>
  <si>
    <t>Vrsta radova</t>
  </si>
  <si>
    <t>Vrsta radova iz konteksta</t>
  </si>
  <si>
    <t>Projektne organizacije</t>
  </si>
  <si>
    <t>Projektna organizacija koja je izradila glavnu svesku</t>
  </si>
  <si>
    <t>Odgovorno lice projektne organizacije koja je izradila glavnu svesku</t>
  </si>
  <si>
    <t>Projektna organizacija koja je izradila projekat arhitekture</t>
  </si>
  <si>
    <t>Odgovorni projektanti</t>
  </si>
  <si>
    <t>Odgovorni projektant projekta arhitekture</t>
  </si>
  <si>
    <t>Opšti podaci o objektu i lokaciji</t>
  </si>
  <si>
    <t>Tip objekta</t>
  </si>
  <si>
    <t>Kategorija objekta</t>
  </si>
  <si>
    <t>Učešće u ukupnoj površini objekta (%) i klasifikaciona oznaka</t>
  </si>
  <si>
    <t>Naziv prostornog odnosno urbanističkog plana</t>
  </si>
  <si>
    <t>Spisak katastarskih parcela i katastarska opština</t>
  </si>
  <si>
    <t>Priključci na infrastrukturu</t>
  </si>
  <si>
    <t>Priključak na vodovodnu mrežu</t>
  </si>
  <si>
    <t>Priključak na kanalizacijonu mrežu</t>
  </si>
  <si>
    <t>Priključak na nisko-naponsku elektro mrežu</t>
  </si>
  <si>
    <t>Dimenzije objekta</t>
  </si>
  <si>
    <t>Spratnost (nadzemnih i podzemnih etaža)</t>
  </si>
  <si>
    <t>Broj funkcionalnih jedinica/broj stanova</t>
  </si>
  <si>
    <t>Broj parking mesta</t>
  </si>
  <si>
    <t>Materalizacija objekta</t>
  </si>
  <si>
    <t>Materalizacija fasade</t>
  </si>
  <si>
    <t>Orjentacija slemena</t>
  </si>
  <si>
    <t>Materalizacija krova</t>
  </si>
  <si>
    <t>Ostali podaci o objektu</t>
  </si>
  <si>
    <t>Indeks zauzetosti</t>
  </si>
  <si>
    <t>Indeks izgrađenosti</t>
  </si>
  <si>
    <t>0.2. SADRŽAJ GLAVNE SVESKE</t>
  </si>
  <si>
    <t>0.1. Naslovna strana glavne sveske</t>
  </si>
  <si>
    <t>0.2. Sadržaj glavne sveske</t>
  </si>
  <si>
    <t>0.3. Odluka o određivanju glavnog projektanta</t>
  </si>
  <si>
    <t>0.4. Izjava glavnog projektanta</t>
  </si>
  <si>
    <t>0.5. Sadržaj tehničke dokumentacije</t>
  </si>
  <si>
    <t>0.6. Podaci o projektantima</t>
  </si>
  <si>
    <t>0.7. Opšti podaci o objektu</t>
  </si>
  <si>
    <t>0.3. ODLUKA O ODREĐIVANJU GLAVNOG PROJEKTANTA</t>
  </si>
  <si>
    <t>Na osnovu člana 128a. Zakona o planiranju i izgradnji (Službeni glasnik RS, br. 72/09, 81/09-ispravka, 64/10 odluka US, 24/11 i 121/12, 42/13-odluka US, 50/2013-odluka US, 98/2013-odluka US, 132/14 i 145/14) i odredbi Pravilnika o sadržini, načinu i postupku izrade i način vršenja kontrole tehničke dokumentacije prema klasi i nameni objekata (Službeni glasnik RS, br. XX/2015.) kao:</t>
  </si>
  <si>
    <t>GLAVNI PROJEKTANT</t>
  </si>
  <si>
    <t>Ime i prezime, stručni naziv i broj licnce IKS</t>
  </si>
  <si>
    <t>0.4. IZJAVA GLAVNOG PROJEKTANTA</t>
  </si>
  <si>
    <t>IZJAVLJUJEM</t>
  </si>
  <si>
    <t>0. GLAVNA SVESKA</t>
  </si>
  <si>
    <t>1. PROJEKAT ARHITEKTURE</t>
  </si>
  <si>
    <t>0.5. SADRŽAJ TEHNIČKE DOKUMENTACIJE</t>
  </si>
  <si>
    <t>0.6. PODACI O PROJEKTANTIMA</t>
  </si>
  <si>
    <t>0.7. OPŠTI PODACI O OBJEKTU I LOKACIJI</t>
  </si>
  <si>
    <t>OPŠTI PODACI O OBJEKTU I LOKACIJI</t>
  </si>
  <si>
    <t>PRIKLJUČCI NA INFRASTRUKTURU</t>
  </si>
  <si>
    <t>DIMENZIJE OBJEKTA</t>
  </si>
  <si>
    <t>MATERIJALIZACIJA OBJEKTA</t>
  </si>
  <si>
    <t>Materijalizacija fasade</t>
  </si>
  <si>
    <t>Materijalizacija krova</t>
  </si>
  <si>
    <t>OSTALI PODACI O OBJEKTU</t>
  </si>
  <si>
    <t>Informacije o lokaciji</t>
  </si>
  <si>
    <t>Evidencija</t>
  </si>
  <si>
    <t>Datum</t>
  </si>
  <si>
    <t>Evidencioni broj</t>
  </si>
  <si>
    <t>Mesto</t>
  </si>
  <si>
    <t>(primer: 23.11.2017)</t>
  </si>
  <si>
    <t>(primer: 23-1/11/2017)</t>
  </si>
  <si>
    <t>(primer: Ćuprija 35230)</t>
  </si>
  <si>
    <t>(primer: Stambena zgrada sa jednim stanom - porodična kuća, spratnosti Pr+2+Pk, Ćuprija 35230, Alekse Šantića 3, k. p. br. 100 k. o. Ćuprija)</t>
  </si>
  <si>
    <t>(primer: stambene zgrade sa jednim stanom - porodične kuće, spratnosti Pr+2+Pk, Ćuprija 35230, Alekse Šantića 3, k. p. br. 100 k. o. Ćuprija)</t>
  </si>
  <si>
    <t>(primer: Nova gradnja)</t>
  </si>
  <si>
    <t>(primer: novu gradnju)</t>
  </si>
  <si>
    <t>(primer: Stoing (DOO), Ćuprija 35230, Alekse Šantića 3)</t>
  </si>
  <si>
    <t>(primer: Zoran Stojanović, Dipl. inž. građ. sa brojem licence 317 A335 04)</t>
  </si>
  <si>
    <t>(primer: Vesna Stojanović, Dipl. inž. građ.)</t>
  </si>
  <si>
    <t>(primer: samo-stojeći objekat)</t>
  </si>
  <si>
    <t>(primer: A)</t>
  </si>
  <si>
    <t>(primer: Stambene zgrade sa jednim stanom sa klasifikacion oznakom 111011 i sa učešćem u ukupnoj površini od 100%)</t>
  </si>
  <si>
    <t>(primer: Generalni urbanistički plan opštine Ćuprija)</t>
  </si>
  <si>
    <t>(primer: k. p. br. 100 k. o. Ćuprija)</t>
  </si>
  <si>
    <t>(primer: Instalacije vodovoda se priključuju na postojeću vodovodnu mrežu.)</t>
  </si>
  <si>
    <t>(primer: Instalacije kanalizacije se priključuju na postojeću kanalizacionu mrežu.)</t>
  </si>
  <si>
    <t>(primer: Elektro instalacije se priključuju na postojeću elektro mrežu.)</t>
  </si>
  <si>
    <t>(primer: ...)</t>
  </si>
  <si>
    <t>(primer: 1000)</t>
  </si>
  <si>
    <r>
      <t>Ukupna površina parcele/parcela (m</t>
    </r>
    <r>
      <rPr>
        <sz val="10"/>
        <color theme="1" tint="0.249977111117893"/>
        <rFont val="Calibri"/>
        <family val="2"/>
        <charset val="238"/>
      </rPr>
      <t>²</t>
    </r>
    <r>
      <rPr>
        <sz val="10"/>
        <color theme="1" tint="0.249977111117893"/>
        <rFont val="Arial"/>
        <family val="2"/>
        <charset val="238"/>
      </rPr>
      <t>)</t>
    </r>
  </si>
  <si>
    <t>Ukupna BRGP nadzemno (m²)</t>
  </si>
  <si>
    <t>(primer: 100)</t>
  </si>
  <si>
    <t>Ukupna BRUTO izgrađena površina (m²)</t>
  </si>
  <si>
    <t>Ukupna NETO korisna površina (m²)</t>
  </si>
  <si>
    <t>(primer: 80)</t>
  </si>
  <si>
    <t>Bruto površina prizemlja (m²)</t>
  </si>
  <si>
    <t>Površina zemljišta pod objektom/zauzetost (m²)</t>
  </si>
  <si>
    <t>(primer: Po+Su+Pr+1+Pk)</t>
  </si>
  <si>
    <t>(primer: 3,50)</t>
  </si>
  <si>
    <t>Visina venca (m)</t>
  </si>
  <si>
    <t>Visina slemena (m)</t>
  </si>
  <si>
    <t>(primer: 5,50)</t>
  </si>
  <si>
    <t>Spratna visina (m)</t>
  </si>
  <si>
    <t>(primer: 2,60)</t>
  </si>
  <si>
    <t>(primer: 1)</t>
  </si>
  <si>
    <t>(primer: demit)</t>
  </si>
  <si>
    <t>(primer: sever - jug)</t>
  </si>
  <si>
    <t>(primer: 30)</t>
  </si>
  <si>
    <t>Nagib krova (°)</t>
  </si>
  <si>
    <t>(primer: crep)</t>
  </si>
  <si>
    <t>Procenat zelenih površina (%)</t>
  </si>
  <si>
    <t>(primer: 20000,00)</t>
  </si>
  <si>
    <r>
      <t>Cena po jedinici mere (m</t>
    </r>
    <r>
      <rPr>
        <sz val="10"/>
        <color theme="1" tint="0.249977111117893"/>
        <rFont val="Calibri"/>
        <family val="2"/>
        <charset val="238"/>
      </rPr>
      <t>²)</t>
    </r>
  </si>
  <si>
    <t>(primer: Vuk Stojanović)</t>
  </si>
  <si>
    <t>Baza</t>
  </si>
  <si>
    <t>Informacije</t>
  </si>
  <si>
    <t>PODACI</t>
  </si>
  <si>
    <t>POTPISI I PEČATI</t>
  </si>
  <si>
    <t>PODEŠAVANJA</t>
  </si>
  <si>
    <t>Putanja baze podataka (.accdb)</t>
  </si>
  <si>
    <t>Projektne organizacije (Glavna sveska)</t>
  </si>
  <si>
    <r>
      <t>Ukupna površina parcele/parcela (m</t>
    </r>
    <r>
      <rPr>
        <sz val="8"/>
        <color rgb="FF808080"/>
        <rFont val="Calibri"/>
        <family val="2"/>
        <charset val="238"/>
      </rPr>
      <t>²</t>
    </r>
    <r>
      <rPr>
        <i/>
        <sz val="8"/>
        <color rgb="FF808080"/>
        <rFont val="Arial"/>
        <family val="2"/>
        <charset val="238"/>
      </rPr>
      <t>)</t>
    </r>
  </si>
  <si>
    <t>Površina prizemlja (m²)</t>
  </si>
  <si>
    <t>Predračunska vrednost objekta (RSD)</t>
  </si>
  <si>
    <t>Pilot</t>
  </si>
  <si>
    <t>Naziv pilota</t>
  </si>
  <si>
    <t>Glavna sveska</t>
  </si>
  <si>
    <t>(primer: Glavna sveska)</t>
  </si>
  <si>
    <t>Projektna organizacija koja je izradila projekat konstrukcije</t>
  </si>
  <si>
    <t>Projektna organizacija koja je izradila projekat hidrotehničkih instalacija</t>
  </si>
  <si>
    <t>Projektna organizacija koja je izradila projekat elektroenergetskih instalacija</t>
  </si>
  <si>
    <t>Projektna organizacija koja je izradila projekat telekomunikacionih i signalnih instalacija</t>
  </si>
  <si>
    <t>Projektna organizacija koja je izradila projekat mašinskih instalacija</t>
  </si>
  <si>
    <t>Projektna organizacija koja je izradila elaborat energetske efikasnosti</t>
  </si>
  <si>
    <t>Projektna organizacija koja je izradila elaborat protivpožarne zaštite</t>
  </si>
  <si>
    <t>Odgovorni projektant projekta konstrukcije</t>
  </si>
  <si>
    <t>Odgovorni projektant projekta hidrotehničkih instalacija</t>
  </si>
  <si>
    <t>Odgovorni projektant projekta elektroenergetskih instalacija</t>
  </si>
  <si>
    <t>Odgovorni projektant projekta telekomunikacionih i signalnih instalacija</t>
  </si>
  <si>
    <t>Odgovorni projektant projekta mašinskih instalacija</t>
  </si>
  <si>
    <t>Odgovorni projektant elaborata protivpožarne zaštite</t>
  </si>
  <si>
    <t>Odgovorni projektant eleborata energetske efikasnosti</t>
  </si>
  <si>
    <t>2/1. PROJEKAT KONSTRUKCIJE</t>
  </si>
  <si>
    <t>3. PROJEKAT HIDROTEHNIČKIH INSTALACIJA</t>
  </si>
  <si>
    <t>4. PROJEKAT ELEKTROENERGETSKIH INSTALACIJA</t>
  </si>
  <si>
    <t>5. PROJEKAT TELEKOMUNIKACIONIH I SIGNALNIH INSTALACIJA</t>
  </si>
  <si>
    <t>6. PROJEKAT MAŠINSKIH INSTALACIJA</t>
  </si>
  <si>
    <t>ELABORAT ENERGETSKE EFIKASNOSTI</t>
  </si>
  <si>
    <t>Odgovorni projektant elaborata energetske efikasnosti</t>
  </si>
  <si>
    <t>ELABORAT ZAŠTITE OD POŽARA</t>
  </si>
  <si>
    <t>Odgovorni projektant elaborata zaštite od požara</t>
  </si>
  <si>
    <t>Odgovorni projektant eleborata zaštite od požara</t>
  </si>
  <si>
    <t>2. da elaborat sadrži propisane i utvrđene mere i preporuke za ispunjenje osnovnog zahteva za objekat energetske efikasnosti.</t>
  </si>
  <si>
    <t>Odgovorni projektan eleborata energetske efikasnosti</t>
  </si>
  <si>
    <t>1. da je elaborat izrađen u svemu prema u skladu sa Zakonom o planiranju i izgradnji, propisima, standardima i normativima iz oblasti energetske efikasnosti objekata i pravilima struke;</t>
  </si>
  <si>
    <t>0.8. IZJAVA OVLAŠĆENOG LICA KOJE JE IZRADILO
ELABORAT ENERGETSKE EFIKASNOSTI</t>
  </si>
  <si>
    <t>0.9. IZJAVA OVLAŠĆENOG LICA KOJE JE IZRADILO
ELABORAT ZAŠTITE OD POŽARA</t>
  </si>
  <si>
    <t>1. da je elaborat izrađen u svemu prema u skladu sa Zakonom o planiranju i izgradnji, propisima, standardima i normativima iz oblasti zaštite od požara i pravilima struke;</t>
  </si>
  <si>
    <t>2. da elaborat sadrži propisane i utvrđene mere i preporuke za ispunjenje osnovnog zahteva za objekat zaštite od požara.</t>
  </si>
  <si>
    <t>Lokacijski uslovi</t>
  </si>
  <si>
    <t>Projekat za građevinsku dozvolu (PGD)</t>
  </si>
  <si>
    <t>LOKACIJSKI USLOVI</t>
  </si>
  <si>
    <t>da su delovi Projekta za građevinsku dozvolu (PGD) međusobno usaglašeni, da podaci u glavnoj svesci odgovaraju sadržini projekta i da su projektu priloženi odgovarajući elaborti i studije.</t>
  </si>
  <si>
    <t>(formula)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</si>
</sst>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8" formatCode="#,##0.00\ &quot;RSD&quot;;[Red]\-#,##0.00\ &quot;RSD&quot;"/>
    <numFmt numFmtId="164" formatCode="#,##0.00\ &quot;RSD&quot;"/>
  </numFmts>
  <fonts count="18" x14ac:knownFonts="1">
    <font>
      <sz val="12"/>
      <color theme="1"/>
      <name val="Arial"/>
      <family val="2"/>
      <charset val="238"/>
    </font>
    <font>
      <b/>
      <sz val="10"/>
      <color theme="1" tint="0.249977111117893"/>
      <name val="Arial"/>
      <family val="2"/>
      <charset val="238"/>
    </font>
    <font>
      <sz val="12"/>
      <color theme="1"/>
      <name val="Arial"/>
      <family val="2"/>
      <charset val="238"/>
    </font>
    <font>
      <b/>
      <sz val="12"/>
      <color theme="1"/>
      <name val="Arial"/>
      <family val="2"/>
      <charset val="238"/>
    </font>
    <font>
      <sz val="12"/>
      <color theme="1"/>
      <name val="Arial"/>
      <family val="2"/>
    </font>
    <font>
      <sz val="12"/>
      <name val="Arial"/>
      <family val="2"/>
    </font>
    <font>
      <i/>
      <sz val="8"/>
      <color rgb="FF808080"/>
      <name val="Arial"/>
      <family val="2"/>
      <charset val="238"/>
    </font>
    <font>
      <sz val="10"/>
      <color theme="1" tint="0.249977111117893"/>
      <name val="Arial"/>
      <family val="2"/>
      <charset val="238"/>
    </font>
    <font>
      <i/>
      <sz val="10"/>
      <color theme="1" tint="0.499984740745262"/>
      <name val="Arial"/>
      <family val="2"/>
      <charset val="238"/>
    </font>
    <font>
      <sz val="12"/>
      <color theme="5" tint="-0.249977111117893"/>
      <name val="Arial"/>
      <family val="2"/>
    </font>
    <font>
      <i/>
      <sz val="10"/>
      <color rgb="FF808080"/>
      <name val="Arial"/>
      <family val="2"/>
      <charset val="238"/>
    </font>
    <font>
      <i/>
      <sz val="8"/>
      <color theme="1" tint="0.249977111117893"/>
      <name val="Arial"/>
      <family val="2"/>
      <charset val="238"/>
    </font>
    <font>
      <sz val="10"/>
      <color theme="1" tint="0.249977111117893"/>
      <name val="Calibri"/>
      <family val="2"/>
      <charset val="238"/>
    </font>
    <font>
      <b/>
      <u/>
      <sz val="11"/>
      <color theme="1" tint="0.249977111117893"/>
      <name val="Arial"/>
      <family val="2"/>
      <charset val="238"/>
    </font>
    <font>
      <sz val="12"/>
      <color theme="1" tint="0.249977111117893"/>
      <name val="Wingdings 2"/>
      <family val="1"/>
      <charset val="2"/>
    </font>
    <font>
      <sz val="8"/>
      <color rgb="FF808080"/>
      <name val="Calibri"/>
      <family val="2"/>
      <charset val="238"/>
    </font>
    <font>
      <sz val="10"/>
      <color theme="1"/>
      <name val="Arial"/>
      <family val="2"/>
      <charset val="238"/>
    </font>
    <font>
      <sz val="10"/>
      <name val="Arial"/>
      <family val="2"/>
      <charset val="238"/>
    </font>
  </fonts>
  <fills count="7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C0C0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0" tint="-4.9989318521683403E-2"/>
      </bottom>
      <diagonal/>
    </border>
    <border>
      <left/>
      <right/>
      <top style="thin">
        <color rgb="FF808080"/>
      </top>
      <bottom/>
      <diagonal/>
    </border>
    <border>
      <left/>
      <right/>
      <top/>
      <bottom style="thin">
        <color rgb="FF808080"/>
      </bottom>
      <diagonal/>
    </border>
    <border>
      <left style="medium">
        <color theme="0" tint="-0.499984740745262"/>
      </left>
      <right/>
      <top style="medium">
        <color theme="0" tint="-0.499984740745262"/>
      </top>
      <bottom/>
      <diagonal/>
    </border>
    <border>
      <left/>
      <right/>
      <top style="medium">
        <color theme="0" tint="-0.499984740745262"/>
      </top>
      <bottom/>
      <diagonal/>
    </border>
    <border>
      <left/>
      <right style="medium">
        <color theme="0" tint="-0.499984740745262"/>
      </right>
      <top style="medium">
        <color theme="0" tint="-0.499984740745262"/>
      </top>
      <bottom/>
      <diagonal/>
    </border>
    <border>
      <left style="medium">
        <color theme="0" tint="-0.499984740745262"/>
      </left>
      <right/>
      <top/>
      <bottom/>
      <diagonal/>
    </border>
    <border>
      <left/>
      <right style="medium">
        <color theme="0" tint="-0.499984740745262"/>
      </right>
      <top/>
      <bottom/>
      <diagonal/>
    </border>
    <border>
      <left style="medium">
        <color theme="0" tint="-0.499984740745262"/>
      </left>
      <right/>
      <top/>
      <bottom style="medium">
        <color theme="0" tint="-0.499984740745262"/>
      </bottom>
      <diagonal/>
    </border>
    <border>
      <left/>
      <right/>
      <top/>
      <bottom style="medium">
        <color theme="0" tint="-0.499984740745262"/>
      </bottom>
      <diagonal/>
    </border>
    <border>
      <left/>
      <right style="medium">
        <color theme="0" tint="-0.499984740745262"/>
      </right>
      <top/>
      <bottom style="medium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/>
      <top style="thin">
        <color rgb="FF808080"/>
      </top>
      <bottom style="thin">
        <color theme="1" tint="0.499984740745262"/>
      </bottom>
      <diagonal/>
    </border>
    <border>
      <left/>
      <right style="medium">
        <color theme="1" tint="0.499984740745262"/>
      </right>
      <top/>
      <bottom/>
      <diagonal/>
    </border>
    <border>
      <left style="medium">
        <color theme="1" tint="0.499984740745262"/>
      </left>
      <right/>
      <top/>
      <bottom style="medium">
        <color theme="1" tint="0.499984740745262"/>
      </bottom>
      <diagonal/>
    </border>
    <border>
      <left/>
      <right/>
      <top/>
      <bottom style="medium">
        <color theme="1" tint="0.499984740745262"/>
      </bottom>
      <diagonal/>
    </border>
    <border>
      <left/>
      <right style="medium">
        <color theme="1" tint="0.499984740745262"/>
      </right>
      <top/>
      <bottom style="medium">
        <color theme="1" tint="0.499984740745262"/>
      </bottom>
      <diagonal/>
    </border>
    <border>
      <left/>
      <right/>
      <top/>
      <bottom style="thin">
        <color theme="1" tint="0.499984740745262"/>
      </bottom>
      <diagonal/>
    </border>
    <border>
      <left/>
      <right style="medium">
        <color theme="0" tint="-0.499984740745262"/>
      </right>
      <top/>
      <bottom style="medium">
        <color theme="1" tint="0.499984740745262"/>
      </bottom>
      <diagonal/>
    </border>
    <border>
      <left style="medium">
        <color theme="0" tint="-0.499984740745262"/>
      </left>
      <right/>
      <top/>
      <bottom style="medium">
        <color theme="1" tint="0.499984740745262"/>
      </bottom>
      <diagonal/>
    </border>
    <border>
      <left/>
      <right/>
      <top style="thick">
        <color theme="0" tint="-4.9989318521683403E-2"/>
      </top>
      <bottom/>
      <diagonal/>
    </border>
    <border>
      <left/>
      <right style="thin">
        <color theme="1" tint="0.499984740745262"/>
      </right>
      <top style="medium">
        <color theme="0" tint="-0.499984740745262"/>
      </top>
      <bottom/>
      <diagonal/>
    </border>
    <border>
      <left style="thin">
        <color theme="1" tint="0.499984740745262"/>
      </left>
      <right style="medium">
        <color theme="1" tint="0.499984740745262"/>
      </right>
      <top style="medium">
        <color theme="0" tint="-0.499984740745262"/>
      </top>
      <bottom style="thin">
        <color theme="0" tint="-0.499984740745262"/>
      </bottom>
      <diagonal/>
    </border>
  </borders>
  <cellStyleXfs count="4">
    <xf numFmtId="0" fontId="0" fillId="0" borderId="0"/>
    <xf numFmtId="0" fontId="4" fillId="0" borderId="0"/>
    <xf numFmtId="0" fontId="2" fillId="0" borderId="0"/>
    <xf numFmtId="9" fontId="2" fillId="0" borderId="0" applyFont="0" applyFill="0" applyBorder="0" applyAlignment="0" applyProtection="0"/>
  </cellStyleXfs>
  <cellXfs count="112">
    <xf numFmtId="0" fontId="0" fillId="0" borderId="0" xfId="0"/>
    <xf numFmtId="0" fontId="4" fillId="2" borderId="1" xfId="1" applyFill="1" applyBorder="1"/>
    <xf numFmtId="0" fontId="4" fillId="0" borderId="0" xfId="1"/>
    <xf numFmtId="0" fontId="4" fillId="3" borderId="0" xfId="1" applyFont="1" applyFill="1" applyAlignment="1">
      <alignment horizontal="justify"/>
    </xf>
    <xf numFmtId="0" fontId="4" fillId="4" borderId="0" xfId="1" applyFont="1" applyFill="1" applyAlignment="1">
      <alignment horizontal="justify"/>
    </xf>
    <xf numFmtId="0" fontId="4" fillId="0" borderId="0" xfId="1" applyFont="1" applyAlignment="1">
      <alignment horizontal="justify"/>
    </xf>
    <xf numFmtId="0" fontId="3" fillId="0" borderId="0" xfId="1" applyFont="1" applyAlignment="1">
      <alignment horizontal="center"/>
    </xf>
    <xf numFmtId="0" fontId="5" fillId="0" borderId="2" xfId="1" applyFont="1" applyBorder="1" applyAlignment="1">
      <alignment horizontal="justify" wrapText="1"/>
    </xf>
    <xf numFmtId="0" fontId="4" fillId="0" borderId="0" xfId="1" applyAlignment="1">
      <alignment horizontal="justify"/>
    </xf>
    <xf numFmtId="0" fontId="6" fillId="0" borderId="0" xfId="1" applyFont="1" applyAlignment="1">
      <alignment horizontal="left" vertical="top"/>
    </xf>
    <xf numFmtId="0" fontId="5" fillId="0" borderId="0" xfId="1" applyFont="1" applyAlignment="1">
      <alignment horizontal="justify" wrapText="1"/>
    </xf>
    <xf numFmtId="0" fontId="5" fillId="0" borderId="0" xfId="1" applyFont="1" applyAlignment="1">
      <alignment horizontal="justify"/>
    </xf>
    <xf numFmtId="0" fontId="6" fillId="0" borderId="3" xfId="1" applyFont="1" applyBorder="1" applyAlignment="1">
      <alignment horizontal="left" vertical="top"/>
    </xf>
    <xf numFmtId="0" fontId="4" fillId="2" borderId="0" xfId="1" applyFont="1" applyFill="1" applyAlignment="1">
      <alignment horizontal="justify"/>
    </xf>
    <xf numFmtId="0" fontId="7" fillId="0" borderId="0" xfId="2" applyFont="1" applyAlignment="1">
      <alignment horizontal="right" vertical="center"/>
    </xf>
    <xf numFmtId="0" fontId="0" fillId="4" borderId="0" xfId="0" applyFill="1"/>
    <xf numFmtId="0" fontId="4" fillId="5" borderId="0" xfId="1" applyFill="1"/>
    <xf numFmtId="0" fontId="4" fillId="5" borderId="0" xfId="1" applyFont="1" applyFill="1" applyAlignment="1">
      <alignment horizontal="justify"/>
    </xf>
    <xf numFmtId="0" fontId="4" fillId="6" borderId="0" xfId="1" applyFont="1" applyFill="1" applyAlignment="1">
      <alignment horizontal="justify"/>
    </xf>
    <xf numFmtId="0" fontId="5" fillId="2" borderId="1" xfId="1" applyFont="1" applyFill="1" applyBorder="1"/>
    <xf numFmtId="0" fontId="5" fillId="0" borderId="0" xfId="1" applyFont="1"/>
    <xf numFmtId="0" fontId="5" fillId="0" borderId="0" xfId="1" applyFont="1" applyAlignment="1">
      <alignment horizontal="center"/>
    </xf>
    <xf numFmtId="0" fontId="6" fillId="0" borderId="0" xfId="1" applyFont="1" applyAlignment="1">
      <alignment horizontal="center" vertical="top"/>
    </xf>
    <xf numFmtId="0" fontId="5" fillId="0" borderId="2" xfId="1" applyFont="1" applyBorder="1" applyAlignment="1">
      <alignment horizontal="justify"/>
    </xf>
    <xf numFmtId="0" fontId="4" fillId="0" borderId="2" xfId="1" applyFont="1" applyBorder="1" applyAlignment="1">
      <alignment horizontal="justify"/>
    </xf>
    <xf numFmtId="0" fontId="10" fillId="0" borderId="0" xfId="1" applyFont="1" applyAlignment="1">
      <alignment horizontal="right" vertical="center"/>
    </xf>
    <xf numFmtId="0" fontId="6" fillId="0" borderId="0" xfId="1" applyFont="1" applyBorder="1" applyAlignment="1">
      <alignment horizontal="left" vertical="top"/>
    </xf>
    <xf numFmtId="0" fontId="6" fillId="0" borderId="12" xfId="1" applyFont="1" applyBorder="1" applyAlignment="1">
      <alignment horizontal="left" vertical="top"/>
    </xf>
    <xf numFmtId="0" fontId="8" fillId="0" borderId="0" xfId="1" applyFont="1" applyAlignment="1">
      <alignment horizontal="right" vertical="center"/>
    </xf>
    <xf numFmtId="0" fontId="5" fillId="0" borderId="13" xfId="1" quotePrefix="1" applyFont="1" applyBorder="1" applyAlignment="1">
      <alignment horizontal="justify"/>
    </xf>
    <xf numFmtId="8" fontId="5" fillId="0" borderId="0" xfId="1" applyNumberFormat="1" applyFont="1" applyAlignment="1">
      <alignment horizontal="justify"/>
    </xf>
    <xf numFmtId="0" fontId="4" fillId="0" borderId="18" xfId="1" applyFont="1" applyBorder="1" applyAlignment="1">
      <alignment horizontal="justify"/>
    </xf>
    <xf numFmtId="0" fontId="4" fillId="0" borderId="0" xfId="1" applyFill="1"/>
    <xf numFmtId="0" fontId="0" fillId="0" borderId="0" xfId="0" applyFill="1"/>
    <xf numFmtId="0" fontId="4" fillId="0" borderId="0" xfId="1" applyFont="1" applyFill="1" applyAlignment="1">
      <alignment horizontal="justify"/>
    </xf>
    <xf numFmtId="0" fontId="4" fillId="4" borderId="0" xfId="1" applyFill="1"/>
    <xf numFmtId="0" fontId="4" fillId="4" borderId="0" xfId="1" applyFill="1" applyAlignment="1">
      <alignment horizontal="justify"/>
    </xf>
    <xf numFmtId="0" fontId="4" fillId="2" borderId="0" xfId="1" applyFill="1" applyBorder="1" applyProtection="1"/>
    <xf numFmtId="0" fontId="4" fillId="3" borderId="21" xfId="1" applyFill="1" applyBorder="1" applyProtection="1"/>
    <xf numFmtId="0" fontId="0" fillId="3" borderId="21" xfId="0" applyFill="1" applyBorder="1" applyProtection="1"/>
    <xf numFmtId="0" fontId="4" fillId="0" borderId="21" xfId="1" applyBorder="1" applyProtection="1"/>
    <xf numFmtId="0" fontId="0" fillId="0" borderId="21" xfId="0" applyBorder="1" applyProtection="1"/>
    <xf numFmtId="0" fontId="0" fillId="4" borderId="21" xfId="0" applyFill="1" applyBorder="1" applyProtection="1"/>
    <xf numFmtId="0" fontId="4" fillId="3" borderId="0" xfId="1" applyFill="1" applyProtection="1"/>
    <xf numFmtId="0" fontId="0" fillId="3" borderId="0" xfId="0" applyFill="1" applyProtection="1"/>
    <xf numFmtId="0" fontId="4" fillId="0" borderId="0" xfId="1" applyProtection="1"/>
    <xf numFmtId="0" fontId="13" fillId="0" borderId="0" xfId="0" applyFont="1" applyBorder="1" applyAlignment="1" applyProtection="1">
      <alignment horizontal="center" vertical="center"/>
    </xf>
    <xf numFmtId="0" fontId="0" fillId="4" borderId="0" xfId="0" applyFill="1" applyProtection="1"/>
    <xf numFmtId="0" fontId="0" fillId="0" borderId="0" xfId="0" applyProtection="1"/>
    <xf numFmtId="0" fontId="1" fillId="0" borderId="0" xfId="1" applyFont="1" applyAlignment="1" applyProtection="1">
      <alignment horizontal="left" vertical="center"/>
    </xf>
    <xf numFmtId="0" fontId="4" fillId="0" borderId="4" xfId="1" applyBorder="1" applyProtection="1"/>
    <xf numFmtId="0" fontId="0" fillId="0" borderId="5" xfId="0" applyBorder="1" applyProtection="1"/>
    <xf numFmtId="0" fontId="4" fillId="0" borderId="6" xfId="1" applyBorder="1" applyProtection="1"/>
    <xf numFmtId="0" fontId="4" fillId="0" borderId="7" xfId="1" applyBorder="1" applyProtection="1"/>
    <xf numFmtId="0" fontId="7" fillId="0" borderId="0" xfId="0" applyFont="1" applyBorder="1" applyAlignment="1" applyProtection="1">
      <alignment horizontal="left" vertical="center"/>
    </xf>
    <xf numFmtId="0" fontId="4" fillId="0" borderId="8" xfId="1" applyBorder="1" applyProtection="1"/>
    <xf numFmtId="0" fontId="4" fillId="0" borderId="14" xfId="1" applyBorder="1" applyProtection="1"/>
    <xf numFmtId="0" fontId="9" fillId="0" borderId="0" xfId="0" applyFont="1" applyFill="1" applyBorder="1" applyAlignment="1" applyProtection="1">
      <alignment horizontal="center"/>
    </xf>
    <xf numFmtId="0" fontId="9" fillId="0" borderId="8" xfId="0" applyFont="1" applyFill="1" applyBorder="1" applyAlignment="1" applyProtection="1">
      <alignment horizontal="center"/>
    </xf>
    <xf numFmtId="0" fontId="11" fillId="0" borderId="0" xfId="0" applyFont="1" applyBorder="1" applyAlignment="1" applyProtection="1">
      <alignment horizontal="left" vertical="top"/>
    </xf>
    <xf numFmtId="0" fontId="4" fillId="0" borderId="20" xfId="1" applyBorder="1" applyProtection="1"/>
    <xf numFmtId="0" fontId="0" fillId="0" borderId="16" xfId="0" applyBorder="1" applyProtection="1"/>
    <xf numFmtId="0" fontId="4" fillId="0" borderId="19" xfId="1" applyBorder="1" applyProtection="1"/>
    <xf numFmtId="0" fontId="1" fillId="3" borderId="0" xfId="1" applyFont="1" applyFill="1" applyAlignment="1" applyProtection="1">
      <alignment horizontal="left" vertical="center"/>
    </xf>
    <xf numFmtId="0" fontId="0" fillId="0" borderId="14" xfId="0" applyBorder="1" applyProtection="1"/>
    <xf numFmtId="0" fontId="4" fillId="0" borderId="0" xfId="1" applyBorder="1" applyProtection="1"/>
    <xf numFmtId="0" fontId="14" fillId="3" borderId="0" xfId="1" applyFont="1" applyFill="1" applyAlignment="1" applyProtection="1">
      <alignment horizontal="center" vertical="center"/>
    </xf>
    <xf numFmtId="0" fontId="0" fillId="0" borderId="0" xfId="0" applyBorder="1" applyProtection="1"/>
    <xf numFmtId="0" fontId="4" fillId="0" borderId="9" xfId="1" applyBorder="1" applyProtection="1"/>
    <xf numFmtId="0" fontId="0" fillId="0" borderId="10" xfId="0" applyBorder="1" applyProtection="1"/>
    <xf numFmtId="0" fontId="4" fillId="0" borderId="11" xfId="1" applyBorder="1" applyProtection="1"/>
    <xf numFmtId="0" fontId="11" fillId="0" borderId="0" xfId="0" applyFont="1" applyBorder="1" applyAlignment="1" applyProtection="1">
      <alignment horizontal="justify" vertical="top"/>
    </xf>
    <xf numFmtId="0" fontId="4" fillId="0" borderId="15" xfId="1" applyBorder="1" applyProtection="1"/>
    <xf numFmtId="0" fontId="4" fillId="0" borderId="17" xfId="1" applyBorder="1" applyProtection="1"/>
    <xf numFmtId="0" fontId="4" fillId="0" borderId="5" xfId="1" applyBorder="1" applyProtection="1"/>
    <xf numFmtId="0" fontId="4" fillId="0" borderId="10" xfId="1" applyBorder="1" applyProtection="1"/>
    <xf numFmtId="0" fontId="0" fillId="3" borderId="0" xfId="0" applyFill="1"/>
    <xf numFmtId="0" fontId="4" fillId="2" borderId="0" xfId="1" applyFill="1" applyProtection="1"/>
    <xf numFmtId="0" fontId="4" fillId="0" borderId="4" xfId="1" applyFill="1" applyBorder="1" applyProtection="1"/>
    <xf numFmtId="0" fontId="0" fillId="0" borderId="5" xfId="0" applyFill="1" applyBorder="1" applyProtection="1"/>
    <xf numFmtId="0" fontId="4" fillId="0" borderId="6" xfId="1" applyFill="1" applyBorder="1" applyProtection="1"/>
    <xf numFmtId="0" fontId="0" fillId="0" borderId="0" xfId="0" applyFill="1" applyProtection="1"/>
    <xf numFmtId="0" fontId="0" fillId="0" borderId="0" xfId="0" applyFill="1" applyBorder="1" applyAlignment="1" applyProtection="1">
      <alignment horizontal="left"/>
      <protection locked="0"/>
    </xf>
    <xf numFmtId="0" fontId="4" fillId="0" borderId="8" xfId="1" applyFill="1" applyBorder="1" applyProtection="1"/>
    <xf numFmtId="0" fontId="0" fillId="0" borderId="15" xfId="0" applyFill="1" applyBorder="1" applyProtection="1"/>
    <xf numFmtId="0" fontId="0" fillId="0" borderId="16" xfId="0" applyFill="1" applyBorder="1" applyProtection="1"/>
    <xf numFmtId="0" fontId="4" fillId="0" borderId="19" xfId="1" applyFill="1" applyBorder="1" applyProtection="1"/>
    <xf numFmtId="0" fontId="4" fillId="0" borderId="0" xfId="1" applyFill="1" applyProtection="1"/>
    <xf numFmtId="0" fontId="1" fillId="0" borderId="0" xfId="1" applyFont="1" applyFill="1" applyAlignment="1" applyProtection="1">
      <alignment horizontal="left" vertical="center"/>
    </xf>
    <xf numFmtId="0" fontId="0" fillId="0" borderId="0" xfId="0" applyFill="1" applyBorder="1" applyProtection="1">
      <protection locked="0"/>
    </xf>
    <xf numFmtId="0" fontId="4" fillId="0" borderId="16" xfId="1" applyFill="1" applyBorder="1" applyProtection="1"/>
    <xf numFmtId="0" fontId="0" fillId="0" borderId="17" xfId="0" applyFill="1" applyBorder="1" applyProtection="1"/>
    <xf numFmtId="0" fontId="1" fillId="0" borderId="16" xfId="1" applyFont="1" applyFill="1" applyBorder="1" applyAlignment="1" applyProtection="1">
      <alignment horizontal="left" vertical="center"/>
    </xf>
    <xf numFmtId="4" fontId="5" fillId="0" borderId="2" xfId="1" applyNumberFormat="1" applyFont="1" applyBorder="1" applyAlignment="1">
      <alignment horizontal="justify"/>
    </xf>
    <xf numFmtId="4" fontId="5" fillId="0" borderId="0" xfId="1" applyNumberFormat="1" applyFont="1" applyAlignment="1">
      <alignment horizontal="justify"/>
    </xf>
    <xf numFmtId="1" fontId="5" fillId="0" borderId="0" xfId="1" applyNumberFormat="1" applyFont="1" applyAlignment="1">
      <alignment horizontal="justify"/>
    </xf>
    <xf numFmtId="4" fontId="5" fillId="0" borderId="0" xfId="1" applyNumberFormat="1" applyFont="1" applyBorder="1" applyAlignment="1">
      <alignment horizontal="justify"/>
    </xf>
    <xf numFmtId="0" fontId="16" fillId="0" borderId="12" xfId="0" applyNumberFormat="1" applyFont="1" applyBorder="1" applyAlignment="1" applyProtection="1">
      <alignment horizontal="justify"/>
      <protection locked="0"/>
    </xf>
    <xf numFmtId="14" fontId="17" fillId="0" borderId="12" xfId="0" applyNumberFormat="1" applyFont="1" applyBorder="1" applyAlignment="1" applyProtection="1">
      <alignment horizontal="justify"/>
      <protection locked="0"/>
    </xf>
    <xf numFmtId="0" fontId="16" fillId="0" borderId="12" xfId="0" applyFont="1" applyBorder="1" applyAlignment="1" applyProtection="1">
      <alignment horizontal="justify"/>
      <protection locked="0"/>
    </xf>
    <xf numFmtId="4" fontId="16" fillId="0" borderId="12" xfId="0" applyNumberFormat="1" applyFont="1" applyBorder="1" applyAlignment="1" applyProtection="1">
      <alignment horizontal="justify"/>
      <protection locked="0"/>
    </xf>
    <xf numFmtId="0" fontId="7" fillId="0" borderId="0" xfId="0" applyFont="1" applyBorder="1" applyAlignment="1" applyProtection="1">
      <alignment horizontal="justify"/>
    </xf>
    <xf numFmtId="1" fontId="16" fillId="0" borderId="12" xfId="0" applyNumberFormat="1" applyFont="1" applyBorder="1" applyAlignment="1" applyProtection="1">
      <alignment horizontal="justify"/>
      <protection locked="0"/>
    </xf>
    <xf numFmtId="164" fontId="16" fillId="0" borderId="12" xfId="0" applyNumberFormat="1" applyFont="1" applyBorder="1" applyAlignment="1" applyProtection="1">
      <alignment horizontal="justify"/>
      <protection locked="0"/>
    </xf>
    <xf numFmtId="0" fontId="16" fillId="0" borderId="12" xfId="0" applyNumberFormat="1" applyFont="1" applyBorder="1" applyAlignment="1" applyProtection="1">
      <alignment horizontal="justify"/>
    </xf>
    <xf numFmtId="0" fontId="0" fillId="0" borderId="22" xfId="0" applyBorder="1" applyProtection="1"/>
    <xf numFmtId="1" fontId="17" fillId="0" borderId="23" xfId="0" applyNumberFormat="1" applyFont="1" applyBorder="1" applyAlignment="1" applyProtection="1">
      <alignment horizontal="center" vertical="center"/>
      <protection locked="0"/>
    </xf>
    <xf numFmtId="0" fontId="4" fillId="0" borderId="0" xfId="1" applyFont="1" applyBorder="1" applyAlignment="1">
      <alignment horizontal="justify"/>
    </xf>
    <xf numFmtId="0" fontId="4" fillId="4" borderId="0" xfId="1" applyFill="1" applyProtection="1"/>
    <xf numFmtId="0" fontId="3" fillId="0" borderId="0" xfId="1" applyFont="1" applyAlignment="1">
      <alignment horizontal="center" wrapText="1"/>
    </xf>
    <xf numFmtId="0" fontId="4" fillId="0" borderId="0" xfId="1" applyFont="1" applyAlignment="1">
      <alignment horizontal="center"/>
    </xf>
    <xf numFmtId="4" fontId="16" fillId="0" borderId="12" xfId="0" applyNumberFormat="1" applyFont="1" applyBorder="1" applyAlignment="1" applyProtection="1">
      <alignment horizontal="justify"/>
    </xf>
  </cellXfs>
  <cellStyles count="4">
    <cellStyle name="Normal" xfId="0" builtinId="0"/>
    <cellStyle name="Normal 2" xfId="1"/>
    <cellStyle name="Normal 3" xfId="2"/>
    <cellStyle name="Percent 2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hyperlink" Target="#Investitor"/><Relationship Id="rId18" Type="http://schemas.openxmlformats.org/officeDocument/2006/relationships/hyperlink" Target="#'08'!A2"/><Relationship Id="rId26" Type="http://schemas.openxmlformats.org/officeDocument/2006/relationships/hyperlink" Target="#ProjektantAPozicijaSlike"/><Relationship Id="rId3" Type="http://schemas.openxmlformats.org/officeDocument/2006/relationships/hyperlink" Target="#ProcenatZelenihPovrsina"/><Relationship Id="rId21" Type="http://schemas.openxmlformats.org/officeDocument/2006/relationships/hyperlink" Target="#'05'!A2"/><Relationship Id="rId34" Type="http://schemas.openxmlformats.org/officeDocument/2006/relationships/hyperlink" Target="#ProjektantEEEPozicijaSlike"/><Relationship Id="rId7" Type="http://schemas.openxmlformats.org/officeDocument/2006/relationships/hyperlink" Target="#PrikljucakNaVodovod"/><Relationship Id="rId12" Type="http://schemas.openxmlformats.org/officeDocument/2006/relationships/hyperlink" Target="#Objekat"/><Relationship Id="rId17" Type="http://schemas.openxmlformats.org/officeDocument/2006/relationships/hyperlink" Target="#'09'!A2"/><Relationship Id="rId25" Type="http://schemas.openxmlformats.org/officeDocument/2006/relationships/hyperlink" Target="#'01'!A2"/><Relationship Id="rId33" Type="http://schemas.openxmlformats.org/officeDocument/2006/relationships/hyperlink" Target="#ProjektantMPozicijaSlike"/><Relationship Id="rId2" Type="http://schemas.openxmlformats.org/officeDocument/2006/relationships/image" Target="../media/image2.png"/><Relationship Id="rId16" Type="http://schemas.openxmlformats.org/officeDocument/2006/relationships/hyperlink" Target="#Pilot"/><Relationship Id="rId20" Type="http://schemas.openxmlformats.org/officeDocument/2006/relationships/hyperlink" Target="#'06'!A2"/><Relationship Id="rId29" Type="http://schemas.openxmlformats.org/officeDocument/2006/relationships/hyperlink" Target="#ProjektantKPozicijaSlike"/><Relationship Id="rId1" Type="http://schemas.openxmlformats.org/officeDocument/2006/relationships/image" Target="../media/image1.png"/><Relationship Id="rId6" Type="http://schemas.openxmlformats.org/officeDocument/2006/relationships/hyperlink" Target="#LokacijskiUslovi"/><Relationship Id="rId11" Type="http://schemas.openxmlformats.org/officeDocument/2006/relationships/hyperlink" Target="#VrstaRadova"/><Relationship Id="rId24" Type="http://schemas.openxmlformats.org/officeDocument/2006/relationships/hyperlink" Target="#'02'!A2"/><Relationship Id="rId32" Type="http://schemas.openxmlformats.org/officeDocument/2006/relationships/hyperlink" Target="#ProjektantTSPozicijaSlike"/><Relationship Id="rId5" Type="http://schemas.openxmlformats.org/officeDocument/2006/relationships/hyperlink" Target="#PovrsinaParcele"/><Relationship Id="rId15" Type="http://schemas.openxmlformats.org/officeDocument/2006/relationships/hyperlink" Target="#PutanjaBaze"/><Relationship Id="rId23" Type="http://schemas.openxmlformats.org/officeDocument/2006/relationships/hyperlink" Target="#'03'!A2"/><Relationship Id="rId28" Type="http://schemas.openxmlformats.org/officeDocument/2006/relationships/hyperlink" Target="#InvestitorPozicijaSlike"/><Relationship Id="rId36" Type="http://schemas.openxmlformats.org/officeDocument/2006/relationships/image" Target="../media/image3.png"/><Relationship Id="rId10" Type="http://schemas.openxmlformats.org/officeDocument/2006/relationships/hyperlink" Target="#ProjektnaOrganizacijaGS"/><Relationship Id="rId19" Type="http://schemas.openxmlformats.org/officeDocument/2006/relationships/hyperlink" Target="#'07'!A2"/><Relationship Id="rId31" Type="http://schemas.openxmlformats.org/officeDocument/2006/relationships/hyperlink" Target="#ProjektantEPozicijaSlike"/><Relationship Id="rId4" Type="http://schemas.openxmlformats.org/officeDocument/2006/relationships/hyperlink" Target="#ObradaFasade"/><Relationship Id="rId9" Type="http://schemas.openxmlformats.org/officeDocument/2006/relationships/hyperlink" Target="#GlavniProjektant"/><Relationship Id="rId14" Type="http://schemas.openxmlformats.org/officeDocument/2006/relationships/hyperlink" Target="#Datum"/><Relationship Id="rId22" Type="http://schemas.openxmlformats.org/officeDocument/2006/relationships/hyperlink" Target="#'04'!A2"/><Relationship Id="rId27" Type="http://schemas.openxmlformats.org/officeDocument/2006/relationships/hyperlink" Target="#GlavnaSveskaPozicijaSlike"/><Relationship Id="rId30" Type="http://schemas.openxmlformats.org/officeDocument/2006/relationships/hyperlink" Target="#ProjektantHPozicijaSlike"/><Relationship Id="rId35" Type="http://schemas.openxmlformats.org/officeDocument/2006/relationships/hyperlink" Target="#ProjektantPPZPozicijaSlike"/><Relationship Id="rId8" Type="http://schemas.openxmlformats.org/officeDocument/2006/relationships/hyperlink" Target="#TipObjekta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InvestitorPozicijaSlike"/><Relationship Id="rId2" Type="http://schemas.openxmlformats.org/officeDocument/2006/relationships/hyperlink" Target="#PutanjaBaze"/><Relationship Id="rId1" Type="http://schemas.openxmlformats.org/officeDocument/2006/relationships/image" Target="../media/image6.emf"/><Relationship Id="rId6" Type="http://schemas.openxmlformats.org/officeDocument/2006/relationships/image" Target="../media/image8.svg"/><Relationship Id="rId5" Type="http://schemas.openxmlformats.org/officeDocument/2006/relationships/image" Target="../media/image7.png"/><Relationship Id="rId4" Type="http://schemas.openxmlformats.org/officeDocument/2006/relationships/hyperlink" Target="#Datum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2" Type="http://schemas.openxmlformats.org/officeDocument/2006/relationships/hyperlink" Target="#InvestitorPozicijaSlike"/><Relationship Id="rId1" Type="http://schemas.openxmlformats.org/officeDocument/2006/relationships/hyperlink" Target="#PutanjaBaze"/><Relationship Id="rId6" Type="http://schemas.openxmlformats.org/officeDocument/2006/relationships/image" Target="../media/image8.svg"/><Relationship Id="rId4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InvestitorPozicijaSlike"/><Relationship Id="rId2" Type="http://schemas.openxmlformats.org/officeDocument/2006/relationships/hyperlink" Target="#PutanjaBaze"/><Relationship Id="rId1" Type="http://schemas.openxmlformats.org/officeDocument/2006/relationships/image" Target="../media/image6.emf"/><Relationship Id="rId6" Type="http://schemas.openxmlformats.org/officeDocument/2006/relationships/image" Target="../media/image8.svg"/><Relationship Id="rId5" Type="http://schemas.openxmlformats.org/officeDocument/2006/relationships/image" Target="../media/image7.png"/><Relationship Id="rId4" Type="http://schemas.openxmlformats.org/officeDocument/2006/relationships/hyperlink" Target="#Datum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InvestitorPozicijaSlike"/><Relationship Id="rId2" Type="http://schemas.openxmlformats.org/officeDocument/2006/relationships/hyperlink" Target="#PutanjaBaze"/><Relationship Id="rId1" Type="http://schemas.openxmlformats.org/officeDocument/2006/relationships/image" Target="../media/image6.emf"/><Relationship Id="rId6" Type="http://schemas.openxmlformats.org/officeDocument/2006/relationships/image" Target="../media/image8.svg"/><Relationship Id="rId5" Type="http://schemas.openxmlformats.org/officeDocument/2006/relationships/image" Target="../media/image7.png"/><Relationship Id="rId4" Type="http://schemas.openxmlformats.org/officeDocument/2006/relationships/hyperlink" Target="#Datum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2" Type="http://schemas.openxmlformats.org/officeDocument/2006/relationships/hyperlink" Target="#InvestitorPozicijaSlike"/><Relationship Id="rId1" Type="http://schemas.openxmlformats.org/officeDocument/2006/relationships/hyperlink" Target="#PutanjaBaze"/><Relationship Id="rId6" Type="http://schemas.openxmlformats.org/officeDocument/2006/relationships/image" Target="../media/image8.svg"/><Relationship Id="rId4" Type="http://schemas.openxmlformats.org/officeDocument/2006/relationships/image" Target="../media/image7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InvestitorPozicijaSlike"/><Relationship Id="rId2" Type="http://schemas.openxmlformats.org/officeDocument/2006/relationships/hyperlink" Target="#PutanjaBaze"/><Relationship Id="rId1" Type="http://schemas.openxmlformats.org/officeDocument/2006/relationships/image" Target="../media/image6.emf"/><Relationship Id="rId6" Type="http://schemas.openxmlformats.org/officeDocument/2006/relationships/image" Target="../media/image8.svg"/><Relationship Id="rId5" Type="http://schemas.openxmlformats.org/officeDocument/2006/relationships/image" Target="../media/image7.png"/><Relationship Id="rId4" Type="http://schemas.openxmlformats.org/officeDocument/2006/relationships/hyperlink" Target="#Datum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2" Type="http://schemas.openxmlformats.org/officeDocument/2006/relationships/hyperlink" Target="#InvestitorPozicijaSlike"/><Relationship Id="rId1" Type="http://schemas.openxmlformats.org/officeDocument/2006/relationships/hyperlink" Target="#PutanjaBaze"/><Relationship Id="rId6" Type="http://schemas.openxmlformats.org/officeDocument/2006/relationships/image" Target="../media/image8.svg"/><Relationship Id="rId4" Type="http://schemas.openxmlformats.org/officeDocument/2006/relationships/image" Target="../media/image7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7" Type="http://schemas.openxmlformats.org/officeDocument/2006/relationships/image" Target="../media/image6.emf"/><Relationship Id="rId2" Type="http://schemas.openxmlformats.org/officeDocument/2006/relationships/hyperlink" Target="#InvestitorPozicijaSlike"/><Relationship Id="rId1" Type="http://schemas.openxmlformats.org/officeDocument/2006/relationships/hyperlink" Target="#PutanjaBaze"/><Relationship Id="rId6" Type="http://schemas.openxmlformats.org/officeDocument/2006/relationships/image" Target="../media/image8.svg"/><Relationship Id="rId4" Type="http://schemas.openxmlformats.org/officeDocument/2006/relationships/image" Target="../media/image7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7" Type="http://schemas.openxmlformats.org/officeDocument/2006/relationships/image" Target="../media/image6.emf"/><Relationship Id="rId2" Type="http://schemas.openxmlformats.org/officeDocument/2006/relationships/hyperlink" Target="#InvestitorPozicijaSlike"/><Relationship Id="rId1" Type="http://schemas.openxmlformats.org/officeDocument/2006/relationships/hyperlink" Target="#PutanjaBaze"/><Relationship Id="rId6" Type="http://schemas.openxmlformats.org/officeDocument/2006/relationships/image" Target="../media/image8.svg"/><Relationship Id="rId4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1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1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1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0</xdr:colOff>
      <xdr:row>14</xdr:row>
      <xdr:rowOff>38100</xdr:rowOff>
    </xdr:from>
    <xdr:to>
      <xdr:col>6</xdr:col>
      <xdr:colOff>152400</xdr:colOff>
      <xdr:row>15</xdr:row>
      <xdr:rowOff>0</xdr:rowOff>
    </xdr:to>
    <xdr:pic macro="[0]!OdaberiPutanjuBaze">
      <xdr:nvPicPr>
        <xdr:cNvPr id="15" name="Odaberi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39275" y="1581150"/>
          <a:ext cx="152400" cy="152400"/>
        </a:xfrm>
        <a:prstGeom prst="rect">
          <a:avLst/>
        </a:prstGeom>
      </xdr:spPr>
    </xdr:pic>
    <xdr:clientData/>
  </xdr:twoCellAnchor>
  <xdr:twoCellAnchor editAs="oneCell">
    <xdr:from>
      <xdr:col>6</xdr:col>
      <xdr:colOff>38119</xdr:colOff>
      <xdr:row>302</xdr:row>
      <xdr:rowOff>0</xdr:rowOff>
    </xdr:from>
    <xdr:to>
      <xdr:col>7</xdr:col>
      <xdr:colOff>0</xdr:colOff>
      <xdr:row>302</xdr:row>
      <xdr:rowOff>152381</xdr:rowOff>
    </xdr:to>
    <xdr:pic macro="[0]!OdaberiSlikuInvestitoru">
      <xdr:nvPicPr>
        <xdr:cNvPr id="72" name="Slika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77394" y="43519725"/>
          <a:ext cx="152381" cy="152381"/>
        </a:xfrm>
        <a:prstGeom prst="rect">
          <a:avLst/>
        </a:prstGeom>
      </xdr:spPr>
    </xdr:pic>
    <xdr:clientData/>
  </xdr:twoCellAnchor>
  <xdr:twoCellAnchor editAs="oneCell">
    <xdr:from>
      <xdr:col>6</xdr:col>
      <xdr:colOff>38119</xdr:colOff>
      <xdr:row>307</xdr:row>
      <xdr:rowOff>0</xdr:rowOff>
    </xdr:from>
    <xdr:to>
      <xdr:col>7</xdr:col>
      <xdr:colOff>0</xdr:colOff>
      <xdr:row>307</xdr:row>
      <xdr:rowOff>152381</xdr:rowOff>
    </xdr:to>
    <xdr:pic macro="[0]!OdaberiSlikuGlavneSveske">
      <xdr:nvPicPr>
        <xdr:cNvPr id="73" name="Slika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77394" y="45824775"/>
          <a:ext cx="152381" cy="152381"/>
        </a:xfrm>
        <a:prstGeom prst="rect">
          <a:avLst/>
        </a:prstGeom>
      </xdr:spPr>
    </xdr:pic>
    <xdr:clientData/>
  </xdr:twoCellAnchor>
  <xdr:twoCellAnchor editAs="oneCell">
    <xdr:from>
      <xdr:col>6</xdr:col>
      <xdr:colOff>38119</xdr:colOff>
      <xdr:row>312</xdr:row>
      <xdr:rowOff>0</xdr:rowOff>
    </xdr:from>
    <xdr:to>
      <xdr:col>7</xdr:col>
      <xdr:colOff>0</xdr:colOff>
      <xdr:row>312</xdr:row>
      <xdr:rowOff>152381</xdr:rowOff>
    </xdr:to>
    <xdr:pic macro="[0]!OdaberiSlikuGlavnogProjektanta">
      <xdr:nvPicPr>
        <xdr:cNvPr id="80" name="Slika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77394" y="48120300"/>
          <a:ext cx="152381" cy="152381"/>
        </a:xfrm>
        <a:prstGeom prst="rect">
          <a:avLst/>
        </a:prstGeom>
      </xdr:spPr>
    </xdr:pic>
    <xdr:clientData/>
  </xdr:twoCellAnchor>
  <xdr:oneCellAnchor>
    <xdr:from>
      <xdr:col>6</xdr:col>
      <xdr:colOff>38119</xdr:colOff>
      <xdr:row>317</xdr:row>
      <xdr:rowOff>0</xdr:rowOff>
    </xdr:from>
    <xdr:ext cx="152381" cy="152381"/>
    <xdr:pic macro="[0]!OdaberiSlikuProjektantaA">
      <xdr:nvPicPr>
        <xdr:cNvPr id="81" name="Slika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77394" y="48120300"/>
          <a:ext cx="152381" cy="152381"/>
        </a:xfrm>
        <a:prstGeom prst="rect">
          <a:avLst/>
        </a:prstGeom>
      </xdr:spPr>
    </xdr:pic>
    <xdr:clientData/>
  </xdr:oneCellAnchor>
  <xdr:oneCellAnchor>
    <xdr:from>
      <xdr:col>6</xdr:col>
      <xdr:colOff>38119</xdr:colOff>
      <xdr:row>322</xdr:row>
      <xdr:rowOff>0</xdr:rowOff>
    </xdr:from>
    <xdr:ext cx="152381" cy="152381"/>
    <xdr:pic macro="[0]!OdaberiSlikuProjektantaK">
      <xdr:nvPicPr>
        <xdr:cNvPr id="52" name="Slika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77394" y="61255275"/>
          <a:ext cx="152381" cy="152381"/>
        </a:xfrm>
        <a:prstGeom prst="rect">
          <a:avLst/>
        </a:prstGeom>
      </xdr:spPr>
    </xdr:pic>
    <xdr:clientData/>
  </xdr:oneCellAnchor>
  <xdr:oneCellAnchor>
    <xdr:from>
      <xdr:col>6</xdr:col>
      <xdr:colOff>38119</xdr:colOff>
      <xdr:row>327</xdr:row>
      <xdr:rowOff>0</xdr:rowOff>
    </xdr:from>
    <xdr:ext cx="152381" cy="152381"/>
    <xdr:pic macro="[0]!OdaberiSlikuProjektantaH">
      <xdr:nvPicPr>
        <xdr:cNvPr id="53" name="Slika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77394" y="62226825"/>
          <a:ext cx="152381" cy="152381"/>
        </a:xfrm>
        <a:prstGeom prst="rect">
          <a:avLst/>
        </a:prstGeom>
      </xdr:spPr>
    </xdr:pic>
    <xdr:clientData/>
  </xdr:oneCellAnchor>
  <xdr:oneCellAnchor>
    <xdr:from>
      <xdr:col>6</xdr:col>
      <xdr:colOff>38119</xdr:colOff>
      <xdr:row>332</xdr:row>
      <xdr:rowOff>0</xdr:rowOff>
    </xdr:from>
    <xdr:ext cx="152381" cy="152381"/>
    <xdr:pic macro="[0]!OdaberiSlikuProjektantaE">
      <xdr:nvPicPr>
        <xdr:cNvPr id="54" name="Slika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77394" y="62226825"/>
          <a:ext cx="152381" cy="152381"/>
        </a:xfrm>
        <a:prstGeom prst="rect">
          <a:avLst/>
        </a:prstGeom>
      </xdr:spPr>
    </xdr:pic>
    <xdr:clientData/>
  </xdr:oneCellAnchor>
  <xdr:oneCellAnchor>
    <xdr:from>
      <xdr:col>6</xdr:col>
      <xdr:colOff>38119</xdr:colOff>
      <xdr:row>337</xdr:row>
      <xdr:rowOff>0</xdr:rowOff>
    </xdr:from>
    <xdr:ext cx="152381" cy="152381"/>
    <xdr:pic macro="[0]!OdaberiSlikuProjektantaTS">
      <xdr:nvPicPr>
        <xdr:cNvPr id="55" name="Slika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77394" y="62226825"/>
          <a:ext cx="152381" cy="152381"/>
        </a:xfrm>
        <a:prstGeom prst="rect">
          <a:avLst/>
        </a:prstGeom>
      </xdr:spPr>
    </xdr:pic>
    <xdr:clientData/>
  </xdr:oneCellAnchor>
  <xdr:oneCellAnchor>
    <xdr:from>
      <xdr:col>6</xdr:col>
      <xdr:colOff>38119</xdr:colOff>
      <xdr:row>342</xdr:row>
      <xdr:rowOff>0</xdr:rowOff>
    </xdr:from>
    <xdr:ext cx="152381" cy="152381"/>
    <xdr:pic macro="[0]!OdaberiSlikuProjektantaM">
      <xdr:nvPicPr>
        <xdr:cNvPr id="56" name="Slika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77394" y="65141475"/>
          <a:ext cx="152381" cy="152381"/>
        </a:xfrm>
        <a:prstGeom prst="rect">
          <a:avLst/>
        </a:prstGeom>
      </xdr:spPr>
    </xdr:pic>
    <xdr:clientData/>
  </xdr:oneCellAnchor>
  <xdr:oneCellAnchor>
    <xdr:from>
      <xdr:col>6</xdr:col>
      <xdr:colOff>38119</xdr:colOff>
      <xdr:row>347</xdr:row>
      <xdr:rowOff>0</xdr:rowOff>
    </xdr:from>
    <xdr:ext cx="152381" cy="152381"/>
    <xdr:pic macro="[0]!OdaberiSlikuProjektantaEEE">
      <xdr:nvPicPr>
        <xdr:cNvPr id="57" name="Slika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77394" y="66113025"/>
          <a:ext cx="152381" cy="152381"/>
        </a:xfrm>
        <a:prstGeom prst="rect">
          <a:avLst/>
        </a:prstGeom>
      </xdr:spPr>
    </xdr:pic>
    <xdr:clientData/>
  </xdr:oneCellAnchor>
  <xdr:oneCellAnchor>
    <xdr:from>
      <xdr:col>6</xdr:col>
      <xdr:colOff>38119</xdr:colOff>
      <xdr:row>352</xdr:row>
      <xdr:rowOff>0</xdr:rowOff>
    </xdr:from>
    <xdr:ext cx="152381" cy="152381"/>
    <xdr:pic macro="[0]!OdaberiSlikuProjektantaPPZ">
      <xdr:nvPicPr>
        <xdr:cNvPr id="58" name="Slika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77394" y="67084575"/>
          <a:ext cx="152381" cy="152381"/>
        </a:xfrm>
        <a:prstGeom prst="rect">
          <a:avLst/>
        </a:prstGeom>
      </xdr:spPr>
    </xdr:pic>
    <xdr:clientData/>
  </xdr:oneCellAnchor>
  <xdr:twoCellAnchor>
    <xdr:from>
      <xdr:col>1</xdr:col>
      <xdr:colOff>0</xdr:colOff>
      <xdr:row>19</xdr:row>
      <xdr:rowOff>8927</xdr:rowOff>
    </xdr:from>
    <xdr:to>
      <xdr:col>1</xdr:col>
      <xdr:colOff>1826004</xdr:colOff>
      <xdr:row>32</xdr:row>
      <xdr:rowOff>190201</xdr:rowOff>
    </xdr:to>
    <xdr:grpSp>
      <xdr:nvGrpSpPr>
        <xdr:cNvPr id="149" name="Podaci"/>
        <xdr:cNvGrpSpPr/>
      </xdr:nvGrpSpPr>
      <xdr:grpSpPr>
        <a:xfrm>
          <a:off x="190500" y="3866552"/>
          <a:ext cx="1826004" cy="2667299"/>
          <a:chOff x="11258550" y="2896497"/>
          <a:chExt cx="1826004" cy="2667299"/>
        </a:xfrm>
        <a:solidFill>
          <a:schemeClr val="bg1">
            <a:lumMod val="95000"/>
          </a:schemeClr>
        </a:solidFill>
      </xdr:grpSpPr>
      <xdr:sp macro="" textlink="">
        <xdr:nvSpPr>
          <xdr:cNvPr id="164" name="Podaci 12">
            <a:hlinkClick xmlns:r="http://schemas.openxmlformats.org/officeDocument/2006/relationships" r:id="rId3" tooltip="Ostali podaci o objektu"/>
          </xdr:cNvPr>
          <xdr:cNvSpPr/>
        </xdr:nvSpPr>
        <xdr:spPr>
          <a:xfrm>
            <a:off x="11258550" y="5372698"/>
            <a:ext cx="1369981" cy="191098"/>
          </a:xfrm>
          <a:prstGeom prst="rect">
            <a:avLst/>
          </a:prstGeom>
          <a:grp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Ostali podaci o objektu</a:t>
            </a:r>
          </a:p>
        </xdr:txBody>
      </xdr:sp>
      <xdr:sp macro="" textlink="">
        <xdr:nvSpPr>
          <xdr:cNvPr id="165" name="Podaci 11">
            <a:hlinkClick xmlns:r="http://schemas.openxmlformats.org/officeDocument/2006/relationships" r:id="rId4" tooltip="Materalizacija objekta"/>
          </xdr:cNvPr>
          <xdr:cNvSpPr/>
        </xdr:nvSpPr>
        <xdr:spPr>
          <a:xfrm>
            <a:off x="11258550" y="5182796"/>
            <a:ext cx="1305605" cy="191098"/>
          </a:xfrm>
          <a:prstGeom prst="rect">
            <a:avLst/>
          </a:prstGeom>
          <a:grp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Materalizacija objekta</a:t>
            </a:r>
          </a:p>
        </xdr:txBody>
      </xdr:sp>
      <xdr:sp macro="" textlink="">
        <xdr:nvSpPr>
          <xdr:cNvPr id="166" name="Podaci 10">
            <a:hlinkClick xmlns:r="http://schemas.openxmlformats.org/officeDocument/2006/relationships" r:id="rId5" tooltip="Dimenzije objekta"/>
          </xdr:cNvPr>
          <xdr:cNvSpPr/>
        </xdr:nvSpPr>
        <xdr:spPr>
          <a:xfrm>
            <a:off x="11258550" y="4992296"/>
            <a:ext cx="1084647" cy="191098"/>
          </a:xfrm>
          <a:prstGeom prst="rect">
            <a:avLst/>
          </a:prstGeom>
          <a:grp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Dimenzije objekta</a:t>
            </a:r>
          </a:p>
        </xdr:txBody>
      </xdr:sp>
      <xdr:sp macro="" textlink="">
        <xdr:nvSpPr>
          <xdr:cNvPr id="167" name="Podaci 9">
            <a:hlinkClick xmlns:r="http://schemas.openxmlformats.org/officeDocument/2006/relationships" r:id="rId6" tooltip="Lokacijski uslovi"/>
          </xdr:cNvPr>
          <xdr:cNvSpPr/>
        </xdr:nvSpPr>
        <xdr:spPr>
          <a:xfrm>
            <a:off x="11258550" y="4801796"/>
            <a:ext cx="991929" cy="191098"/>
          </a:xfrm>
          <a:prstGeom prst="rect">
            <a:avLst/>
          </a:prstGeom>
          <a:grp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Lokacijski uslovi</a:t>
            </a:r>
          </a:p>
        </xdr:txBody>
      </xdr:sp>
      <xdr:sp macro="" textlink="">
        <xdr:nvSpPr>
          <xdr:cNvPr id="168" name="Podaci 8">
            <a:hlinkClick xmlns:r="http://schemas.openxmlformats.org/officeDocument/2006/relationships" r:id="rId7" tooltip="Priključi na infrastrukturu"/>
          </xdr:cNvPr>
          <xdr:cNvSpPr/>
        </xdr:nvSpPr>
        <xdr:spPr>
          <a:xfrm>
            <a:off x="11258550" y="4611296"/>
            <a:ext cx="1476549" cy="191098"/>
          </a:xfrm>
          <a:prstGeom prst="rect">
            <a:avLst/>
          </a:prstGeom>
          <a:grp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Priključi na infrastrukturu</a:t>
            </a:r>
          </a:p>
        </xdr:txBody>
      </xdr:sp>
      <xdr:sp macro="" textlink="">
        <xdr:nvSpPr>
          <xdr:cNvPr id="169" name="Podaci 7">
            <a:hlinkClick xmlns:r="http://schemas.openxmlformats.org/officeDocument/2006/relationships" r:id="rId8" tooltip="Opšti podaci o objektu i lokaciji"/>
          </xdr:cNvPr>
          <xdr:cNvSpPr/>
        </xdr:nvSpPr>
        <xdr:spPr>
          <a:xfrm>
            <a:off x="11258550" y="4420796"/>
            <a:ext cx="1826004" cy="191098"/>
          </a:xfrm>
          <a:prstGeom prst="rect">
            <a:avLst/>
          </a:prstGeom>
          <a:grp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Opšti podaci o objektu i lokaciji</a:t>
            </a:r>
          </a:p>
        </xdr:txBody>
      </xdr:sp>
      <xdr:sp macro="" textlink="">
        <xdr:nvSpPr>
          <xdr:cNvPr id="170" name="Podaci 6">
            <a:hlinkClick xmlns:r="http://schemas.openxmlformats.org/officeDocument/2006/relationships" r:id="rId9" tooltip="Odgovorni projektanti"/>
          </xdr:cNvPr>
          <xdr:cNvSpPr/>
        </xdr:nvSpPr>
        <xdr:spPr>
          <a:xfrm>
            <a:off x="11258550" y="4230296"/>
            <a:ext cx="1291498" cy="191098"/>
          </a:xfrm>
          <a:prstGeom prst="rect">
            <a:avLst/>
          </a:prstGeom>
          <a:grp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Odgovorni projektanti</a:t>
            </a:r>
          </a:p>
        </xdr:txBody>
      </xdr:sp>
      <xdr:sp macro="" textlink="">
        <xdr:nvSpPr>
          <xdr:cNvPr id="171" name="Podaci 5">
            <a:hlinkClick xmlns:r="http://schemas.openxmlformats.org/officeDocument/2006/relationships" r:id="rId10" tooltip="Projektne organizacije"/>
          </xdr:cNvPr>
          <xdr:cNvSpPr/>
        </xdr:nvSpPr>
        <xdr:spPr>
          <a:xfrm>
            <a:off x="11258550" y="4039796"/>
            <a:ext cx="1334202" cy="191098"/>
          </a:xfrm>
          <a:prstGeom prst="rect">
            <a:avLst/>
          </a:prstGeom>
          <a:grp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Projektne organizacije</a:t>
            </a:r>
          </a:p>
        </xdr:txBody>
      </xdr:sp>
      <xdr:sp macro="" textlink="">
        <xdr:nvSpPr>
          <xdr:cNvPr id="172" name="Podaci 4">
            <a:hlinkClick xmlns:r="http://schemas.openxmlformats.org/officeDocument/2006/relationships" r:id="rId11" tooltip="Vrsta radova"/>
          </xdr:cNvPr>
          <xdr:cNvSpPr/>
        </xdr:nvSpPr>
        <xdr:spPr>
          <a:xfrm>
            <a:off x="11258550" y="3849296"/>
            <a:ext cx="799697" cy="191098"/>
          </a:xfrm>
          <a:prstGeom prst="rect">
            <a:avLst/>
          </a:prstGeom>
          <a:grp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Vrsta radova</a:t>
            </a:r>
          </a:p>
        </xdr:txBody>
      </xdr:sp>
      <xdr:sp macro="" textlink="">
        <xdr:nvSpPr>
          <xdr:cNvPr id="173" name="Podaci 3">
            <a:hlinkClick xmlns:r="http://schemas.openxmlformats.org/officeDocument/2006/relationships" r:id="rId12" tooltip="Objekat"/>
          </xdr:cNvPr>
          <xdr:cNvSpPr/>
        </xdr:nvSpPr>
        <xdr:spPr>
          <a:xfrm>
            <a:off x="11258550" y="3658796"/>
            <a:ext cx="514619" cy="191098"/>
          </a:xfrm>
          <a:prstGeom prst="rect">
            <a:avLst/>
          </a:prstGeom>
          <a:grp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Objekat</a:t>
            </a:r>
          </a:p>
        </xdr:txBody>
      </xdr:sp>
      <xdr:sp macro="" textlink="">
        <xdr:nvSpPr>
          <xdr:cNvPr id="174" name="Podaci 2">
            <a:hlinkClick xmlns:r="http://schemas.openxmlformats.org/officeDocument/2006/relationships" r:id="rId13" tooltip="Investitor"/>
          </xdr:cNvPr>
          <xdr:cNvSpPr/>
        </xdr:nvSpPr>
        <xdr:spPr>
          <a:xfrm>
            <a:off x="11258550" y="3468296"/>
            <a:ext cx="592974" cy="191098"/>
          </a:xfrm>
          <a:prstGeom prst="rect">
            <a:avLst/>
          </a:prstGeom>
          <a:grp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Investitor</a:t>
            </a:r>
          </a:p>
        </xdr:txBody>
      </xdr:sp>
      <xdr:sp macro="" textlink="">
        <xdr:nvSpPr>
          <xdr:cNvPr id="175" name="Podaci 1">
            <a:hlinkClick xmlns:r="http://schemas.openxmlformats.org/officeDocument/2006/relationships" r:id="rId14" tooltip="Evidencija"/>
          </xdr:cNvPr>
          <xdr:cNvSpPr/>
        </xdr:nvSpPr>
        <xdr:spPr>
          <a:xfrm>
            <a:off x="11258550" y="3277796"/>
            <a:ext cx="657094" cy="191098"/>
          </a:xfrm>
          <a:prstGeom prst="rect">
            <a:avLst/>
          </a:prstGeom>
          <a:grp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Evidencija</a:t>
            </a:r>
          </a:p>
        </xdr:txBody>
      </xdr:sp>
      <xdr:sp macro="" textlink="">
        <xdr:nvSpPr>
          <xdr:cNvPr id="176" name="Podaci naslov"/>
          <xdr:cNvSpPr/>
        </xdr:nvSpPr>
        <xdr:spPr>
          <a:xfrm>
            <a:off x="11258550" y="2896497"/>
            <a:ext cx="571429" cy="191098"/>
          </a:xfrm>
          <a:prstGeom prst="rect">
            <a:avLst/>
          </a:prstGeom>
          <a:grp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1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PODACI</a:t>
            </a:r>
          </a:p>
        </xdr:txBody>
      </xdr:sp>
    </xdr:grpSp>
    <xdr:clientData/>
  </xdr:twoCellAnchor>
  <xdr:twoCellAnchor>
    <xdr:from>
      <xdr:col>1</xdr:col>
      <xdr:colOff>1743075</xdr:colOff>
      <xdr:row>1</xdr:row>
      <xdr:rowOff>190500</xdr:rowOff>
    </xdr:from>
    <xdr:to>
      <xdr:col>1</xdr:col>
      <xdr:colOff>2124075</xdr:colOff>
      <xdr:row>3</xdr:row>
      <xdr:rowOff>171151</xdr:rowOff>
    </xdr:to>
    <xdr:sp macro="[0]!PDF" textlink="">
      <xdr:nvSpPr>
        <xdr:cNvPr id="152" name="PDF"/>
        <xdr:cNvSpPr/>
      </xdr:nvSpPr>
      <xdr:spPr>
        <a:xfrm>
          <a:off x="1933575" y="571500"/>
          <a:ext cx="381000" cy="371176"/>
        </a:xfrm>
        <a:prstGeom prst="ellipse">
          <a:avLst/>
        </a:prstGeom>
        <a:solidFill>
          <a:schemeClr val="bg1">
            <a:lumMod val="95000"/>
          </a:schemeClr>
        </a:solidFill>
        <a:ln w="3175">
          <a:solidFill>
            <a:schemeClr val="tx1">
              <a:lumMod val="75000"/>
              <a:lumOff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sr-Latn-RS" sz="1000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PDF</a:t>
          </a:r>
        </a:p>
      </xdr:txBody>
    </xdr:sp>
    <xdr:clientData/>
  </xdr:twoCellAnchor>
  <xdr:twoCellAnchor>
    <xdr:from>
      <xdr:col>1</xdr:col>
      <xdr:colOff>1171575</xdr:colOff>
      <xdr:row>1</xdr:row>
      <xdr:rowOff>190500</xdr:rowOff>
    </xdr:from>
    <xdr:to>
      <xdr:col>1</xdr:col>
      <xdr:colOff>1552575</xdr:colOff>
      <xdr:row>3</xdr:row>
      <xdr:rowOff>171151</xdr:rowOff>
    </xdr:to>
    <xdr:sp macro="[0]!RastezanjeRedova" textlink="">
      <xdr:nvSpPr>
        <xdr:cNvPr id="46" name="Red"/>
        <xdr:cNvSpPr/>
      </xdr:nvSpPr>
      <xdr:spPr>
        <a:xfrm>
          <a:off x="1362075" y="571500"/>
          <a:ext cx="381000" cy="371176"/>
        </a:xfrm>
        <a:prstGeom prst="ellipse">
          <a:avLst/>
        </a:prstGeom>
        <a:solidFill>
          <a:schemeClr val="bg1">
            <a:lumMod val="95000"/>
          </a:schemeClr>
        </a:solidFill>
        <a:ln w="3175">
          <a:solidFill>
            <a:schemeClr val="tx1">
              <a:lumMod val="75000"/>
              <a:lumOff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sr-Latn-RS" sz="1000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Red</a:t>
          </a:r>
        </a:p>
      </xdr:txBody>
    </xdr:sp>
    <xdr:clientData/>
  </xdr:twoCellAnchor>
  <xdr:twoCellAnchor>
    <xdr:from>
      <xdr:col>0</xdr:col>
      <xdr:colOff>190499</xdr:colOff>
      <xdr:row>13</xdr:row>
      <xdr:rowOff>180377</xdr:rowOff>
    </xdr:from>
    <xdr:to>
      <xdr:col>1</xdr:col>
      <xdr:colOff>1048867</xdr:colOff>
      <xdr:row>17</xdr:row>
      <xdr:rowOff>189902</xdr:rowOff>
    </xdr:to>
    <xdr:grpSp>
      <xdr:nvGrpSpPr>
        <xdr:cNvPr id="3" name="Podesavanja"/>
        <xdr:cNvGrpSpPr/>
      </xdr:nvGrpSpPr>
      <xdr:grpSpPr>
        <a:xfrm>
          <a:off x="190499" y="2885477"/>
          <a:ext cx="1048868" cy="781050"/>
          <a:chOff x="190500" y="2495550"/>
          <a:chExt cx="1048868" cy="781050"/>
        </a:xfrm>
      </xdr:grpSpPr>
      <xdr:sp macro="" textlink="">
        <xdr:nvSpPr>
          <xdr:cNvPr id="162" name="Podesavanja 2">
            <a:hlinkClick xmlns:r="http://schemas.openxmlformats.org/officeDocument/2006/relationships" r:id="rId15" tooltip="Baza"/>
          </xdr:cNvPr>
          <xdr:cNvSpPr/>
        </xdr:nvSpPr>
        <xdr:spPr>
          <a:xfrm>
            <a:off x="190500" y="3085502"/>
            <a:ext cx="364963" cy="191098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Baza</a:t>
            </a:r>
          </a:p>
        </xdr:txBody>
      </xdr:sp>
      <xdr:sp macro="" textlink="">
        <xdr:nvSpPr>
          <xdr:cNvPr id="163" name="Podesavanja naslov"/>
          <xdr:cNvSpPr/>
        </xdr:nvSpPr>
        <xdr:spPr>
          <a:xfrm>
            <a:off x="190500" y="2495550"/>
            <a:ext cx="1048868" cy="191098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1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49" name="Podesavanja 1">
            <a:hlinkClick xmlns:r="http://schemas.openxmlformats.org/officeDocument/2006/relationships" r:id="rId16" tooltip="Pilot"/>
          </xdr:cNvPr>
          <xdr:cNvSpPr/>
        </xdr:nvSpPr>
        <xdr:spPr>
          <a:xfrm>
            <a:off x="190500" y="2895600"/>
            <a:ext cx="322130" cy="191098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Pilot</a:t>
            </a:r>
          </a:p>
        </xdr:txBody>
      </xdr:sp>
    </xdr:grpSp>
    <xdr:clientData/>
  </xdr:twoCellAnchor>
  <xdr:twoCellAnchor>
    <xdr:from>
      <xdr:col>1</xdr:col>
      <xdr:colOff>0</xdr:colOff>
      <xdr:row>2</xdr:row>
      <xdr:rowOff>9525</xdr:rowOff>
    </xdr:from>
    <xdr:to>
      <xdr:col>1</xdr:col>
      <xdr:colOff>2688805</xdr:colOff>
      <xdr:row>13</xdr:row>
      <xdr:rowOff>598</xdr:rowOff>
    </xdr:to>
    <xdr:grpSp>
      <xdr:nvGrpSpPr>
        <xdr:cNvPr id="5" name="Prilozi"/>
        <xdr:cNvGrpSpPr/>
      </xdr:nvGrpSpPr>
      <xdr:grpSpPr>
        <a:xfrm>
          <a:off x="190500" y="590550"/>
          <a:ext cx="2688805" cy="2115148"/>
          <a:chOff x="190500" y="590550"/>
          <a:chExt cx="2688805" cy="2115148"/>
        </a:xfrm>
      </xdr:grpSpPr>
      <xdr:sp macro="" textlink="">
        <xdr:nvSpPr>
          <xdr:cNvPr id="60" name="Prilog 09">
            <a:hlinkClick xmlns:r="http://schemas.openxmlformats.org/officeDocument/2006/relationships" r:id="rId17" tooltip="0.9. Izjava ovlašćenog lica PPZ"/>
          </xdr:cNvPr>
          <xdr:cNvSpPr/>
        </xdr:nvSpPr>
        <xdr:spPr>
          <a:xfrm>
            <a:off x="190500" y="2514600"/>
            <a:ext cx="1854601" cy="191098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0.9. Izjava ovlašćenog lica PPZ</a:t>
            </a:r>
          </a:p>
        </xdr:txBody>
      </xdr:sp>
      <xdr:sp macro="" textlink="">
        <xdr:nvSpPr>
          <xdr:cNvPr id="59" name="Prilog 08">
            <a:hlinkClick xmlns:r="http://schemas.openxmlformats.org/officeDocument/2006/relationships" r:id="rId18" tooltip="0.8. Izjava ovlašćenog lica EEE"/>
          </xdr:cNvPr>
          <xdr:cNvSpPr/>
        </xdr:nvSpPr>
        <xdr:spPr>
          <a:xfrm>
            <a:off x="190500" y="2314575"/>
            <a:ext cx="1861783" cy="191098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0.8. Izjava ovlašćenog lica EEE</a:t>
            </a:r>
          </a:p>
        </xdr:txBody>
      </xdr:sp>
      <xdr:sp macro="" textlink="">
        <xdr:nvSpPr>
          <xdr:cNvPr id="153" name="Prilog 07">
            <a:hlinkClick xmlns:r="http://schemas.openxmlformats.org/officeDocument/2006/relationships" r:id="rId19" tooltip="0.7. Opšti podaci o objektu i lokaciji"/>
          </xdr:cNvPr>
          <xdr:cNvSpPr/>
        </xdr:nvSpPr>
        <xdr:spPr>
          <a:xfrm>
            <a:off x="190500" y="2114550"/>
            <a:ext cx="2075559" cy="191098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0.7. Opšti podaci o objektu i lokaciji</a:t>
            </a:r>
          </a:p>
        </xdr:txBody>
      </xdr:sp>
      <xdr:sp macro="" textlink="">
        <xdr:nvSpPr>
          <xdr:cNvPr id="154" name="Prilog 06">
            <a:hlinkClick xmlns:r="http://schemas.openxmlformats.org/officeDocument/2006/relationships" r:id="rId20" tooltip="0.6. Podaci o projektantima"/>
          </xdr:cNvPr>
          <xdr:cNvSpPr/>
        </xdr:nvSpPr>
        <xdr:spPr>
          <a:xfrm>
            <a:off x="190500" y="1924050"/>
            <a:ext cx="1626590" cy="191098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0.6. Podaci o projektantima</a:t>
            </a:r>
          </a:p>
        </xdr:txBody>
      </xdr:sp>
      <xdr:sp macro="" textlink="">
        <xdr:nvSpPr>
          <xdr:cNvPr id="155" name="Prilog 05">
            <a:hlinkClick xmlns:r="http://schemas.openxmlformats.org/officeDocument/2006/relationships" r:id="rId21" tooltip="0.5. Sadržaj tehničke dokumentacije"/>
          </xdr:cNvPr>
          <xdr:cNvSpPr/>
        </xdr:nvSpPr>
        <xdr:spPr>
          <a:xfrm>
            <a:off x="190501" y="1733550"/>
            <a:ext cx="2132626" cy="191098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0.5. Sadržaj tehničke dokumentacije</a:t>
            </a:r>
          </a:p>
        </xdr:txBody>
      </xdr:sp>
      <xdr:sp macro="" textlink="">
        <xdr:nvSpPr>
          <xdr:cNvPr id="156" name="Prilog 04">
            <a:hlinkClick xmlns:r="http://schemas.openxmlformats.org/officeDocument/2006/relationships" r:id="rId22" tooltip="0.4. Izjava glavnog projektanta"/>
          </xdr:cNvPr>
          <xdr:cNvSpPr/>
        </xdr:nvSpPr>
        <xdr:spPr>
          <a:xfrm>
            <a:off x="190501" y="1543050"/>
            <a:ext cx="1812025" cy="191098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0.4. Izjava glavnog projektanta</a:t>
            </a:r>
          </a:p>
        </xdr:txBody>
      </xdr:sp>
      <xdr:sp macro="" textlink="">
        <xdr:nvSpPr>
          <xdr:cNvPr id="157" name="Prilog 03">
            <a:hlinkClick xmlns:r="http://schemas.openxmlformats.org/officeDocument/2006/relationships" r:id="rId23" tooltip="0.3. Odluka o određivanju glavnog projektanta"/>
          </xdr:cNvPr>
          <xdr:cNvSpPr/>
        </xdr:nvSpPr>
        <xdr:spPr>
          <a:xfrm>
            <a:off x="190501" y="1352849"/>
            <a:ext cx="2688804" cy="191098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0.3. Odluka o određivanju glavnog</a:t>
            </a:r>
            <a:r>
              <a:rPr lang="sr-Latn-RS" sz="1000" b="0" u="none" baseline="0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 projektanta</a:t>
            </a:r>
            <a:endParaRPr lang="sr-Latn-RS" sz="1000" b="0" u="none">
              <a:solidFill>
                <a:schemeClr val="tx1">
                  <a:lumMod val="75000"/>
                  <a:lumOff val="25000"/>
                </a:schemeClr>
              </a:solidFill>
              <a:effectLst/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158" name="Prilog 02">
            <a:hlinkClick xmlns:r="http://schemas.openxmlformats.org/officeDocument/2006/relationships" r:id="rId24" tooltip="0.2. Sadržaj"/>
          </xdr:cNvPr>
          <xdr:cNvSpPr/>
        </xdr:nvSpPr>
        <xdr:spPr>
          <a:xfrm>
            <a:off x="190502" y="1162050"/>
            <a:ext cx="756993" cy="191098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0.2. Sadržaj</a:t>
            </a:r>
          </a:p>
        </xdr:txBody>
      </xdr:sp>
      <xdr:sp macro="" textlink="">
        <xdr:nvSpPr>
          <xdr:cNvPr id="159" name="Prilog 01">
            <a:hlinkClick xmlns:r="http://schemas.openxmlformats.org/officeDocument/2006/relationships" r:id="rId25" tooltip="0.1. Naslovna strana"/>
          </xdr:cNvPr>
          <xdr:cNvSpPr/>
        </xdr:nvSpPr>
        <xdr:spPr>
          <a:xfrm>
            <a:off x="190500" y="971550"/>
            <a:ext cx="1248794" cy="191098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0.1. Naslovna strana</a:t>
            </a:r>
          </a:p>
        </xdr:txBody>
      </xdr:sp>
      <xdr:sp macro="" textlink="">
        <xdr:nvSpPr>
          <xdr:cNvPr id="160" name="Prilozi naslov"/>
          <xdr:cNvSpPr/>
        </xdr:nvSpPr>
        <xdr:spPr>
          <a:xfrm>
            <a:off x="190500" y="590550"/>
            <a:ext cx="578611" cy="191098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algn="l"/>
            <a:r>
              <a:rPr lang="sr-Latn-RS" sz="1000" b="1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PRILOZI</a:t>
            </a:r>
          </a:p>
        </xdr:txBody>
      </xdr:sp>
    </xdr:grpSp>
    <xdr:clientData/>
  </xdr:twoCellAnchor>
  <xdr:twoCellAnchor>
    <xdr:from>
      <xdr:col>0</xdr:col>
      <xdr:colOff>190499</xdr:colOff>
      <xdr:row>34</xdr:row>
      <xdr:rowOff>7731</xdr:rowOff>
    </xdr:from>
    <xdr:to>
      <xdr:col>1</xdr:col>
      <xdr:colOff>2296261</xdr:colOff>
      <xdr:row>46</xdr:row>
      <xdr:rowOff>191098</xdr:rowOff>
    </xdr:to>
    <xdr:grpSp>
      <xdr:nvGrpSpPr>
        <xdr:cNvPr id="8" name="Potpisi i pecati"/>
        <xdr:cNvGrpSpPr/>
      </xdr:nvGrpSpPr>
      <xdr:grpSpPr>
        <a:xfrm>
          <a:off x="190499" y="6741906"/>
          <a:ext cx="2296262" cy="2488417"/>
          <a:chOff x="190499" y="6741906"/>
          <a:chExt cx="2296262" cy="2488417"/>
        </a:xfrm>
      </xdr:grpSpPr>
      <xdr:sp macro="" textlink="">
        <xdr:nvSpPr>
          <xdr:cNvPr id="177" name="Potpisi i pecati 4">
            <a:hlinkClick xmlns:r="http://schemas.openxmlformats.org/officeDocument/2006/relationships" r:id="rId26" tooltip="Odgovorni projektant projekta A"/>
          </xdr:cNvPr>
          <xdr:cNvSpPr/>
        </xdr:nvSpPr>
        <xdr:spPr>
          <a:xfrm>
            <a:off x="190500" y="7695602"/>
            <a:ext cx="1876017" cy="191098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Odgovorni projektant projekta A</a:t>
            </a:r>
          </a:p>
        </xdr:txBody>
      </xdr:sp>
      <xdr:sp macro="" textlink="">
        <xdr:nvSpPr>
          <xdr:cNvPr id="178" name="Potpisi i pecati 2">
            <a:hlinkClick xmlns:r="http://schemas.openxmlformats.org/officeDocument/2006/relationships" r:id="rId27" tooltip="Projektna organizacija (Glavna sveska)"/>
          </xdr:cNvPr>
          <xdr:cNvSpPr/>
        </xdr:nvSpPr>
        <xdr:spPr>
          <a:xfrm>
            <a:off x="190500" y="7314004"/>
            <a:ext cx="2296261" cy="191098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Projektna organizacija (Glavna sveska)</a:t>
            </a:r>
          </a:p>
        </xdr:txBody>
      </xdr:sp>
      <xdr:sp macro="" textlink="">
        <xdr:nvSpPr>
          <xdr:cNvPr id="179" name="Potpisi i pecati 1">
            <a:hlinkClick xmlns:r="http://schemas.openxmlformats.org/officeDocument/2006/relationships" r:id="rId28" tooltip="Investitor"/>
          </xdr:cNvPr>
          <xdr:cNvSpPr/>
        </xdr:nvSpPr>
        <xdr:spPr>
          <a:xfrm>
            <a:off x="190500" y="7123504"/>
            <a:ext cx="592974" cy="191098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Investitor</a:t>
            </a:r>
          </a:p>
        </xdr:txBody>
      </xdr:sp>
      <xdr:sp macro="" textlink="">
        <xdr:nvSpPr>
          <xdr:cNvPr id="180" name="Potpisi i pecati naslov"/>
          <xdr:cNvSpPr/>
        </xdr:nvSpPr>
        <xdr:spPr>
          <a:xfrm>
            <a:off x="190500" y="6741906"/>
            <a:ext cx="1155948" cy="191098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algn="l"/>
            <a:r>
              <a:rPr lang="sr-Latn-RS" sz="1000" b="1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POTPISI</a:t>
            </a:r>
            <a:r>
              <a:rPr lang="sr-Latn-RS" sz="1000" b="1" u="none" baseline="0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 I PEČATI</a:t>
            </a:r>
            <a:endParaRPr lang="sr-Latn-RS" sz="1000" b="1" u="none">
              <a:solidFill>
                <a:schemeClr val="tx1">
                  <a:lumMod val="75000"/>
                  <a:lumOff val="25000"/>
                </a:schemeClr>
              </a:solidFill>
              <a:effectLst/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82" name="Potpisi i pecati 3">
            <a:hlinkClick xmlns:r="http://schemas.openxmlformats.org/officeDocument/2006/relationships" r:id="rId26" tooltip="Odgovorni projektant projekta arhitekture"/>
          </xdr:cNvPr>
          <xdr:cNvSpPr/>
        </xdr:nvSpPr>
        <xdr:spPr>
          <a:xfrm>
            <a:off x="190499" y="7505102"/>
            <a:ext cx="1034890" cy="191098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Glavni projektant</a:t>
            </a:r>
          </a:p>
        </xdr:txBody>
      </xdr:sp>
      <xdr:sp macro="" textlink="">
        <xdr:nvSpPr>
          <xdr:cNvPr id="61" name="Potpisi i pecati 5">
            <a:hlinkClick xmlns:r="http://schemas.openxmlformats.org/officeDocument/2006/relationships" r:id="rId29" tooltip="Odgovorni projektant projekta K"/>
          </xdr:cNvPr>
          <xdr:cNvSpPr/>
        </xdr:nvSpPr>
        <xdr:spPr>
          <a:xfrm>
            <a:off x="190500" y="7886700"/>
            <a:ext cx="1876017" cy="191098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Odgovorni projektant projekta K</a:t>
            </a:r>
          </a:p>
        </xdr:txBody>
      </xdr:sp>
      <xdr:sp macro="" textlink="">
        <xdr:nvSpPr>
          <xdr:cNvPr id="62" name="Potpisi i pecati 6">
            <a:hlinkClick xmlns:r="http://schemas.openxmlformats.org/officeDocument/2006/relationships" r:id="rId30" tooltip="Odgovorni projektant projekta H"/>
          </xdr:cNvPr>
          <xdr:cNvSpPr/>
        </xdr:nvSpPr>
        <xdr:spPr>
          <a:xfrm>
            <a:off x="190500" y="8077200"/>
            <a:ext cx="1876017" cy="191098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Odgovorni projektant projekta H</a:t>
            </a:r>
          </a:p>
        </xdr:txBody>
      </xdr:sp>
      <xdr:sp macro="" textlink="">
        <xdr:nvSpPr>
          <xdr:cNvPr id="63" name="Potpisi i pecati 7">
            <a:hlinkClick xmlns:r="http://schemas.openxmlformats.org/officeDocument/2006/relationships" r:id="rId31" tooltip="Odgovorni projektant projekta E"/>
          </xdr:cNvPr>
          <xdr:cNvSpPr/>
        </xdr:nvSpPr>
        <xdr:spPr>
          <a:xfrm>
            <a:off x="190500" y="8267700"/>
            <a:ext cx="1876017" cy="191098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Odgovorni projektant projekta E</a:t>
            </a:r>
          </a:p>
        </xdr:txBody>
      </xdr:sp>
      <xdr:sp macro="" textlink="">
        <xdr:nvSpPr>
          <xdr:cNvPr id="64" name="Potpisi i pecati 8">
            <a:hlinkClick xmlns:r="http://schemas.openxmlformats.org/officeDocument/2006/relationships" r:id="rId32" tooltip="Odgovorni projektant projekta TS"/>
          </xdr:cNvPr>
          <xdr:cNvSpPr/>
        </xdr:nvSpPr>
        <xdr:spPr>
          <a:xfrm>
            <a:off x="190500" y="8458200"/>
            <a:ext cx="1954372" cy="191098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Odgovorni projektant projekta TS</a:t>
            </a:r>
          </a:p>
        </xdr:txBody>
      </xdr:sp>
      <xdr:sp macro="" textlink="">
        <xdr:nvSpPr>
          <xdr:cNvPr id="65" name="Potpisi i pecati 9">
            <a:hlinkClick xmlns:r="http://schemas.openxmlformats.org/officeDocument/2006/relationships" r:id="rId33" tooltip="Odgovorni projektant projekta M"/>
          </xdr:cNvPr>
          <xdr:cNvSpPr/>
        </xdr:nvSpPr>
        <xdr:spPr>
          <a:xfrm>
            <a:off x="190500" y="8648700"/>
            <a:ext cx="1876017" cy="191098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Odgovorni projektant projekta M</a:t>
            </a:r>
          </a:p>
        </xdr:txBody>
      </xdr:sp>
      <xdr:sp macro="" textlink="">
        <xdr:nvSpPr>
          <xdr:cNvPr id="66" name="Potpisi i pecati 10">
            <a:hlinkClick xmlns:r="http://schemas.openxmlformats.org/officeDocument/2006/relationships" r:id="rId34" tooltip="Odgovorni projektant projekta EEE"/>
          </xdr:cNvPr>
          <xdr:cNvSpPr/>
        </xdr:nvSpPr>
        <xdr:spPr>
          <a:xfrm>
            <a:off x="190500" y="8848725"/>
            <a:ext cx="2047090" cy="191098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Odgovorni projektant projekta EEE</a:t>
            </a:r>
          </a:p>
        </xdr:txBody>
      </xdr:sp>
      <xdr:sp macro="" textlink="">
        <xdr:nvSpPr>
          <xdr:cNvPr id="67" name="Potpisi i pecati 11">
            <a:hlinkClick xmlns:r="http://schemas.openxmlformats.org/officeDocument/2006/relationships" r:id="rId35" tooltip="Odgovorni projektant projekta PPZ"/>
          </xdr:cNvPr>
          <xdr:cNvSpPr/>
        </xdr:nvSpPr>
        <xdr:spPr>
          <a:xfrm>
            <a:off x="190500" y="9039225"/>
            <a:ext cx="2039908" cy="191098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Odgovorni projektant projekta PPZ</a:t>
            </a:r>
          </a:p>
        </xdr:txBody>
      </xdr:sp>
    </xdr:grpSp>
    <xdr:clientData/>
  </xdr:twoCellAnchor>
  <xdr:twoCellAnchor>
    <xdr:from>
      <xdr:col>1</xdr:col>
      <xdr:colOff>581044</xdr:colOff>
      <xdr:row>2</xdr:row>
      <xdr:rowOff>28594</xdr:rowOff>
    </xdr:from>
    <xdr:to>
      <xdr:col>1</xdr:col>
      <xdr:colOff>733425</xdr:colOff>
      <xdr:row>2</xdr:row>
      <xdr:rowOff>180975</xdr:rowOff>
    </xdr:to>
    <xdr:pic macro="[0]!PrikaziFrmPrilozi">
      <xdr:nvPicPr>
        <xdr:cNvPr id="10" name="Uredi"/>
        <xdr:cNvPicPr>
          <a:picLocks noChangeAspect="1"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1544" y="609619"/>
          <a:ext cx="152381" cy="152381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9</xdr:col>
      <xdr:colOff>0</xdr:colOff>
      <xdr:row>1</xdr:row>
      <xdr:rowOff>9525</xdr:rowOff>
    </xdr:to>
    <xdr:grpSp>
      <xdr:nvGrpSpPr>
        <xdr:cNvPr id="7" name="Zaglavlje"/>
        <xdr:cNvGrpSpPr/>
      </xdr:nvGrpSpPr>
      <xdr:grpSpPr>
        <a:xfrm>
          <a:off x="0" y="0"/>
          <a:ext cx="10010775" cy="390525"/>
          <a:chOff x="0" y="0"/>
          <a:chExt cx="10010775" cy="390525"/>
        </a:xfrm>
      </xdr:grpSpPr>
      <xdr:sp macro="" textlink="">
        <xdr:nvSpPr>
          <xdr:cNvPr id="185" name="Logo"/>
          <xdr:cNvSpPr/>
        </xdr:nvSpPr>
        <xdr:spPr>
          <a:xfrm>
            <a:off x="0" y="0"/>
            <a:ext cx="381000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186" name="Naslov"/>
          <xdr:cNvSpPr/>
        </xdr:nvSpPr>
        <xdr:spPr>
          <a:xfrm>
            <a:off x="381002" y="0"/>
            <a:ext cx="9439273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Glavna sveska, PGD</a:t>
            </a:r>
          </a:p>
        </xdr:txBody>
      </xdr:sp>
      <xdr:sp macro="" textlink="">
        <xdr:nvSpPr>
          <xdr:cNvPr id="2" name="Gore">
            <a:hlinkClick xmlns:r="http://schemas.openxmlformats.org/officeDocument/2006/relationships" r:id="rId15" tooltip="Gore"/>
          </xdr:cNvPr>
          <xdr:cNvSpPr/>
        </xdr:nvSpPr>
        <xdr:spPr>
          <a:xfrm>
            <a:off x="9820275" y="85725"/>
            <a:ext cx="190500" cy="190500"/>
          </a:xfrm>
          <a:prstGeom prst="upArrow">
            <a:avLst/>
          </a:prstGeom>
          <a:solidFill>
            <a:schemeClr val="bg1">
              <a:lumMod val="75000"/>
            </a:schemeClr>
          </a:solidFill>
          <a:ln>
            <a:noFill/>
          </a:ln>
          <a:effectLst>
            <a:outerShdw blurRad="50800" dist="127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sr-Latn-RS" sz="10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1</xdr:col>
      <xdr:colOff>2314575</xdr:colOff>
      <xdr:row>1</xdr:row>
      <xdr:rowOff>190799</xdr:rowOff>
    </xdr:from>
    <xdr:to>
      <xdr:col>2</xdr:col>
      <xdr:colOff>0</xdr:colOff>
      <xdr:row>3</xdr:row>
      <xdr:rowOff>171450</xdr:rowOff>
    </xdr:to>
    <xdr:sp macro="[0]!PrenosPodataka" textlink="">
      <xdr:nvSpPr>
        <xdr:cNvPr id="68" name="Prenos podataka"/>
        <xdr:cNvSpPr/>
      </xdr:nvSpPr>
      <xdr:spPr>
        <a:xfrm>
          <a:off x="2505075" y="571799"/>
          <a:ext cx="381000" cy="371176"/>
        </a:xfrm>
        <a:prstGeom prst="ellipse">
          <a:avLst/>
        </a:prstGeom>
        <a:solidFill>
          <a:schemeClr val="bg1">
            <a:lumMod val="95000"/>
          </a:schemeClr>
        </a:solidFill>
        <a:ln w="3175">
          <a:solidFill>
            <a:schemeClr val="tx1">
              <a:lumMod val="75000"/>
              <a:lumOff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sr-Latn-RS" sz="1000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&lt;&gt;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885824</xdr:colOff>
          <xdr:row>32</xdr:row>
          <xdr:rowOff>0</xdr:rowOff>
        </xdr:from>
        <xdr:to>
          <xdr:col>3</xdr:col>
          <xdr:colOff>6867524</xdr:colOff>
          <xdr:row>40</xdr:row>
          <xdr:rowOff>0</xdr:rowOff>
        </xdr:to>
        <xdr:pic>
          <xdr:nvPicPr>
            <xdr:cNvPr id="9" name="Glavni projektant"/>
            <xdr:cNvPicPr>
              <a:picLocks noChangeAspect="1" noChangeArrowheads="1"/>
              <a:extLst>
                <a:ext uri="{84589F7E-364E-4C9E-8A38-B11213B215E9}">
                  <a14:cameraTool cellRange="GlavniProjektantPozicijaSlike" spid="_x0000_s147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457324" y="6305550"/>
              <a:ext cx="5981700" cy="15240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876300</xdr:colOff>
          <xdr:row>23</xdr:row>
          <xdr:rowOff>180975</xdr:rowOff>
        </xdr:from>
        <xdr:to>
          <xdr:col>3</xdr:col>
          <xdr:colOff>6858000</xdr:colOff>
          <xdr:row>31</xdr:row>
          <xdr:rowOff>180975</xdr:rowOff>
        </xdr:to>
        <xdr:pic>
          <xdr:nvPicPr>
            <xdr:cNvPr id="16" name="Odgovorno lice GS"/>
            <xdr:cNvPicPr>
              <a:picLocks noChangeAspect="1" noChangeArrowheads="1"/>
              <a:extLst>
                <a:ext uri="{84589F7E-364E-4C9E-8A38-B11213B215E9}">
                  <a14:cameraTool cellRange="GlavnaSveskaPozicijaSlike" spid="_x0000_s147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447800" y="4772025"/>
              <a:ext cx="5981700" cy="15240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 editAs="absolute">
    <xdr:from>
      <xdr:col>0</xdr:col>
      <xdr:colOff>0</xdr:colOff>
      <xdr:row>0</xdr:row>
      <xdr:rowOff>0</xdr:rowOff>
    </xdr:from>
    <xdr:to>
      <xdr:col>5</xdr:col>
      <xdr:colOff>0</xdr:colOff>
      <xdr:row>1</xdr:row>
      <xdr:rowOff>9525</xdr:rowOff>
    </xdr:to>
    <xdr:grpSp>
      <xdr:nvGrpSpPr>
        <xdr:cNvPr id="12" name="Zaglavlje"/>
        <xdr:cNvGrpSpPr/>
      </xdr:nvGrpSpPr>
      <xdr:grpSpPr>
        <a:xfrm>
          <a:off x="0" y="0"/>
          <a:ext cx="7629525" cy="390525"/>
          <a:chOff x="0" y="0"/>
          <a:chExt cx="7629525" cy="390525"/>
        </a:xfrm>
      </xdr:grpSpPr>
      <xdr:sp macro="" textlink="">
        <xdr:nvSpPr>
          <xdr:cNvPr id="13" name="Logo"/>
          <xdr:cNvSpPr/>
        </xdr:nvSpPr>
        <xdr:spPr>
          <a:xfrm>
            <a:off x="0" y="0"/>
            <a:ext cx="381000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14" name="Naslov"/>
          <xdr:cNvSpPr/>
        </xdr:nvSpPr>
        <xdr:spPr>
          <a:xfrm>
            <a:off x="381002" y="0"/>
            <a:ext cx="7248523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Glavna sveska, PGD</a:t>
            </a:r>
          </a:p>
        </xdr:txBody>
      </xdr:sp>
    </xdr:grpSp>
    <xdr:clientData/>
  </xdr:twoCellAnchor>
  <xdr:twoCellAnchor>
    <xdr:from>
      <xdr:col>2</xdr:col>
      <xdr:colOff>0</xdr:colOff>
      <xdr:row>2</xdr:row>
      <xdr:rowOff>0</xdr:rowOff>
    </xdr:from>
    <xdr:to>
      <xdr:col>5</xdr:col>
      <xdr:colOff>0</xdr:colOff>
      <xdr:row>5</xdr:row>
      <xdr:rowOff>10123</xdr:rowOff>
    </xdr:to>
    <xdr:grpSp>
      <xdr:nvGrpSpPr>
        <xdr:cNvPr id="2" name="Navigacija"/>
        <xdr:cNvGrpSpPr/>
      </xdr:nvGrpSpPr>
      <xdr:grpSpPr>
        <a:xfrm>
          <a:off x="381000" y="581025"/>
          <a:ext cx="7248525" cy="581623"/>
          <a:chOff x="381000" y="581025"/>
          <a:chExt cx="7248525" cy="581623"/>
        </a:xfrm>
      </xdr:grpSpPr>
      <xdr:sp macro="" textlink="">
        <xdr:nvSpPr>
          <xdr:cNvPr id="17" name="Podesavanja">
            <a:hlinkClick xmlns:r="http://schemas.openxmlformats.org/officeDocument/2006/relationships" r:id="rId2" tooltip="Podešavanja"/>
          </xdr:cNvPr>
          <xdr:cNvSpPr/>
        </xdr:nvSpPr>
        <xdr:spPr>
          <a:xfrm>
            <a:off x="571500" y="581025"/>
            <a:ext cx="814060" cy="191098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18" name="Potpisi i pecati">
            <a:hlinkClick xmlns:r="http://schemas.openxmlformats.org/officeDocument/2006/relationships" r:id="rId3" tooltip="Potpisi i pečati"/>
          </xdr:cNvPr>
          <xdr:cNvSpPr/>
        </xdr:nvSpPr>
        <xdr:spPr>
          <a:xfrm>
            <a:off x="571500" y="971550"/>
            <a:ext cx="899468" cy="191098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19" name="Podaci">
            <a:hlinkClick xmlns:r="http://schemas.openxmlformats.org/officeDocument/2006/relationships" r:id="rId4" tooltip="Podaci"/>
          </xdr:cNvPr>
          <xdr:cNvSpPr/>
        </xdr:nvSpPr>
        <xdr:spPr>
          <a:xfrm>
            <a:off x="571500" y="781050"/>
            <a:ext cx="464734" cy="191098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20" name="PDF"/>
          <xdr:cNvSpPr/>
        </xdr:nvSpPr>
        <xdr:spPr>
          <a:xfrm>
            <a:off x="7248525" y="771525"/>
            <a:ext cx="381000" cy="371475"/>
          </a:xfrm>
          <a:prstGeom prst="ellipse">
            <a:avLst/>
          </a:prstGeom>
          <a:solidFill>
            <a:schemeClr val="bg1">
              <a:lumMod val="95000"/>
            </a:schemeClr>
          </a:solidFill>
          <a:ln w="317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10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21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81000" y="591746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22" name="Red"/>
          <xdr:cNvSpPr/>
        </xdr:nvSpPr>
        <xdr:spPr>
          <a:xfrm>
            <a:off x="6677025" y="771824"/>
            <a:ext cx="381000" cy="371176"/>
          </a:xfrm>
          <a:prstGeom prst="ellipse">
            <a:avLst/>
          </a:prstGeom>
          <a:solidFill>
            <a:schemeClr val="bg1">
              <a:lumMod val="95000"/>
            </a:schemeClr>
          </a:solidFill>
          <a:ln w="317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10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Red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5</xdr:col>
      <xdr:colOff>0</xdr:colOff>
      <xdr:row>1</xdr:row>
      <xdr:rowOff>9525</xdr:rowOff>
    </xdr:to>
    <xdr:grpSp>
      <xdr:nvGrpSpPr>
        <xdr:cNvPr id="14" name="Zaglavlje"/>
        <xdr:cNvGrpSpPr/>
      </xdr:nvGrpSpPr>
      <xdr:grpSpPr>
        <a:xfrm>
          <a:off x="0" y="0"/>
          <a:ext cx="6743700" cy="390525"/>
          <a:chOff x="0" y="0"/>
          <a:chExt cx="6743700" cy="390525"/>
        </a:xfrm>
        <a:effectLst/>
      </xdr:grpSpPr>
      <xdr:sp macro="" textlink="">
        <xdr:nvSpPr>
          <xdr:cNvPr id="15" name="Logo"/>
          <xdr:cNvSpPr/>
        </xdr:nvSpPr>
        <xdr:spPr>
          <a:xfrm>
            <a:off x="0" y="0"/>
            <a:ext cx="381000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16" name="Naslov"/>
          <xdr:cNvSpPr/>
        </xdr:nvSpPr>
        <xdr:spPr>
          <a:xfrm>
            <a:off x="381002" y="0"/>
            <a:ext cx="6362698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Glavna sveska, PGD</a:t>
            </a:r>
          </a:p>
        </xdr:txBody>
      </xdr:sp>
    </xdr:grpSp>
    <xdr:clientData/>
  </xdr:twoCellAnchor>
  <xdr:twoCellAnchor>
    <xdr:from>
      <xdr:col>2</xdr:col>
      <xdr:colOff>0</xdr:colOff>
      <xdr:row>2</xdr:row>
      <xdr:rowOff>0</xdr:rowOff>
    </xdr:from>
    <xdr:to>
      <xdr:col>5</xdr:col>
      <xdr:colOff>0</xdr:colOff>
      <xdr:row>5</xdr:row>
      <xdr:rowOff>10123</xdr:rowOff>
    </xdr:to>
    <xdr:grpSp>
      <xdr:nvGrpSpPr>
        <xdr:cNvPr id="11" name="Navigacija"/>
        <xdr:cNvGrpSpPr/>
      </xdr:nvGrpSpPr>
      <xdr:grpSpPr>
        <a:xfrm>
          <a:off x="381000" y="581025"/>
          <a:ext cx="6362700" cy="581623"/>
          <a:chOff x="381000" y="581025"/>
          <a:chExt cx="6362700" cy="581623"/>
        </a:xfrm>
      </xdr:grpSpPr>
      <xdr:sp macro="" textlink="">
        <xdr:nvSpPr>
          <xdr:cNvPr id="12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81025"/>
            <a:ext cx="814060" cy="191098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13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71550"/>
            <a:ext cx="899468" cy="191098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23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81050"/>
            <a:ext cx="464734" cy="191098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24" name="PDF"/>
          <xdr:cNvSpPr/>
        </xdr:nvSpPr>
        <xdr:spPr>
          <a:xfrm>
            <a:off x="6362700" y="771525"/>
            <a:ext cx="381000" cy="371475"/>
          </a:xfrm>
          <a:prstGeom prst="ellipse">
            <a:avLst/>
          </a:prstGeom>
          <a:solidFill>
            <a:schemeClr val="bg1">
              <a:lumMod val="95000"/>
            </a:schemeClr>
          </a:solidFill>
          <a:ln w="317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10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25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81000" y="591746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26" name="Red"/>
          <xdr:cNvSpPr/>
        </xdr:nvSpPr>
        <xdr:spPr>
          <a:xfrm>
            <a:off x="5791200" y="771824"/>
            <a:ext cx="381000" cy="371176"/>
          </a:xfrm>
          <a:prstGeom prst="ellipse">
            <a:avLst/>
          </a:prstGeom>
          <a:solidFill>
            <a:schemeClr val="bg1">
              <a:lumMod val="95000"/>
            </a:schemeClr>
          </a:solidFill>
          <a:ln w="317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10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Red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31</xdr:row>
          <xdr:rowOff>1</xdr:rowOff>
        </xdr:from>
        <xdr:to>
          <xdr:col>4</xdr:col>
          <xdr:colOff>0</xdr:colOff>
          <xdr:row>39</xdr:row>
          <xdr:rowOff>1</xdr:rowOff>
        </xdr:to>
        <xdr:pic>
          <xdr:nvPicPr>
            <xdr:cNvPr id="9" name="Investitor"/>
            <xdr:cNvPicPr>
              <a:picLocks noChangeAspect="1" noChangeArrowheads="1"/>
              <a:extLst>
                <a:ext uri="{84589F7E-364E-4C9E-8A38-B11213B215E9}">
                  <a14:cameraTool cellRange="InvestitorPozicijaSlike" spid="_x0000_s330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571500" y="6886576"/>
              <a:ext cx="5981700" cy="15240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2</xdr:col>
      <xdr:colOff>0</xdr:colOff>
      <xdr:row>2</xdr:row>
      <xdr:rowOff>0</xdr:rowOff>
    </xdr:from>
    <xdr:to>
      <xdr:col>5</xdr:col>
      <xdr:colOff>0</xdr:colOff>
      <xdr:row>5</xdr:row>
      <xdr:rowOff>10123</xdr:rowOff>
    </xdr:to>
    <xdr:grpSp>
      <xdr:nvGrpSpPr>
        <xdr:cNvPr id="13" name="Navigacija"/>
        <xdr:cNvGrpSpPr/>
      </xdr:nvGrpSpPr>
      <xdr:grpSpPr>
        <a:xfrm>
          <a:off x="381000" y="581025"/>
          <a:ext cx="6362700" cy="581623"/>
          <a:chOff x="381000" y="581025"/>
          <a:chExt cx="6362700" cy="581623"/>
        </a:xfrm>
      </xdr:grpSpPr>
      <xdr:sp macro="" textlink="">
        <xdr:nvSpPr>
          <xdr:cNvPr id="14" name="Podesavanja">
            <a:hlinkClick xmlns:r="http://schemas.openxmlformats.org/officeDocument/2006/relationships" r:id="rId2" tooltip="Podešavanja"/>
          </xdr:cNvPr>
          <xdr:cNvSpPr/>
        </xdr:nvSpPr>
        <xdr:spPr>
          <a:xfrm>
            <a:off x="571500" y="581025"/>
            <a:ext cx="814060" cy="191098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15" name="Potpisi i pecati">
            <a:hlinkClick xmlns:r="http://schemas.openxmlformats.org/officeDocument/2006/relationships" r:id="rId3" tooltip="Potpisi i pečati"/>
          </xdr:cNvPr>
          <xdr:cNvSpPr/>
        </xdr:nvSpPr>
        <xdr:spPr>
          <a:xfrm>
            <a:off x="571500" y="971550"/>
            <a:ext cx="899468" cy="191098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16" name="Podaci">
            <a:hlinkClick xmlns:r="http://schemas.openxmlformats.org/officeDocument/2006/relationships" r:id="rId4" tooltip="Podaci"/>
          </xdr:cNvPr>
          <xdr:cNvSpPr/>
        </xdr:nvSpPr>
        <xdr:spPr>
          <a:xfrm>
            <a:off x="571500" y="781050"/>
            <a:ext cx="464734" cy="191098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17" name="PDF"/>
          <xdr:cNvSpPr/>
        </xdr:nvSpPr>
        <xdr:spPr>
          <a:xfrm>
            <a:off x="6362700" y="771525"/>
            <a:ext cx="381000" cy="371475"/>
          </a:xfrm>
          <a:prstGeom prst="ellipse">
            <a:avLst/>
          </a:prstGeom>
          <a:solidFill>
            <a:schemeClr val="bg1">
              <a:lumMod val="95000"/>
            </a:schemeClr>
          </a:solidFill>
          <a:ln w="317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10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18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81000" y="591746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25" name="Red"/>
          <xdr:cNvSpPr/>
        </xdr:nvSpPr>
        <xdr:spPr>
          <a:xfrm>
            <a:off x="5791200" y="771824"/>
            <a:ext cx="381000" cy="371176"/>
          </a:xfrm>
          <a:prstGeom prst="ellipse">
            <a:avLst/>
          </a:prstGeom>
          <a:solidFill>
            <a:schemeClr val="bg1">
              <a:lumMod val="95000"/>
            </a:schemeClr>
          </a:solidFill>
          <a:ln w="317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10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Red</a:t>
            </a:r>
          </a:p>
        </xdr:txBody>
      </xdr:sp>
    </xdr:grpSp>
    <xdr:clientData/>
  </xdr:twoCellAnchor>
  <xdr:twoCellAnchor editAs="absolute">
    <xdr:from>
      <xdr:col>0</xdr:col>
      <xdr:colOff>0</xdr:colOff>
      <xdr:row>0</xdr:row>
      <xdr:rowOff>0</xdr:rowOff>
    </xdr:from>
    <xdr:to>
      <xdr:col>5</xdr:col>
      <xdr:colOff>0</xdr:colOff>
      <xdr:row>1</xdr:row>
      <xdr:rowOff>9525</xdr:rowOff>
    </xdr:to>
    <xdr:grpSp>
      <xdr:nvGrpSpPr>
        <xdr:cNvPr id="26" name="Zaglavlje"/>
        <xdr:cNvGrpSpPr/>
      </xdr:nvGrpSpPr>
      <xdr:grpSpPr>
        <a:xfrm>
          <a:off x="0" y="0"/>
          <a:ext cx="6743700" cy="390525"/>
          <a:chOff x="0" y="0"/>
          <a:chExt cx="6743700" cy="390525"/>
        </a:xfrm>
        <a:effectLst/>
      </xdr:grpSpPr>
      <xdr:sp macro="" textlink="">
        <xdr:nvSpPr>
          <xdr:cNvPr id="27" name="Logo"/>
          <xdr:cNvSpPr/>
        </xdr:nvSpPr>
        <xdr:spPr>
          <a:xfrm>
            <a:off x="0" y="0"/>
            <a:ext cx="381000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28" name="Naslov"/>
          <xdr:cNvSpPr/>
        </xdr:nvSpPr>
        <xdr:spPr>
          <a:xfrm>
            <a:off x="381002" y="0"/>
            <a:ext cx="6362698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Glavna sveska, PGD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40</xdr:row>
          <xdr:rowOff>0</xdr:rowOff>
        </xdr:from>
        <xdr:to>
          <xdr:col>4</xdr:col>
          <xdr:colOff>0</xdr:colOff>
          <xdr:row>48</xdr:row>
          <xdr:rowOff>0</xdr:rowOff>
        </xdr:to>
        <xdr:pic>
          <xdr:nvPicPr>
            <xdr:cNvPr id="6" name="Glavni projektant"/>
            <xdr:cNvPicPr>
              <a:picLocks noChangeAspect="1" noChangeArrowheads="1"/>
              <a:extLst>
                <a:ext uri="{84589F7E-364E-4C9E-8A38-B11213B215E9}">
                  <a14:cameraTool cellRange="GlavniProjektantPozicijaSlike" spid="_x0000_s431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571500" y="8029575"/>
              <a:ext cx="5981700" cy="15240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2</xdr:col>
      <xdr:colOff>0</xdr:colOff>
      <xdr:row>2</xdr:row>
      <xdr:rowOff>0</xdr:rowOff>
    </xdr:from>
    <xdr:to>
      <xdr:col>5</xdr:col>
      <xdr:colOff>0</xdr:colOff>
      <xdr:row>5</xdr:row>
      <xdr:rowOff>10123</xdr:rowOff>
    </xdr:to>
    <xdr:grpSp>
      <xdr:nvGrpSpPr>
        <xdr:cNvPr id="19" name="Navigacija"/>
        <xdr:cNvGrpSpPr/>
      </xdr:nvGrpSpPr>
      <xdr:grpSpPr>
        <a:xfrm>
          <a:off x="381000" y="581025"/>
          <a:ext cx="6362700" cy="581623"/>
          <a:chOff x="381000" y="581025"/>
          <a:chExt cx="6362700" cy="581623"/>
        </a:xfrm>
      </xdr:grpSpPr>
      <xdr:sp macro="" textlink="">
        <xdr:nvSpPr>
          <xdr:cNvPr id="20" name="Podesavanja">
            <a:hlinkClick xmlns:r="http://schemas.openxmlformats.org/officeDocument/2006/relationships" r:id="rId2" tooltip="Podešavanja"/>
          </xdr:cNvPr>
          <xdr:cNvSpPr/>
        </xdr:nvSpPr>
        <xdr:spPr>
          <a:xfrm>
            <a:off x="571500" y="581025"/>
            <a:ext cx="814060" cy="191098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21" name="Potpisi i pecati">
            <a:hlinkClick xmlns:r="http://schemas.openxmlformats.org/officeDocument/2006/relationships" r:id="rId3" tooltip="Potpisi i pečati"/>
          </xdr:cNvPr>
          <xdr:cNvSpPr/>
        </xdr:nvSpPr>
        <xdr:spPr>
          <a:xfrm>
            <a:off x="571500" y="971550"/>
            <a:ext cx="899468" cy="191098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22" name="Podaci">
            <a:hlinkClick xmlns:r="http://schemas.openxmlformats.org/officeDocument/2006/relationships" r:id="rId4" tooltip="Podaci"/>
          </xdr:cNvPr>
          <xdr:cNvSpPr/>
        </xdr:nvSpPr>
        <xdr:spPr>
          <a:xfrm>
            <a:off x="571500" y="781050"/>
            <a:ext cx="464734" cy="191098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23" name="PDF"/>
          <xdr:cNvSpPr/>
        </xdr:nvSpPr>
        <xdr:spPr>
          <a:xfrm>
            <a:off x="6362700" y="771525"/>
            <a:ext cx="381000" cy="371475"/>
          </a:xfrm>
          <a:prstGeom prst="ellipse">
            <a:avLst/>
          </a:prstGeom>
          <a:solidFill>
            <a:schemeClr val="bg1">
              <a:lumMod val="95000"/>
            </a:schemeClr>
          </a:solidFill>
          <a:ln w="317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10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24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81000" y="591746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25" name="Red"/>
          <xdr:cNvSpPr/>
        </xdr:nvSpPr>
        <xdr:spPr>
          <a:xfrm>
            <a:off x="5791200" y="771824"/>
            <a:ext cx="381000" cy="371176"/>
          </a:xfrm>
          <a:prstGeom prst="ellipse">
            <a:avLst/>
          </a:prstGeom>
          <a:solidFill>
            <a:schemeClr val="bg1">
              <a:lumMod val="95000"/>
            </a:schemeClr>
          </a:solidFill>
          <a:ln w="317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10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Red</a:t>
            </a:r>
          </a:p>
        </xdr:txBody>
      </xdr:sp>
    </xdr:grpSp>
    <xdr:clientData/>
  </xdr:twoCellAnchor>
  <xdr:twoCellAnchor editAs="absolute">
    <xdr:from>
      <xdr:col>0</xdr:col>
      <xdr:colOff>0</xdr:colOff>
      <xdr:row>0</xdr:row>
      <xdr:rowOff>0</xdr:rowOff>
    </xdr:from>
    <xdr:to>
      <xdr:col>5</xdr:col>
      <xdr:colOff>0</xdr:colOff>
      <xdr:row>1</xdr:row>
      <xdr:rowOff>9525</xdr:rowOff>
    </xdr:to>
    <xdr:grpSp>
      <xdr:nvGrpSpPr>
        <xdr:cNvPr id="26" name="Zaglavlje"/>
        <xdr:cNvGrpSpPr/>
      </xdr:nvGrpSpPr>
      <xdr:grpSpPr>
        <a:xfrm>
          <a:off x="0" y="0"/>
          <a:ext cx="6743700" cy="390525"/>
          <a:chOff x="0" y="0"/>
          <a:chExt cx="6743700" cy="390525"/>
        </a:xfrm>
        <a:effectLst/>
      </xdr:grpSpPr>
      <xdr:sp macro="" textlink="">
        <xdr:nvSpPr>
          <xdr:cNvPr id="27" name="Logo"/>
          <xdr:cNvSpPr/>
        </xdr:nvSpPr>
        <xdr:spPr>
          <a:xfrm>
            <a:off x="0" y="0"/>
            <a:ext cx="381000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28" name="Naslov"/>
          <xdr:cNvSpPr/>
        </xdr:nvSpPr>
        <xdr:spPr>
          <a:xfrm>
            <a:off x="381002" y="0"/>
            <a:ext cx="6362698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Glavna sveska, PGD</a:t>
            </a: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5</xdr:col>
      <xdr:colOff>0</xdr:colOff>
      <xdr:row>5</xdr:row>
      <xdr:rowOff>10123</xdr:rowOff>
    </xdr:to>
    <xdr:grpSp>
      <xdr:nvGrpSpPr>
        <xdr:cNvPr id="17" name="Navigacija"/>
        <xdr:cNvGrpSpPr/>
      </xdr:nvGrpSpPr>
      <xdr:grpSpPr>
        <a:xfrm>
          <a:off x="381000" y="581025"/>
          <a:ext cx="6362700" cy="581623"/>
          <a:chOff x="381000" y="581025"/>
          <a:chExt cx="6362700" cy="581623"/>
        </a:xfrm>
      </xdr:grpSpPr>
      <xdr:sp macro="" textlink="">
        <xdr:nvSpPr>
          <xdr:cNvPr id="18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81025"/>
            <a:ext cx="814060" cy="191098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19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71550"/>
            <a:ext cx="899468" cy="191098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20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81050"/>
            <a:ext cx="464734" cy="191098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21" name="PDF"/>
          <xdr:cNvSpPr/>
        </xdr:nvSpPr>
        <xdr:spPr>
          <a:xfrm>
            <a:off x="6362700" y="771525"/>
            <a:ext cx="381000" cy="371475"/>
          </a:xfrm>
          <a:prstGeom prst="ellipse">
            <a:avLst/>
          </a:prstGeom>
          <a:solidFill>
            <a:schemeClr val="bg1">
              <a:lumMod val="95000"/>
            </a:schemeClr>
          </a:solidFill>
          <a:ln w="317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10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22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81000" y="591746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23" name="Red"/>
          <xdr:cNvSpPr/>
        </xdr:nvSpPr>
        <xdr:spPr>
          <a:xfrm>
            <a:off x="5791200" y="771824"/>
            <a:ext cx="381000" cy="371176"/>
          </a:xfrm>
          <a:prstGeom prst="ellipse">
            <a:avLst/>
          </a:prstGeom>
          <a:solidFill>
            <a:schemeClr val="bg1">
              <a:lumMod val="95000"/>
            </a:schemeClr>
          </a:solidFill>
          <a:ln w="317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10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Red</a:t>
            </a:r>
          </a:p>
        </xdr:txBody>
      </xdr:sp>
    </xdr:grpSp>
    <xdr:clientData/>
  </xdr:twoCellAnchor>
  <xdr:twoCellAnchor editAs="absolute">
    <xdr:from>
      <xdr:col>0</xdr:col>
      <xdr:colOff>0</xdr:colOff>
      <xdr:row>0</xdr:row>
      <xdr:rowOff>0</xdr:rowOff>
    </xdr:from>
    <xdr:to>
      <xdr:col>5</xdr:col>
      <xdr:colOff>0</xdr:colOff>
      <xdr:row>1</xdr:row>
      <xdr:rowOff>9525</xdr:rowOff>
    </xdr:to>
    <xdr:grpSp>
      <xdr:nvGrpSpPr>
        <xdr:cNvPr id="24" name="Zaglavlje"/>
        <xdr:cNvGrpSpPr/>
      </xdr:nvGrpSpPr>
      <xdr:grpSpPr>
        <a:xfrm>
          <a:off x="0" y="0"/>
          <a:ext cx="6743700" cy="390525"/>
          <a:chOff x="0" y="0"/>
          <a:chExt cx="6743700" cy="390525"/>
        </a:xfrm>
        <a:effectLst/>
      </xdr:grpSpPr>
      <xdr:sp macro="" textlink="">
        <xdr:nvSpPr>
          <xdr:cNvPr id="25" name="Logo"/>
          <xdr:cNvSpPr/>
        </xdr:nvSpPr>
        <xdr:spPr>
          <a:xfrm>
            <a:off x="0" y="0"/>
            <a:ext cx="381000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26" name="Naslov"/>
          <xdr:cNvSpPr/>
        </xdr:nvSpPr>
        <xdr:spPr>
          <a:xfrm>
            <a:off x="381002" y="0"/>
            <a:ext cx="6362698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Glavna sveska, PGD</a:t>
            </a:r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25</xdr:row>
          <xdr:rowOff>0</xdr:rowOff>
        </xdr:from>
        <xdr:to>
          <xdr:col>4</xdr:col>
          <xdr:colOff>0</xdr:colOff>
          <xdr:row>33</xdr:row>
          <xdr:rowOff>0</xdr:rowOff>
        </xdr:to>
        <xdr:pic>
          <xdr:nvPicPr>
            <xdr:cNvPr id="7" name="Odgovorni projektant A"/>
            <xdr:cNvPicPr>
              <a:picLocks noChangeAspect="1" noChangeArrowheads="1"/>
              <a:extLst>
                <a:ext uri="{84589F7E-364E-4C9E-8A38-B11213B215E9}">
                  <a14:cameraTool cellRange="ProjektantAPozicijaSlike" spid="_x0000_s682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571500" y="4972050"/>
              <a:ext cx="5981700" cy="15240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</xdr:row>
          <xdr:rowOff>0</xdr:rowOff>
        </xdr:from>
        <xdr:to>
          <xdr:col>4</xdr:col>
          <xdr:colOff>0</xdr:colOff>
          <xdr:row>22</xdr:row>
          <xdr:rowOff>0</xdr:rowOff>
        </xdr:to>
        <xdr:pic>
          <xdr:nvPicPr>
            <xdr:cNvPr id="6" name="Glavni projektant"/>
            <xdr:cNvPicPr>
              <a:picLocks noChangeAspect="1" noChangeArrowheads="1"/>
              <a:extLst>
                <a:ext uri="{84589F7E-364E-4C9E-8A38-B11213B215E9}">
                  <a14:cameraTool cellRange="GlavnaSveskaPozicijaSlike" spid="_x0000_s682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571500" y="2876550"/>
              <a:ext cx="5981700" cy="15240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2</xdr:col>
      <xdr:colOff>0</xdr:colOff>
      <xdr:row>2</xdr:row>
      <xdr:rowOff>0</xdr:rowOff>
    </xdr:from>
    <xdr:to>
      <xdr:col>5</xdr:col>
      <xdr:colOff>0</xdr:colOff>
      <xdr:row>5</xdr:row>
      <xdr:rowOff>10123</xdr:rowOff>
    </xdr:to>
    <xdr:grpSp>
      <xdr:nvGrpSpPr>
        <xdr:cNvPr id="13" name="Navigacija"/>
        <xdr:cNvGrpSpPr/>
      </xdr:nvGrpSpPr>
      <xdr:grpSpPr>
        <a:xfrm>
          <a:off x="381000" y="581025"/>
          <a:ext cx="6362700" cy="581623"/>
          <a:chOff x="381000" y="581025"/>
          <a:chExt cx="6362700" cy="581623"/>
        </a:xfrm>
      </xdr:grpSpPr>
      <xdr:sp macro="" textlink="">
        <xdr:nvSpPr>
          <xdr:cNvPr id="23" name="Podesavanja">
            <a:hlinkClick xmlns:r="http://schemas.openxmlformats.org/officeDocument/2006/relationships" r:id="rId2" tooltip="Podešavanja"/>
          </xdr:cNvPr>
          <xdr:cNvSpPr/>
        </xdr:nvSpPr>
        <xdr:spPr>
          <a:xfrm>
            <a:off x="571500" y="581025"/>
            <a:ext cx="814060" cy="191098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24" name="Potpisi i pecati">
            <a:hlinkClick xmlns:r="http://schemas.openxmlformats.org/officeDocument/2006/relationships" r:id="rId3" tooltip="Potpisi i pečati"/>
          </xdr:cNvPr>
          <xdr:cNvSpPr/>
        </xdr:nvSpPr>
        <xdr:spPr>
          <a:xfrm>
            <a:off x="571500" y="971550"/>
            <a:ext cx="899468" cy="191098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25" name="Podaci">
            <a:hlinkClick xmlns:r="http://schemas.openxmlformats.org/officeDocument/2006/relationships" r:id="rId4" tooltip="Podaci"/>
          </xdr:cNvPr>
          <xdr:cNvSpPr/>
        </xdr:nvSpPr>
        <xdr:spPr>
          <a:xfrm>
            <a:off x="571500" y="781050"/>
            <a:ext cx="464734" cy="191098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26" name="PDF"/>
          <xdr:cNvSpPr/>
        </xdr:nvSpPr>
        <xdr:spPr>
          <a:xfrm>
            <a:off x="6362700" y="771525"/>
            <a:ext cx="381000" cy="371475"/>
          </a:xfrm>
          <a:prstGeom prst="ellipse">
            <a:avLst/>
          </a:prstGeom>
          <a:solidFill>
            <a:schemeClr val="bg1">
              <a:lumMod val="95000"/>
            </a:schemeClr>
          </a:solidFill>
          <a:ln w="317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10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27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81000" y="591746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28" name="Red"/>
          <xdr:cNvSpPr/>
        </xdr:nvSpPr>
        <xdr:spPr>
          <a:xfrm>
            <a:off x="5791200" y="771824"/>
            <a:ext cx="381000" cy="371176"/>
          </a:xfrm>
          <a:prstGeom prst="ellipse">
            <a:avLst/>
          </a:prstGeom>
          <a:solidFill>
            <a:schemeClr val="bg1">
              <a:lumMod val="95000"/>
            </a:schemeClr>
          </a:solidFill>
          <a:ln w="317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10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Red</a:t>
            </a:r>
          </a:p>
        </xdr:txBody>
      </xdr:sp>
    </xdr:grpSp>
    <xdr:clientData/>
  </xdr:twoCellAnchor>
  <xdr:twoCellAnchor editAs="absolute">
    <xdr:from>
      <xdr:col>0</xdr:col>
      <xdr:colOff>0</xdr:colOff>
      <xdr:row>0</xdr:row>
      <xdr:rowOff>0</xdr:rowOff>
    </xdr:from>
    <xdr:to>
      <xdr:col>5</xdr:col>
      <xdr:colOff>0</xdr:colOff>
      <xdr:row>1</xdr:row>
      <xdr:rowOff>9525</xdr:rowOff>
    </xdr:to>
    <xdr:grpSp>
      <xdr:nvGrpSpPr>
        <xdr:cNvPr id="29" name="Zaglavlje"/>
        <xdr:cNvGrpSpPr/>
      </xdr:nvGrpSpPr>
      <xdr:grpSpPr>
        <a:xfrm>
          <a:off x="0" y="0"/>
          <a:ext cx="6743700" cy="390525"/>
          <a:chOff x="0" y="0"/>
          <a:chExt cx="6743700" cy="390525"/>
        </a:xfrm>
        <a:effectLst/>
      </xdr:grpSpPr>
      <xdr:sp macro="" textlink="">
        <xdr:nvSpPr>
          <xdr:cNvPr id="30" name="Logo"/>
          <xdr:cNvSpPr/>
        </xdr:nvSpPr>
        <xdr:spPr>
          <a:xfrm>
            <a:off x="0" y="0"/>
            <a:ext cx="381000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31" name="Naslov"/>
          <xdr:cNvSpPr/>
        </xdr:nvSpPr>
        <xdr:spPr>
          <a:xfrm>
            <a:off x="381002" y="0"/>
            <a:ext cx="6362698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Glavna sveska, PGD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36</xdr:row>
          <xdr:rowOff>0</xdr:rowOff>
        </xdr:from>
        <xdr:to>
          <xdr:col>4</xdr:col>
          <xdr:colOff>0</xdr:colOff>
          <xdr:row>44</xdr:row>
          <xdr:rowOff>0</xdr:rowOff>
        </xdr:to>
        <xdr:pic>
          <xdr:nvPicPr>
            <xdr:cNvPr id="15" name="Odgovorni projektant K"/>
            <xdr:cNvPicPr>
              <a:picLocks noChangeAspect="1" noChangeArrowheads="1"/>
              <a:extLst>
                <a:ext uri="{84589F7E-364E-4C9E-8A38-B11213B215E9}">
                  <a14:cameraTool cellRange="ProjektantKPozicijaSlike" spid="_x0000_s682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571500" y="7067550"/>
              <a:ext cx="5981700" cy="15240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48</xdr:row>
          <xdr:rowOff>0</xdr:rowOff>
        </xdr:from>
        <xdr:to>
          <xdr:col>4</xdr:col>
          <xdr:colOff>0</xdr:colOff>
          <xdr:row>56</xdr:row>
          <xdr:rowOff>0</xdr:rowOff>
        </xdr:to>
        <xdr:pic>
          <xdr:nvPicPr>
            <xdr:cNvPr id="16" name="Odgovorni projektant H"/>
            <xdr:cNvPicPr>
              <a:picLocks noChangeAspect="1" noChangeArrowheads="1"/>
              <a:extLst>
                <a:ext uri="{84589F7E-364E-4C9E-8A38-B11213B215E9}">
                  <a14:cameraTool cellRange="ProjektantHPozicijaSlike" spid="_x0000_s682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571500" y="9353550"/>
              <a:ext cx="5981700" cy="15240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59</xdr:row>
          <xdr:rowOff>0</xdr:rowOff>
        </xdr:from>
        <xdr:to>
          <xdr:col>4</xdr:col>
          <xdr:colOff>0</xdr:colOff>
          <xdr:row>67</xdr:row>
          <xdr:rowOff>0</xdr:rowOff>
        </xdr:to>
        <xdr:pic>
          <xdr:nvPicPr>
            <xdr:cNvPr id="17" name="Odgovorni projektant E"/>
            <xdr:cNvPicPr>
              <a:picLocks noChangeAspect="1" noChangeArrowheads="1"/>
              <a:extLst>
                <a:ext uri="{84589F7E-364E-4C9E-8A38-B11213B215E9}">
                  <a14:cameraTool cellRange="ProjektantEPozicijaSlike" spid="_x0000_s682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571500" y="11449050"/>
              <a:ext cx="5981700" cy="15240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70</xdr:row>
          <xdr:rowOff>0</xdr:rowOff>
        </xdr:from>
        <xdr:to>
          <xdr:col>4</xdr:col>
          <xdr:colOff>0</xdr:colOff>
          <xdr:row>78</xdr:row>
          <xdr:rowOff>0</xdr:rowOff>
        </xdr:to>
        <xdr:pic>
          <xdr:nvPicPr>
            <xdr:cNvPr id="18" name="Odgovorni projektant A"/>
            <xdr:cNvPicPr>
              <a:picLocks noChangeAspect="1" noChangeArrowheads="1"/>
              <a:extLst>
                <a:ext uri="{84589F7E-364E-4C9E-8A38-B11213B215E9}">
                  <a14:cameraTool cellRange="ProjektantTSPozicijaSlike" spid="_x0000_s683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571500" y="13544550"/>
              <a:ext cx="5981700" cy="15240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81</xdr:row>
          <xdr:rowOff>0</xdr:rowOff>
        </xdr:from>
        <xdr:to>
          <xdr:col>4</xdr:col>
          <xdr:colOff>0</xdr:colOff>
          <xdr:row>89</xdr:row>
          <xdr:rowOff>0</xdr:rowOff>
        </xdr:to>
        <xdr:pic>
          <xdr:nvPicPr>
            <xdr:cNvPr id="19" name="Odgovorni projektant M"/>
            <xdr:cNvPicPr>
              <a:picLocks noChangeAspect="1" noChangeArrowheads="1"/>
              <a:extLst>
                <a:ext uri="{84589F7E-364E-4C9E-8A38-B11213B215E9}">
                  <a14:cameraTool cellRange="ProjektantMPozicijaSlike" spid="_x0000_s683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571500" y="15640050"/>
              <a:ext cx="5981700" cy="15240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93</xdr:row>
          <xdr:rowOff>0</xdr:rowOff>
        </xdr:from>
        <xdr:to>
          <xdr:col>4</xdr:col>
          <xdr:colOff>0</xdr:colOff>
          <xdr:row>101</xdr:row>
          <xdr:rowOff>0</xdr:rowOff>
        </xdr:to>
        <xdr:pic>
          <xdr:nvPicPr>
            <xdr:cNvPr id="20" name="Odgovorni projektant A"/>
            <xdr:cNvPicPr>
              <a:picLocks noChangeAspect="1" noChangeArrowheads="1"/>
              <a:extLst>
                <a:ext uri="{84589F7E-364E-4C9E-8A38-B11213B215E9}">
                  <a14:cameraTool cellRange="ProjektantEEEPozicijaSlike" spid="_x0000_s683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571500" y="17926050"/>
              <a:ext cx="5981700" cy="15240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104</xdr:row>
          <xdr:rowOff>0</xdr:rowOff>
        </xdr:from>
        <xdr:to>
          <xdr:col>4</xdr:col>
          <xdr:colOff>0</xdr:colOff>
          <xdr:row>112</xdr:row>
          <xdr:rowOff>0</xdr:rowOff>
        </xdr:to>
        <xdr:pic>
          <xdr:nvPicPr>
            <xdr:cNvPr id="21" name="Odgovorni projektant PPZ"/>
            <xdr:cNvPicPr>
              <a:picLocks noChangeAspect="1" noChangeArrowheads="1"/>
              <a:extLst>
                <a:ext uri="{84589F7E-364E-4C9E-8A38-B11213B215E9}">
                  <a14:cameraTool cellRange="ProjektantPPZPozicijaSlike" spid="_x0000_s683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571500" y="20021550"/>
              <a:ext cx="5981700" cy="15240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5</xdr:col>
      <xdr:colOff>0</xdr:colOff>
      <xdr:row>5</xdr:row>
      <xdr:rowOff>10123</xdr:rowOff>
    </xdr:to>
    <xdr:grpSp>
      <xdr:nvGrpSpPr>
        <xdr:cNvPr id="11" name="Navigacija"/>
        <xdr:cNvGrpSpPr/>
      </xdr:nvGrpSpPr>
      <xdr:grpSpPr>
        <a:xfrm>
          <a:off x="381000" y="581025"/>
          <a:ext cx="6362700" cy="581623"/>
          <a:chOff x="381000" y="581025"/>
          <a:chExt cx="6362700" cy="581623"/>
        </a:xfrm>
      </xdr:grpSpPr>
      <xdr:sp macro="" textlink="">
        <xdr:nvSpPr>
          <xdr:cNvPr id="21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81025"/>
            <a:ext cx="814060" cy="191098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22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71550"/>
            <a:ext cx="899468" cy="191098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23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81050"/>
            <a:ext cx="464734" cy="191098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24" name="PDF"/>
          <xdr:cNvSpPr/>
        </xdr:nvSpPr>
        <xdr:spPr>
          <a:xfrm>
            <a:off x="6362700" y="771525"/>
            <a:ext cx="381000" cy="371475"/>
          </a:xfrm>
          <a:prstGeom prst="ellipse">
            <a:avLst/>
          </a:prstGeom>
          <a:solidFill>
            <a:schemeClr val="bg1">
              <a:lumMod val="95000"/>
            </a:schemeClr>
          </a:solidFill>
          <a:ln w="317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10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25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81000" y="591746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26" name="Red"/>
          <xdr:cNvSpPr/>
        </xdr:nvSpPr>
        <xdr:spPr>
          <a:xfrm>
            <a:off x="5791200" y="771824"/>
            <a:ext cx="381000" cy="371176"/>
          </a:xfrm>
          <a:prstGeom prst="ellipse">
            <a:avLst/>
          </a:prstGeom>
          <a:solidFill>
            <a:schemeClr val="bg1">
              <a:lumMod val="95000"/>
            </a:schemeClr>
          </a:solidFill>
          <a:ln w="317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10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Red</a:t>
            </a:r>
          </a:p>
        </xdr:txBody>
      </xdr:sp>
    </xdr:grpSp>
    <xdr:clientData/>
  </xdr:twoCellAnchor>
  <xdr:twoCellAnchor editAs="absolute">
    <xdr:from>
      <xdr:col>0</xdr:col>
      <xdr:colOff>0</xdr:colOff>
      <xdr:row>0</xdr:row>
      <xdr:rowOff>0</xdr:rowOff>
    </xdr:from>
    <xdr:to>
      <xdr:col>5</xdr:col>
      <xdr:colOff>0</xdr:colOff>
      <xdr:row>1</xdr:row>
      <xdr:rowOff>9525</xdr:rowOff>
    </xdr:to>
    <xdr:grpSp>
      <xdr:nvGrpSpPr>
        <xdr:cNvPr id="27" name="Zaglavlje"/>
        <xdr:cNvGrpSpPr/>
      </xdr:nvGrpSpPr>
      <xdr:grpSpPr>
        <a:xfrm>
          <a:off x="0" y="0"/>
          <a:ext cx="6743700" cy="390525"/>
          <a:chOff x="0" y="0"/>
          <a:chExt cx="6743700" cy="390525"/>
        </a:xfrm>
        <a:effectLst/>
      </xdr:grpSpPr>
      <xdr:sp macro="" textlink="">
        <xdr:nvSpPr>
          <xdr:cNvPr id="28" name="Logo"/>
          <xdr:cNvSpPr/>
        </xdr:nvSpPr>
        <xdr:spPr>
          <a:xfrm>
            <a:off x="0" y="0"/>
            <a:ext cx="381000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29" name="Naslov"/>
          <xdr:cNvSpPr/>
        </xdr:nvSpPr>
        <xdr:spPr>
          <a:xfrm>
            <a:off x="381002" y="0"/>
            <a:ext cx="6362698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Glavna sveska, PGD</a:t>
            </a:r>
          </a:p>
        </xdr:txBody>
      </xdr: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5</xdr:col>
      <xdr:colOff>0</xdr:colOff>
      <xdr:row>1</xdr:row>
      <xdr:rowOff>9525</xdr:rowOff>
    </xdr:to>
    <xdr:grpSp>
      <xdr:nvGrpSpPr>
        <xdr:cNvPr id="10" name="Zaglavlje"/>
        <xdr:cNvGrpSpPr/>
      </xdr:nvGrpSpPr>
      <xdr:grpSpPr>
        <a:xfrm>
          <a:off x="0" y="0"/>
          <a:ext cx="6743700" cy="390525"/>
          <a:chOff x="0" y="0"/>
          <a:chExt cx="6743700" cy="390525"/>
        </a:xfrm>
        <a:effectLst/>
      </xdr:grpSpPr>
      <xdr:sp macro="" textlink="">
        <xdr:nvSpPr>
          <xdr:cNvPr id="11" name="Logo"/>
          <xdr:cNvSpPr/>
        </xdr:nvSpPr>
        <xdr:spPr>
          <a:xfrm>
            <a:off x="0" y="0"/>
            <a:ext cx="381000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12" name="Naslov"/>
          <xdr:cNvSpPr/>
        </xdr:nvSpPr>
        <xdr:spPr>
          <a:xfrm>
            <a:off x="381002" y="0"/>
            <a:ext cx="6362698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Glavna sveska, PGD</a:t>
            </a:r>
          </a:p>
        </xdr:txBody>
      </xdr:sp>
    </xdr:grpSp>
    <xdr:clientData/>
  </xdr:twoCellAnchor>
  <xdr:twoCellAnchor>
    <xdr:from>
      <xdr:col>2</xdr:col>
      <xdr:colOff>0</xdr:colOff>
      <xdr:row>2</xdr:row>
      <xdr:rowOff>0</xdr:rowOff>
    </xdr:from>
    <xdr:to>
      <xdr:col>5</xdr:col>
      <xdr:colOff>0</xdr:colOff>
      <xdr:row>5</xdr:row>
      <xdr:rowOff>10123</xdr:rowOff>
    </xdr:to>
    <xdr:grpSp>
      <xdr:nvGrpSpPr>
        <xdr:cNvPr id="13" name="Navigacija"/>
        <xdr:cNvGrpSpPr/>
      </xdr:nvGrpSpPr>
      <xdr:grpSpPr>
        <a:xfrm>
          <a:off x="381000" y="581025"/>
          <a:ext cx="6362700" cy="581623"/>
          <a:chOff x="381000" y="581025"/>
          <a:chExt cx="6362700" cy="581623"/>
        </a:xfrm>
      </xdr:grpSpPr>
      <xdr:sp macro="" textlink="">
        <xdr:nvSpPr>
          <xdr:cNvPr id="14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81025"/>
            <a:ext cx="814060" cy="191098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15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71550"/>
            <a:ext cx="899468" cy="191098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16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81050"/>
            <a:ext cx="464734" cy="191098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17" name="PDF"/>
          <xdr:cNvSpPr/>
        </xdr:nvSpPr>
        <xdr:spPr>
          <a:xfrm>
            <a:off x="6362700" y="771525"/>
            <a:ext cx="381000" cy="371475"/>
          </a:xfrm>
          <a:prstGeom prst="ellipse">
            <a:avLst/>
          </a:prstGeom>
          <a:solidFill>
            <a:schemeClr val="bg1">
              <a:lumMod val="95000"/>
            </a:schemeClr>
          </a:solidFill>
          <a:ln w="317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10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18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81000" y="591746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19" name="Red"/>
          <xdr:cNvSpPr/>
        </xdr:nvSpPr>
        <xdr:spPr>
          <a:xfrm>
            <a:off x="5791200" y="771824"/>
            <a:ext cx="381000" cy="371176"/>
          </a:xfrm>
          <a:prstGeom prst="ellipse">
            <a:avLst/>
          </a:prstGeom>
          <a:solidFill>
            <a:schemeClr val="bg1">
              <a:lumMod val="95000"/>
            </a:schemeClr>
          </a:solidFill>
          <a:ln w="317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10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Red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32</xdr:row>
          <xdr:rowOff>0</xdr:rowOff>
        </xdr:from>
        <xdr:to>
          <xdr:col>4</xdr:col>
          <xdr:colOff>0</xdr:colOff>
          <xdr:row>40</xdr:row>
          <xdr:rowOff>0</xdr:rowOff>
        </xdr:to>
        <xdr:pic>
          <xdr:nvPicPr>
            <xdr:cNvPr id="20" name="Odgovorni projektant EEE"/>
            <xdr:cNvPicPr>
              <a:picLocks noChangeAspect="1" noChangeArrowheads="1"/>
              <a:extLst>
                <a:ext uri="{84589F7E-364E-4C9E-8A38-B11213B215E9}">
                  <a14:cameraTool cellRange="ProjektantEEEPozicijaSlike" spid="_x0000_s13343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>
              <a:off x="571500" y="6896100"/>
              <a:ext cx="5981700" cy="15240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5</xdr:col>
      <xdr:colOff>0</xdr:colOff>
      <xdr:row>1</xdr:row>
      <xdr:rowOff>9525</xdr:rowOff>
    </xdr:to>
    <xdr:grpSp>
      <xdr:nvGrpSpPr>
        <xdr:cNvPr id="2" name="Zaglavlje"/>
        <xdr:cNvGrpSpPr/>
      </xdr:nvGrpSpPr>
      <xdr:grpSpPr>
        <a:xfrm>
          <a:off x="0" y="0"/>
          <a:ext cx="6743700" cy="390525"/>
          <a:chOff x="0" y="0"/>
          <a:chExt cx="6743700" cy="390525"/>
        </a:xfrm>
        <a:effectLst/>
      </xdr:grpSpPr>
      <xdr:sp macro="" textlink="">
        <xdr:nvSpPr>
          <xdr:cNvPr id="3" name="Logo"/>
          <xdr:cNvSpPr/>
        </xdr:nvSpPr>
        <xdr:spPr>
          <a:xfrm>
            <a:off x="0" y="0"/>
            <a:ext cx="381000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4" name="Naslov"/>
          <xdr:cNvSpPr/>
        </xdr:nvSpPr>
        <xdr:spPr>
          <a:xfrm>
            <a:off x="381002" y="0"/>
            <a:ext cx="6362698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Glavna sveska, PGD</a:t>
            </a:r>
          </a:p>
        </xdr:txBody>
      </xdr:sp>
    </xdr:grpSp>
    <xdr:clientData/>
  </xdr:twoCellAnchor>
  <xdr:twoCellAnchor>
    <xdr:from>
      <xdr:col>2</xdr:col>
      <xdr:colOff>0</xdr:colOff>
      <xdr:row>2</xdr:row>
      <xdr:rowOff>0</xdr:rowOff>
    </xdr:from>
    <xdr:to>
      <xdr:col>5</xdr:col>
      <xdr:colOff>0</xdr:colOff>
      <xdr:row>5</xdr:row>
      <xdr:rowOff>10123</xdr:rowOff>
    </xdr:to>
    <xdr:grpSp>
      <xdr:nvGrpSpPr>
        <xdr:cNvPr id="5" name="Navigacija"/>
        <xdr:cNvGrpSpPr/>
      </xdr:nvGrpSpPr>
      <xdr:grpSpPr>
        <a:xfrm>
          <a:off x="381000" y="581025"/>
          <a:ext cx="6362700" cy="581623"/>
          <a:chOff x="381000" y="581025"/>
          <a:chExt cx="6362700" cy="581623"/>
        </a:xfrm>
      </xdr:grpSpPr>
      <xdr:sp macro="" textlink="">
        <xdr:nvSpPr>
          <xdr:cNvPr id="6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81025"/>
            <a:ext cx="814060" cy="191098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7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71550"/>
            <a:ext cx="899468" cy="191098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8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81050"/>
            <a:ext cx="464734" cy="191098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9" name="PDF"/>
          <xdr:cNvSpPr/>
        </xdr:nvSpPr>
        <xdr:spPr>
          <a:xfrm>
            <a:off x="6362700" y="771525"/>
            <a:ext cx="381000" cy="371475"/>
          </a:xfrm>
          <a:prstGeom prst="ellipse">
            <a:avLst/>
          </a:prstGeom>
          <a:solidFill>
            <a:schemeClr val="bg1">
              <a:lumMod val="95000"/>
            </a:schemeClr>
          </a:solidFill>
          <a:ln w="317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10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10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81000" y="591746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11" name="Red"/>
          <xdr:cNvSpPr/>
        </xdr:nvSpPr>
        <xdr:spPr>
          <a:xfrm>
            <a:off x="5791200" y="771824"/>
            <a:ext cx="381000" cy="371176"/>
          </a:xfrm>
          <a:prstGeom prst="ellipse">
            <a:avLst/>
          </a:prstGeom>
          <a:solidFill>
            <a:schemeClr val="bg1">
              <a:lumMod val="95000"/>
            </a:schemeClr>
          </a:solidFill>
          <a:ln w="317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10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Red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32</xdr:row>
          <xdr:rowOff>0</xdr:rowOff>
        </xdr:from>
        <xdr:to>
          <xdr:col>4</xdr:col>
          <xdr:colOff>0</xdr:colOff>
          <xdr:row>40</xdr:row>
          <xdr:rowOff>0</xdr:rowOff>
        </xdr:to>
        <xdr:pic>
          <xdr:nvPicPr>
            <xdr:cNvPr id="12" name="Odgovorni projektant PPZ"/>
            <xdr:cNvPicPr>
              <a:picLocks noChangeAspect="1" noChangeArrowheads="1"/>
              <a:extLst>
                <a:ext uri="{84589F7E-364E-4C9E-8A38-B11213B215E9}">
                  <a14:cameraTool cellRange="ProjektantPPZPozicijaSlike" spid="_x0000_s14366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>
              <a:off x="571500" y="7086600"/>
              <a:ext cx="5981700" cy="15240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vmlDrawing" Target="../drawings/vmlDrawing3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vmlDrawing" Target="../drawings/vmlDrawing6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vmlDrawing" Target="../drawings/vmlDrawing8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vmlDrawing" Target="../drawings/vmlDrawing11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vmlDrawing" Target="../drawings/vmlDrawing14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vmlDrawing" Target="../drawings/vmlDrawing16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1" tint="0.249977111117893"/>
  </sheetPr>
  <dimension ref="A1:N463"/>
  <sheetViews>
    <sheetView showGridLines="0" showRowColHeaders="0" tabSelected="1" workbookViewId="0">
      <pane ySplit="1" topLeftCell="A2" activePane="bottomLeft" state="frozen"/>
      <selection pane="bottomLeft" activeCell="F24" sqref="F24"/>
    </sheetView>
  </sheetViews>
  <sheetFormatPr defaultRowHeight="15" x14ac:dyDescent="0.2"/>
  <cols>
    <col min="1" max="1" width="2.21875" style="45" customWidth="1"/>
    <col min="2" max="2" width="31.44140625" style="45" customWidth="1"/>
    <col min="3" max="5" width="2.21875" style="45" customWidth="1"/>
    <col min="6" max="6" width="69.77734375" style="45" customWidth="1"/>
    <col min="7" max="193" width="2.21875" style="45" customWidth="1"/>
    <col min="194" max="16384" width="8.88671875" style="45"/>
  </cols>
  <sheetData>
    <row r="1" spans="1:9" s="37" customFormat="1" ht="30" customHeight="1" thickBot="1" x14ac:dyDescent="0.25"/>
    <row r="2" spans="1:9" s="40" customFormat="1" ht="15.75" thickTop="1" x14ac:dyDescent="0.2">
      <c r="A2" s="38"/>
      <c r="B2" s="38"/>
      <c r="C2" s="39"/>
      <c r="F2" s="41"/>
      <c r="I2" s="42"/>
    </row>
    <row r="3" spans="1:9" x14ac:dyDescent="0.2">
      <c r="A3" s="43"/>
      <c r="B3" s="43"/>
      <c r="C3" s="44"/>
      <c r="F3" s="46" t="s">
        <v>123</v>
      </c>
      <c r="I3" s="47"/>
    </row>
    <row r="4" spans="1:9" x14ac:dyDescent="0.2">
      <c r="A4" s="43"/>
      <c r="B4" s="43"/>
      <c r="C4" s="44"/>
      <c r="F4" s="46"/>
      <c r="I4" s="47"/>
    </row>
    <row r="5" spans="1:9" ht="15.75" thickBot="1" x14ac:dyDescent="0.25">
      <c r="A5" s="43"/>
      <c r="B5" s="44"/>
      <c r="C5" s="44"/>
      <c r="E5" s="49" t="s">
        <v>129</v>
      </c>
      <c r="F5" s="48"/>
      <c r="I5" s="47"/>
    </row>
    <row r="6" spans="1:9" x14ac:dyDescent="0.2">
      <c r="A6" s="43"/>
      <c r="B6" s="44"/>
      <c r="C6" s="44"/>
      <c r="E6" s="50"/>
      <c r="F6" s="51"/>
      <c r="G6" s="52"/>
      <c r="I6" s="47"/>
    </row>
    <row r="7" spans="1:9" x14ac:dyDescent="0.2">
      <c r="A7" s="43"/>
      <c r="B7" s="44"/>
      <c r="C7" s="44"/>
      <c r="E7" s="53"/>
      <c r="F7" s="54" t="s">
        <v>130</v>
      </c>
      <c r="G7" s="55"/>
      <c r="I7" s="47"/>
    </row>
    <row r="8" spans="1:9" x14ac:dyDescent="0.2">
      <c r="A8" s="43"/>
      <c r="B8" s="44"/>
      <c r="C8" s="44"/>
      <c r="D8" s="56"/>
      <c r="E8" s="57" t="str">
        <f>IF(F8=0,"*","")</f>
        <v/>
      </c>
      <c r="F8" s="104" t="s">
        <v>131</v>
      </c>
      <c r="G8" s="58"/>
      <c r="I8" s="47"/>
    </row>
    <row r="9" spans="1:9" x14ac:dyDescent="0.2">
      <c r="A9" s="43"/>
      <c r="B9" s="44"/>
      <c r="C9" s="44"/>
      <c r="E9" s="53"/>
      <c r="F9" s="59" t="s">
        <v>132</v>
      </c>
      <c r="G9" s="55"/>
      <c r="I9" s="47"/>
    </row>
    <row r="10" spans="1:9" ht="15.75" thickBot="1" x14ac:dyDescent="0.25">
      <c r="A10" s="43"/>
      <c r="B10" s="44"/>
      <c r="C10" s="44"/>
      <c r="E10" s="60"/>
      <c r="F10" s="61"/>
      <c r="G10" s="62"/>
      <c r="I10" s="47"/>
    </row>
    <row r="11" spans="1:9" x14ac:dyDescent="0.2">
      <c r="A11" s="43"/>
      <c r="B11" s="43"/>
      <c r="C11" s="44"/>
      <c r="F11" s="46"/>
      <c r="I11" s="47"/>
    </row>
    <row r="12" spans="1:9" ht="15.75" thickBot="1" x14ac:dyDescent="0.25">
      <c r="A12" s="43"/>
      <c r="B12" s="63"/>
      <c r="C12" s="44"/>
      <c r="E12" s="49" t="s">
        <v>119</v>
      </c>
      <c r="F12" s="48"/>
      <c r="I12" s="47"/>
    </row>
    <row r="13" spans="1:9" x14ac:dyDescent="0.2">
      <c r="A13" s="43"/>
      <c r="B13" s="63"/>
      <c r="C13" s="44"/>
      <c r="E13" s="50"/>
      <c r="F13" s="51"/>
      <c r="G13" s="52"/>
      <c r="I13" s="47"/>
    </row>
    <row r="14" spans="1:9" x14ac:dyDescent="0.2">
      <c r="A14" s="43"/>
      <c r="B14" s="63"/>
      <c r="C14" s="44"/>
      <c r="E14" s="53"/>
      <c r="F14" s="54" t="s">
        <v>120</v>
      </c>
      <c r="G14" s="55"/>
      <c r="I14" s="47"/>
    </row>
    <row r="15" spans="1:9" x14ac:dyDescent="0.2">
      <c r="A15" s="43"/>
      <c r="B15" s="63"/>
      <c r="C15" s="44"/>
      <c r="D15" s="56"/>
      <c r="E15" s="57" t="str">
        <f>IF(F15=0,"*","")</f>
        <v>*</v>
      </c>
      <c r="F15" s="97"/>
      <c r="G15" s="58"/>
      <c r="I15" s="47"/>
    </row>
    <row r="16" spans="1:9" x14ac:dyDescent="0.2">
      <c r="A16" s="43"/>
      <c r="B16" s="43"/>
      <c r="C16" s="43"/>
      <c r="E16" s="53"/>
      <c r="F16" s="59" t="s">
        <v>124</v>
      </c>
      <c r="G16" s="55"/>
      <c r="I16" s="47"/>
    </row>
    <row r="17" spans="1:14" ht="15.75" thickBot="1" x14ac:dyDescent="0.25">
      <c r="A17" s="66" t="str">
        <f>IF(Pilot=0,"","P")</f>
        <v>P</v>
      </c>
      <c r="B17" s="43"/>
      <c r="C17" s="43"/>
      <c r="E17" s="60"/>
      <c r="F17" s="61"/>
      <c r="G17" s="62"/>
      <c r="I17" s="47"/>
    </row>
    <row r="18" spans="1:14" x14ac:dyDescent="0.2">
      <c r="A18" s="66" t="str">
        <f>IF(PutanjaBaze=0,"","P")</f>
        <v/>
      </c>
      <c r="B18" s="43"/>
      <c r="C18" s="43"/>
      <c r="F18" s="48"/>
      <c r="I18" s="47"/>
    </row>
    <row r="19" spans="1:14" x14ac:dyDescent="0.2">
      <c r="A19" s="43"/>
      <c r="B19" s="43"/>
      <c r="C19" s="43"/>
      <c r="E19" s="65"/>
      <c r="F19" s="46" t="s">
        <v>121</v>
      </c>
      <c r="G19" s="65"/>
      <c r="I19" s="47"/>
    </row>
    <row r="20" spans="1:14" x14ac:dyDescent="0.2">
      <c r="A20" s="43"/>
      <c r="B20" s="43"/>
      <c r="C20" s="44"/>
      <c r="E20" s="65"/>
      <c r="F20" s="67"/>
      <c r="G20" s="65"/>
      <c r="I20" s="47"/>
    </row>
    <row r="21" spans="1:14" ht="15.75" thickBot="1" x14ac:dyDescent="0.25">
      <c r="A21" s="43"/>
      <c r="B21" s="43"/>
      <c r="C21" s="44"/>
      <c r="E21" s="49" t="s">
        <v>70</v>
      </c>
      <c r="F21" s="48"/>
      <c r="I21" s="47"/>
    </row>
    <row r="22" spans="1:14" x14ac:dyDescent="0.2">
      <c r="A22" s="66" t="str">
        <f>IF(OR(Datum=0,EvidencioniBroj=0,Mesto=0),"","P")</f>
        <v/>
      </c>
      <c r="B22" s="44"/>
      <c r="C22" s="44"/>
      <c r="E22" s="50"/>
      <c r="F22" s="51"/>
      <c r="G22" s="52"/>
      <c r="I22" s="47"/>
      <c r="N22" s="65"/>
    </row>
    <row r="23" spans="1:14" x14ac:dyDescent="0.2">
      <c r="A23" s="66" t="str">
        <f>IF(OR(Investitor=0,OdgovornoLice=0),"","P")</f>
        <v/>
      </c>
      <c r="B23" s="44"/>
      <c r="C23" s="44"/>
      <c r="E23" s="53"/>
      <c r="F23" s="54" t="s">
        <v>71</v>
      </c>
      <c r="G23" s="55"/>
      <c r="I23" s="47"/>
    </row>
    <row r="24" spans="1:14" x14ac:dyDescent="0.2">
      <c r="A24" s="66" t="str">
        <f>IF(OR(Objekat=0,ObjekatIzKonteksta=0),"","P")</f>
        <v/>
      </c>
      <c r="B24" s="44"/>
      <c r="C24" s="44"/>
      <c r="D24" s="56"/>
      <c r="E24" s="57" t="str">
        <f>IF(F24=0,"*","")</f>
        <v>*</v>
      </c>
      <c r="F24" s="98"/>
      <c r="G24" s="58"/>
      <c r="I24" s="47"/>
    </row>
    <row r="25" spans="1:14" x14ac:dyDescent="0.2">
      <c r="A25" s="66" t="str">
        <f>IF(OR(VrstaRadova=0,VrstaRadovaIzKonteksta=0),"","P")</f>
        <v/>
      </c>
      <c r="B25" s="44"/>
      <c r="C25" s="44"/>
      <c r="E25" s="53"/>
      <c r="F25" s="71" t="s">
        <v>74</v>
      </c>
      <c r="G25" s="55"/>
      <c r="I25" s="47"/>
    </row>
    <row r="26" spans="1:14" x14ac:dyDescent="0.2">
      <c r="A26" s="66" t="str">
        <f>IF(OR(ProjektnaOrganizacijaGS=0,OdgovornoLiceGS=0,ProjektnaOrganizacijaA=0),"","P")</f>
        <v/>
      </c>
      <c r="B26" s="44"/>
      <c r="C26" s="44"/>
      <c r="E26" s="53"/>
      <c r="F26" s="67"/>
      <c r="G26" s="55"/>
      <c r="I26" s="47"/>
    </row>
    <row r="27" spans="1:14" x14ac:dyDescent="0.2">
      <c r="A27" s="66" t="str">
        <f>IF(OR(GlavniProjektant=0,OdgovorniProjektantA=0),"","P")</f>
        <v/>
      </c>
      <c r="B27" s="44"/>
      <c r="C27" s="44"/>
      <c r="E27" s="53"/>
      <c r="F27" s="54" t="s">
        <v>72</v>
      </c>
      <c r="G27" s="55"/>
      <c r="I27" s="47"/>
    </row>
    <row r="28" spans="1:14" x14ac:dyDescent="0.2">
      <c r="A28" s="66" t="str">
        <f>IF(OR(TipObjekta=0,KategorijaObjekta=0,UcesceKlasifikacija=0,UrbanistickiPlan=0,KatastarskeParcele=0),"","P")</f>
        <v/>
      </c>
      <c r="B28" s="44"/>
      <c r="C28" s="44"/>
      <c r="D28" s="56"/>
      <c r="E28" s="57" t="str">
        <f>IF(F28=0,"*","")</f>
        <v>*</v>
      </c>
      <c r="F28" s="97"/>
      <c r="G28" s="58"/>
      <c r="I28" s="47"/>
    </row>
    <row r="29" spans="1:14" x14ac:dyDescent="0.2">
      <c r="A29" s="66" t="str">
        <f>IF(OR(PrikljucakNaVodovod=0,PrikljucakNaKanalizaciju=0,PrikljucakNaStruju=0),"","P")</f>
        <v/>
      </c>
      <c r="B29" s="44"/>
      <c r="C29" s="44"/>
      <c r="D29" s="56"/>
      <c r="E29" s="65"/>
      <c r="F29" s="71" t="s">
        <v>75</v>
      </c>
      <c r="G29" s="55"/>
      <c r="I29" s="47"/>
    </row>
    <row r="30" spans="1:14" x14ac:dyDescent="0.2">
      <c r="A30" s="66" t="str">
        <f>IF(LokacijskiUslovi=0,"","P")</f>
        <v/>
      </c>
      <c r="B30" s="44"/>
      <c r="C30" s="44"/>
      <c r="D30" s="56"/>
      <c r="E30" s="65"/>
      <c r="F30" s="67"/>
      <c r="G30" s="55"/>
      <c r="I30" s="47"/>
    </row>
    <row r="31" spans="1:14" x14ac:dyDescent="0.2">
      <c r="A31" s="66" t="str">
        <f>IF(OR(PovrsinaParcele=0,UkupnaBrutoPovrsinaNadzemno=0,UkupnaBrutoPovrsina=0,UkupnaNetoPovrsina=0,BrutoPovrsinaPr=0,Zauzetost=0,Spratnost=0,VisinaVenca=0,VisinaSlemena=0,SpratnaVisina=0,BrojFunkcionalnihJedinica=0,BrojParkingMesta=0,),"","P")</f>
        <v/>
      </c>
      <c r="B31" s="44"/>
      <c r="C31" s="44"/>
      <c r="D31" s="56"/>
      <c r="E31" s="65"/>
      <c r="F31" s="54" t="s">
        <v>73</v>
      </c>
      <c r="G31" s="55"/>
      <c r="I31" s="47"/>
    </row>
    <row r="32" spans="1:14" x14ac:dyDescent="0.2">
      <c r="A32" s="66" t="str">
        <f>IF(OR(ObradaFasade=0,OrjentacijaSlemena=0,NagibKrova=0,ObradaKrova=0),"","P")</f>
        <v/>
      </c>
      <c r="B32" s="44"/>
      <c r="C32" s="44"/>
      <c r="D32" s="56"/>
      <c r="E32" s="57" t="str">
        <f>IF(F32=0,"*","")</f>
        <v>*</v>
      </c>
      <c r="F32" s="97"/>
      <c r="G32" s="58"/>
      <c r="I32" s="47"/>
    </row>
    <row r="33" spans="1:9" x14ac:dyDescent="0.2">
      <c r="A33" s="66" t="str">
        <f>IF(OR(ProcenatZelenihPovrsina=0,IndeksZauzetosti=0,IndeksIzgradjenosti=0,CenaPoM2=0),"","P")</f>
        <v/>
      </c>
      <c r="B33" s="44"/>
      <c r="C33" s="44"/>
      <c r="E33" s="53"/>
      <c r="F33" s="71" t="s">
        <v>76</v>
      </c>
      <c r="G33" s="55"/>
      <c r="I33" s="47"/>
    </row>
    <row r="34" spans="1:9" ht="15.75" thickBot="1" x14ac:dyDescent="0.25">
      <c r="A34" s="43"/>
      <c r="B34" s="44"/>
      <c r="C34" s="44"/>
      <c r="E34" s="68"/>
      <c r="F34" s="69"/>
      <c r="G34" s="70"/>
      <c r="I34" s="47"/>
    </row>
    <row r="35" spans="1:9" x14ac:dyDescent="0.2">
      <c r="A35" s="43"/>
      <c r="B35" s="44"/>
      <c r="C35" s="44"/>
      <c r="F35" s="48"/>
      <c r="I35" s="47"/>
    </row>
    <row r="36" spans="1:9" ht="15.75" thickBot="1" x14ac:dyDescent="0.25">
      <c r="A36" s="43"/>
      <c r="B36" s="44"/>
      <c r="C36" s="44"/>
      <c r="E36" s="49" t="s">
        <v>0</v>
      </c>
      <c r="F36" s="48"/>
      <c r="I36" s="47"/>
    </row>
    <row r="37" spans="1:9" x14ac:dyDescent="0.2">
      <c r="A37" s="43"/>
      <c r="B37" s="44"/>
      <c r="C37" s="44"/>
      <c r="E37" s="50"/>
      <c r="F37" s="51"/>
      <c r="G37" s="52"/>
      <c r="I37" s="47"/>
    </row>
    <row r="38" spans="1:9" x14ac:dyDescent="0.2">
      <c r="A38" s="43"/>
      <c r="B38" s="44"/>
      <c r="C38" s="44"/>
      <c r="E38" s="53"/>
      <c r="F38" s="54" t="s">
        <v>0</v>
      </c>
      <c r="G38" s="55"/>
      <c r="I38" s="47"/>
    </row>
    <row r="39" spans="1:9" x14ac:dyDescent="0.2">
      <c r="A39" s="43"/>
      <c r="B39" s="44"/>
      <c r="C39" s="44"/>
      <c r="D39" s="55"/>
      <c r="E39" s="57" t="str">
        <f>IF(F39=0,"*","")</f>
        <v>*</v>
      </c>
      <c r="F39" s="99"/>
      <c r="G39" s="58"/>
      <c r="I39" s="47"/>
    </row>
    <row r="40" spans="1:9" x14ac:dyDescent="0.2">
      <c r="A40" s="43"/>
      <c r="B40" s="44"/>
      <c r="C40" s="44"/>
      <c r="E40" s="53"/>
      <c r="F40" s="71" t="s">
        <v>12</v>
      </c>
      <c r="G40" s="55"/>
      <c r="I40" s="47"/>
    </row>
    <row r="41" spans="1:9" x14ac:dyDescent="0.2">
      <c r="A41" s="43"/>
      <c r="B41" s="44"/>
      <c r="C41" s="44"/>
      <c r="D41" s="56"/>
      <c r="E41" s="48"/>
      <c r="F41" s="48"/>
      <c r="G41" s="64"/>
      <c r="I41" s="47"/>
    </row>
    <row r="42" spans="1:9" x14ac:dyDescent="0.2">
      <c r="A42" s="43"/>
      <c r="B42" s="44"/>
      <c r="C42" s="44"/>
      <c r="D42" s="56"/>
      <c r="F42" s="54" t="s">
        <v>8</v>
      </c>
      <c r="G42" s="56"/>
      <c r="I42" s="47"/>
    </row>
    <row r="43" spans="1:9" x14ac:dyDescent="0.2">
      <c r="A43" s="43"/>
      <c r="B43" s="43"/>
      <c r="C43" s="43"/>
      <c r="D43" s="56"/>
      <c r="E43" s="57" t="str">
        <f>IF(F43=0,"*","")</f>
        <v>*</v>
      </c>
      <c r="F43" s="99"/>
      <c r="G43" s="56"/>
      <c r="I43" s="47"/>
    </row>
    <row r="44" spans="1:9" x14ac:dyDescent="0.2">
      <c r="A44" s="43"/>
      <c r="B44" s="43"/>
      <c r="C44" s="43"/>
      <c r="D44" s="56"/>
      <c r="F44" s="71" t="s">
        <v>118</v>
      </c>
      <c r="G44" s="56"/>
      <c r="I44" s="47"/>
    </row>
    <row r="45" spans="1:9" ht="15.75" thickBot="1" x14ac:dyDescent="0.25">
      <c r="A45" s="43"/>
      <c r="B45" s="43"/>
      <c r="C45" s="43"/>
      <c r="D45" s="56"/>
      <c r="E45" s="72"/>
      <c r="F45" s="61"/>
      <c r="G45" s="73"/>
      <c r="I45" s="47"/>
    </row>
    <row r="46" spans="1:9" x14ac:dyDescent="0.2">
      <c r="A46" s="43"/>
      <c r="B46" s="43"/>
      <c r="C46" s="43"/>
      <c r="F46" s="48"/>
      <c r="I46" s="47"/>
    </row>
    <row r="47" spans="1:9" ht="15.75" thickBot="1" x14ac:dyDescent="0.25">
      <c r="A47" s="43"/>
      <c r="B47" s="43"/>
      <c r="C47" s="43"/>
      <c r="E47" s="49" t="s">
        <v>2</v>
      </c>
      <c r="F47" s="48"/>
      <c r="I47" s="47"/>
    </row>
    <row r="48" spans="1:9" x14ac:dyDescent="0.2">
      <c r="A48" s="43"/>
      <c r="B48" s="43"/>
      <c r="C48" s="43"/>
      <c r="E48" s="50"/>
      <c r="F48" s="51"/>
      <c r="G48" s="52"/>
      <c r="I48" s="47"/>
    </row>
    <row r="49" spans="1:9" x14ac:dyDescent="0.2">
      <c r="A49" s="43"/>
      <c r="B49" s="43"/>
      <c r="C49" s="43"/>
      <c r="D49" s="55"/>
      <c r="E49" s="65"/>
      <c r="F49" s="54" t="s">
        <v>2</v>
      </c>
      <c r="G49" s="55"/>
      <c r="I49" s="47"/>
    </row>
    <row r="50" spans="1:9" x14ac:dyDescent="0.2">
      <c r="A50" s="43"/>
      <c r="B50" s="43"/>
      <c r="C50" s="43"/>
      <c r="D50" s="55"/>
      <c r="E50" s="57" t="str">
        <f>IF(F50=0,"*","")</f>
        <v>*</v>
      </c>
      <c r="F50" s="99"/>
      <c r="G50" s="58"/>
      <c r="I50" s="47"/>
    </row>
    <row r="51" spans="1:9" ht="22.5" x14ac:dyDescent="0.2">
      <c r="A51" s="43"/>
      <c r="B51" s="43"/>
      <c r="C51" s="43"/>
      <c r="D51" s="55"/>
      <c r="E51" s="65"/>
      <c r="F51" s="71" t="s">
        <v>77</v>
      </c>
      <c r="G51" s="55"/>
      <c r="I51" s="47"/>
    </row>
    <row r="52" spans="1:9" x14ac:dyDescent="0.2">
      <c r="A52" s="43"/>
      <c r="B52" s="43"/>
      <c r="C52" s="43"/>
      <c r="D52" s="55"/>
      <c r="E52" s="65"/>
      <c r="F52" s="67"/>
      <c r="G52" s="55"/>
      <c r="I52" s="47"/>
    </row>
    <row r="53" spans="1:9" x14ac:dyDescent="0.2">
      <c r="A53" s="43"/>
      <c r="B53" s="43"/>
      <c r="C53" s="43"/>
      <c r="D53" s="55"/>
      <c r="E53" s="65"/>
      <c r="F53" s="54" t="s">
        <v>13</v>
      </c>
      <c r="G53" s="55"/>
      <c r="I53" s="47"/>
    </row>
    <row r="54" spans="1:9" x14ac:dyDescent="0.2">
      <c r="A54" s="43"/>
      <c r="B54" s="43"/>
      <c r="C54" s="43"/>
      <c r="D54" s="55"/>
      <c r="E54" s="57" t="str">
        <f>IF(F54=0,"*","")</f>
        <v>*</v>
      </c>
      <c r="F54" s="99"/>
      <c r="G54" s="58"/>
      <c r="I54" s="47"/>
    </row>
    <row r="55" spans="1:9" ht="22.5" x14ac:dyDescent="0.2">
      <c r="A55" s="43"/>
      <c r="B55" s="43"/>
      <c r="C55" s="44"/>
      <c r="D55" s="55"/>
      <c r="E55" s="65"/>
      <c r="F55" s="71" t="s">
        <v>78</v>
      </c>
      <c r="G55" s="55"/>
      <c r="I55" s="47"/>
    </row>
    <row r="56" spans="1:9" ht="15.75" thickBot="1" x14ac:dyDescent="0.25">
      <c r="A56" s="43"/>
      <c r="B56" s="43"/>
      <c r="C56" s="44"/>
      <c r="D56" s="65"/>
      <c r="E56" s="68"/>
      <c r="F56" s="69"/>
      <c r="G56" s="70"/>
      <c r="I56" s="47"/>
    </row>
    <row r="57" spans="1:9" x14ac:dyDescent="0.2">
      <c r="A57" s="43"/>
      <c r="B57" s="43"/>
      <c r="C57" s="44"/>
      <c r="F57" s="48"/>
      <c r="I57" s="47"/>
    </row>
    <row r="58" spans="1:9" ht="15.75" thickBot="1" x14ac:dyDescent="0.25">
      <c r="A58" s="43"/>
      <c r="B58" s="43"/>
      <c r="C58" s="44"/>
      <c r="E58" s="49" t="s">
        <v>14</v>
      </c>
      <c r="F58" s="48"/>
      <c r="I58" s="47"/>
    </row>
    <row r="59" spans="1:9" x14ac:dyDescent="0.2">
      <c r="A59" s="43"/>
      <c r="B59" s="43"/>
      <c r="C59" s="44"/>
      <c r="D59" s="55"/>
      <c r="E59" s="74"/>
      <c r="F59" s="51"/>
      <c r="G59" s="52"/>
      <c r="I59" s="47"/>
    </row>
    <row r="60" spans="1:9" x14ac:dyDescent="0.2">
      <c r="A60" s="43"/>
      <c r="B60" s="43"/>
      <c r="C60" s="44"/>
      <c r="D60" s="55"/>
      <c r="E60" s="65"/>
      <c r="F60" s="54" t="s">
        <v>14</v>
      </c>
      <c r="G60" s="55"/>
      <c r="I60" s="47"/>
    </row>
    <row r="61" spans="1:9" x14ac:dyDescent="0.2">
      <c r="A61" s="43"/>
      <c r="B61" s="43"/>
      <c r="C61" s="44"/>
      <c r="D61" s="55"/>
      <c r="E61" s="57" t="str">
        <f>IF(F61=0,"*","")</f>
        <v>*</v>
      </c>
      <c r="F61" s="99"/>
      <c r="G61" s="58"/>
      <c r="I61" s="47"/>
    </row>
    <row r="62" spans="1:9" x14ac:dyDescent="0.2">
      <c r="A62" s="43"/>
      <c r="B62" s="43"/>
      <c r="C62" s="44"/>
      <c r="D62" s="55"/>
      <c r="E62" s="65"/>
      <c r="F62" s="71" t="s">
        <v>79</v>
      </c>
      <c r="G62" s="55"/>
      <c r="I62" s="47"/>
    </row>
    <row r="63" spans="1:9" x14ac:dyDescent="0.2">
      <c r="A63" s="43"/>
      <c r="B63" s="43"/>
      <c r="C63" s="44"/>
      <c r="D63" s="55"/>
      <c r="E63" s="65"/>
      <c r="F63" s="67"/>
      <c r="G63" s="55"/>
      <c r="I63" s="47"/>
    </row>
    <row r="64" spans="1:9" x14ac:dyDescent="0.2">
      <c r="A64" s="43"/>
      <c r="B64" s="43"/>
      <c r="C64" s="44"/>
      <c r="D64" s="55"/>
      <c r="E64" s="65"/>
      <c r="F64" s="54" t="s">
        <v>15</v>
      </c>
      <c r="G64" s="55"/>
      <c r="I64" s="47"/>
    </row>
    <row r="65" spans="1:9" x14ac:dyDescent="0.2">
      <c r="A65" s="43"/>
      <c r="B65" s="43"/>
      <c r="C65" s="44"/>
      <c r="D65" s="55"/>
      <c r="E65" s="57" t="str">
        <f>IF(F65=0,"*","")</f>
        <v>*</v>
      </c>
      <c r="F65" s="99"/>
      <c r="G65" s="58"/>
      <c r="I65" s="47"/>
    </row>
    <row r="66" spans="1:9" x14ac:dyDescent="0.2">
      <c r="A66" s="43"/>
      <c r="B66" s="43"/>
      <c r="C66" s="44"/>
      <c r="D66" s="55"/>
      <c r="E66" s="65"/>
      <c r="F66" s="71" t="s">
        <v>80</v>
      </c>
      <c r="G66" s="55"/>
      <c r="I66" s="47"/>
    </row>
    <row r="67" spans="1:9" ht="15.75" thickBot="1" x14ac:dyDescent="0.25">
      <c r="A67" s="43"/>
      <c r="B67" s="43"/>
      <c r="C67" s="44"/>
      <c r="D67" s="55"/>
      <c r="E67" s="75"/>
      <c r="F67" s="69"/>
      <c r="G67" s="70"/>
      <c r="I67" s="47"/>
    </row>
    <row r="68" spans="1:9" x14ac:dyDescent="0.2">
      <c r="A68" s="43"/>
      <c r="B68" s="43"/>
      <c r="C68" s="44"/>
      <c r="F68" s="48"/>
      <c r="I68" s="47"/>
    </row>
    <row r="69" spans="1:9" ht="15.75" thickBot="1" x14ac:dyDescent="0.25">
      <c r="A69" s="43"/>
      <c r="B69" s="43"/>
      <c r="C69" s="44"/>
      <c r="E69" s="49" t="s">
        <v>16</v>
      </c>
      <c r="F69" s="48"/>
      <c r="I69" s="47"/>
    </row>
    <row r="70" spans="1:9" x14ac:dyDescent="0.2">
      <c r="A70" s="43"/>
      <c r="B70" s="43"/>
      <c r="C70" s="44"/>
      <c r="E70" s="50"/>
      <c r="F70" s="51"/>
      <c r="G70" s="52"/>
      <c r="I70" s="47"/>
    </row>
    <row r="71" spans="1:9" x14ac:dyDescent="0.2">
      <c r="A71" s="43"/>
      <c r="B71" s="43"/>
      <c r="C71" s="44"/>
      <c r="D71" s="55"/>
      <c r="E71" s="65"/>
      <c r="F71" s="54" t="s">
        <v>17</v>
      </c>
      <c r="G71" s="55"/>
      <c r="I71" s="47"/>
    </row>
    <row r="72" spans="1:9" x14ac:dyDescent="0.2">
      <c r="A72" s="43"/>
      <c r="B72" s="43"/>
      <c r="C72" s="44"/>
      <c r="D72" s="55"/>
      <c r="E72" s="57" t="str">
        <f>IF(F72=0,"*","")</f>
        <v>*</v>
      </c>
      <c r="F72" s="99"/>
      <c r="G72" s="58"/>
      <c r="I72" s="47"/>
    </row>
    <row r="73" spans="1:9" x14ac:dyDescent="0.2">
      <c r="A73" s="43"/>
      <c r="B73" s="43"/>
      <c r="C73" s="44"/>
      <c r="D73" s="55"/>
      <c r="E73" s="65"/>
      <c r="F73" s="71" t="s">
        <v>81</v>
      </c>
      <c r="G73" s="55"/>
      <c r="I73" s="47"/>
    </row>
    <row r="74" spans="1:9" x14ac:dyDescent="0.2">
      <c r="A74" s="43"/>
      <c r="B74" s="43"/>
      <c r="C74" s="44"/>
      <c r="D74" s="55"/>
      <c r="E74" s="65"/>
      <c r="F74" s="67"/>
      <c r="G74" s="55"/>
      <c r="I74" s="47"/>
    </row>
    <row r="75" spans="1:9" x14ac:dyDescent="0.2">
      <c r="A75" s="43"/>
      <c r="B75" s="43"/>
      <c r="C75" s="44"/>
      <c r="D75" s="55"/>
      <c r="E75" s="65"/>
      <c r="F75" s="54" t="s">
        <v>18</v>
      </c>
      <c r="G75" s="55"/>
      <c r="I75" s="47"/>
    </row>
    <row r="76" spans="1:9" x14ac:dyDescent="0.2">
      <c r="A76" s="43"/>
      <c r="B76" s="43"/>
      <c r="C76" s="44"/>
      <c r="D76" s="55"/>
      <c r="E76" s="57" t="str">
        <f>IF(F76=0,"*","")</f>
        <v>*</v>
      </c>
      <c r="F76" s="99"/>
      <c r="G76" s="58"/>
      <c r="I76" s="47"/>
    </row>
    <row r="77" spans="1:9" x14ac:dyDescent="0.2">
      <c r="A77" s="43"/>
      <c r="B77" s="43"/>
      <c r="C77" s="44"/>
      <c r="D77" s="55"/>
      <c r="E77" s="65"/>
      <c r="F77" s="71" t="s">
        <v>83</v>
      </c>
      <c r="G77" s="55"/>
      <c r="I77" s="47"/>
    </row>
    <row r="78" spans="1:9" ht="15.75" thickBot="1" x14ac:dyDescent="0.25">
      <c r="A78" s="43"/>
      <c r="B78" s="43"/>
      <c r="C78" s="44"/>
      <c r="D78" s="55"/>
      <c r="E78" s="75"/>
      <c r="F78" s="69"/>
      <c r="G78" s="70"/>
      <c r="I78" s="47"/>
    </row>
    <row r="79" spans="1:9" x14ac:dyDescent="0.2">
      <c r="A79" s="43"/>
      <c r="B79" s="43"/>
      <c r="C79" s="44"/>
      <c r="D79" s="55"/>
      <c r="E79" s="65"/>
      <c r="F79" s="105"/>
      <c r="G79" s="106">
        <v>0</v>
      </c>
      <c r="I79" s="47"/>
    </row>
    <row r="80" spans="1:9" x14ac:dyDescent="0.2">
      <c r="A80" s="43"/>
      <c r="B80" s="43"/>
      <c r="C80" s="44"/>
      <c r="D80" s="55"/>
      <c r="E80" s="65"/>
      <c r="F80" s="54" t="s">
        <v>19</v>
      </c>
      <c r="G80" s="55"/>
      <c r="I80" s="47"/>
    </row>
    <row r="81" spans="1:9" x14ac:dyDescent="0.2">
      <c r="A81" s="43"/>
      <c r="B81" s="43"/>
      <c r="C81" s="44"/>
      <c r="D81" s="55"/>
      <c r="E81" s="57" t="str">
        <f>IF(ProjekatA=0,"",IF(ProjektnaOrganizacijaA=0,"*",""))</f>
        <v/>
      </c>
      <c r="F81" s="99"/>
      <c r="G81" s="58"/>
      <c r="I81" s="47"/>
    </row>
    <row r="82" spans="1:9" x14ac:dyDescent="0.2">
      <c r="A82" s="43"/>
      <c r="B82" s="43"/>
      <c r="C82" s="44"/>
      <c r="D82" s="55"/>
      <c r="E82" s="65"/>
      <c r="F82" s="71" t="s">
        <v>81</v>
      </c>
      <c r="G82" s="55"/>
      <c r="I82" s="47"/>
    </row>
    <row r="83" spans="1:9" ht="15.75" thickBot="1" x14ac:dyDescent="0.25">
      <c r="A83" s="43"/>
      <c r="B83" s="43"/>
      <c r="C83" s="44"/>
      <c r="D83" s="55"/>
      <c r="E83" s="75"/>
      <c r="F83" s="69"/>
      <c r="G83" s="70"/>
      <c r="I83" s="47"/>
    </row>
    <row r="84" spans="1:9" x14ac:dyDescent="0.2">
      <c r="A84" s="43"/>
      <c r="B84" s="43"/>
      <c r="C84" s="44"/>
      <c r="D84" s="56"/>
      <c r="E84" s="65"/>
      <c r="F84" s="67"/>
      <c r="G84" s="106">
        <v>0</v>
      </c>
      <c r="I84" s="47"/>
    </row>
    <row r="85" spans="1:9" x14ac:dyDescent="0.2">
      <c r="A85" s="43"/>
      <c r="B85" s="43"/>
      <c r="C85" s="44"/>
      <c r="D85" s="56"/>
      <c r="E85" s="65"/>
      <c r="F85" s="54" t="s">
        <v>133</v>
      </c>
      <c r="G85" s="55"/>
      <c r="I85" s="47"/>
    </row>
    <row r="86" spans="1:9" x14ac:dyDescent="0.2">
      <c r="A86" s="43"/>
      <c r="B86" s="43"/>
      <c r="C86" s="44"/>
      <c r="D86" s="56"/>
      <c r="E86" s="57" t="str">
        <f>IF(ProjekatK=0,"",IF(ProjektnaOrganizacijaK=0,"*",""))</f>
        <v/>
      </c>
      <c r="F86" s="99"/>
      <c r="G86" s="58"/>
      <c r="I86" s="47"/>
    </row>
    <row r="87" spans="1:9" x14ac:dyDescent="0.2">
      <c r="A87" s="43"/>
      <c r="B87" s="43"/>
      <c r="C87" s="44"/>
      <c r="D87" s="56"/>
      <c r="E87" s="65"/>
      <c r="F87" s="71" t="s">
        <v>81</v>
      </c>
      <c r="G87" s="55"/>
      <c r="I87" s="47"/>
    </row>
    <row r="88" spans="1:9" ht="15.75" thickBot="1" x14ac:dyDescent="0.25">
      <c r="A88" s="43"/>
      <c r="B88" s="43"/>
      <c r="C88" s="44"/>
      <c r="D88" s="56"/>
      <c r="E88" s="75"/>
      <c r="F88" s="69"/>
      <c r="G88" s="70"/>
      <c r="I88" s="47"/>
    </row>
    <row r="89" spans="1:9" x14ac:dyDescent="0.2">
      <c r="A89" s="43"/>
      <c r="B89" s="43"/>
      <c r="C89" s="44"/>
      <c r="D89" s="56"/>
      <c r="E89" s="65"/>
      <c r="F89" s="67"/>
      <c r="G89" s="106">
        <v>0</v>
      </c>
      <c r="I89" s="47"/>
    </row>
    <row r="90" spans="1:9" x14ac:dyDescent="0.2">
      <c r="A90" s="43"/>
      <c r="B90" s="43"/>
      <c r="C90" s="44"/>
      <c r="D90" s="56"/>
      <c r="E90" s="65"/>
      <c r="F90" s="54" t="s">
        <v>134</v>
      </c>
      <c r="G90" s="55"/>
      <c r="I90" s="47"/>
    </row>
    <row r="91" spans="1:9" x14ac:dyDescent="0.2">
      <c r="A91" s="43"/>
      <c r="B91" s="43"/>
      <c r="C91" s="44"/>
      <c r="D91" s="56"/>
      <c r="E91" s="57" t="str">
        <f>IF(ProjekatH=0,"",IF(ProjektnaOrganizacijaH=0,"*",""))</f>
        <v/>
      </c>
      <c r="F91" s="99"/>
      <c r="G91" s="58"/>
      <c r="I91" s="47"/>
    </row>
    <row r="92" spans="1:9" x14ac:dyDescent="0.2">
      <c r="A92" s="43"/>
      <c r="B92" s="43"/>
      <c r="C92" s="44"/>
      <c r="D92" s="56"/>
      <c r="E92" s="65"/>
      <c r="F92" s="71" t="s">
        <v>81</v>
      </c>
      <c r="G92" s="55"/>
      <c r="I92" s="47"/>
    </row>
    <row r="93" spans="1:9" ht="15.75" thickBot="1" x14ac:dyDescent="0.25">
      <c r="A93" s="43"/>
      <c r="B93" s="43"/>
      <c r="C93" s="44"/>
      <c r="D93" s="56"/>
      <c r="E93" s="75"/>
      <c r="F93" s="69"/>
      <c r="G93" s="70"/>
      <c r="I93" s="47"/>
    </row>
    <row r="94" spans="1:9" x14ac:dyDescent="0.2">
      <c r="A94" s="43"/>
      <c r="B94" s="43"/>
      <c r="C94" s="44"/>
      <c r="D94" s="56"/>
      <c r="E94" s="65"/>
      <c r="F94" s="67"/>
      <c r="G94" s="106">
        <v>0</v>
      </c>
      <c r="I94" s="47"/>
    </row>
    <row r="95" spans="1:9" x14ac:dyDescent="0.2">
      <c r="A95" s="43"/>
      <c r="B95" s="43"/>
      <c r="C95" s="44"/>
      <c r="D95" s="56"/>
      <c r="E95" s="65"/>
      <c r="F95" s="54" t="s">
        <v>135</v>
      </c>
      <c r="G95" s="55"/>
      <c r="I95" s="47"/>
    </row>
    <row r="96" spans="1:9" x14ac:dyDescent="0.2">
      <c r="A96" s="43"/>
      <c r="B96" s="43"/>
      <c r="C96" s="44"/>
      <c r="D96" s="56"/>
      <c r="E96" s="57" t="str">
        <f>IF(ProjekatE=0,"",IF(ProjektnaOrganizacijaE=0,"*",""))</f>
        <v/>
      </c>
      <c r="F96" s="99"/>
      <c r="G96" s="58"/>
      <c r="I96" s="47"/>
    </row>
    <row r="97" spans="1:9" x14ac:dyDescent="0.2">
      <c r="A97" s="43"/>
      <c r="B97" s="43"/>
      <c r="C97" s="44"/>
      <c r="D97" s="56"/>
      <c r="E97" s="65"/>
      <c r="F97" s="71" t="s">
        <v>81</v>
      </c>
      <c r="G97" s="55"/>
      <c r="I97" s="47"/>
    </row>
    <row r="98" spans="1:9" ht="15.75" thickBot="1" x14ac:dyDescent="0.25">
      <c r="A98" s="43"/>
      <c r="B98" s="43"/>
      <c r="C98" s="44"/>
      <c r="D98" s="56"/>
      <c r="E98" s="75"/>
      <c r="F98" s="69"/>
      <c r="G98" s="70"/>
      <c r="I98" s="47"/>
    </row>
    <row r="99" spans="1:9" x14ac:dyDescent="0.2">
      <c r="A99" s="43"/>
      <c r="B99" s="43"/>
      <c r="C99" s="44"/>
      <c r="D99" s="56"/>
      <c r="E99" s="65"/>
      <c r="F99" s="67"/>
      <c r="G99" s="106">
        <v>0</v>
      </c>
      <c r="I99" s="47"/>
    </row>
    <row r="100" spans="1:9" x14ac:dyDescent="0.2">
      <c r="A100" s="43"/>
      <c r="B100" s="43"/>
      <c r="C100" s="44"/>
      <c r="D100" s="56"/>
      <c r="E100" s="65"/>
      <c r="F100" s="54" t="s">
        <v>136</v>
      </c>
      <c r="G100" s="55"/>
      <c r="I100" s="47"/>
    </row>
    <row r="101" spans="1:9" x14ac:dyDescent="0.2">
      <c r="A101" s="43"/>
      <c r="B101" s="43"/>
      <c r="C101" s="44"/>
      <c r="D101" s="56"/>
      <c r="E101" s="57" t="str">
        <f>IF(ProjekatTS=0,"",IF(ProjektnaOrganizacijaTS=0,"*",""))</f>
        <v/>
      </c>
      <c r="F101" s="99"/>
      <c r="G101" s="58"/>
      <c r="I101" s="47"/>
    </row>
    <row r="102" spans="1:9" x14ac:dyDescent="0.2">
      <c r="A102" s="43"/>
      <c r="B102" s="43"/>
      <c r="C102" s="44"/>
      <c r="D102" s="56"/>
      <c r="E102" s="65"/>
      <c r="F102" s="71" t="s">
        <v>81</v>
      </c>
      <c r="G102" s="55"/>
      <c r="I102" s="47"/>
    </row>
    <row r="103" spans="1:9" ht="15.75" thickBot="1" x14ac:dyDescent="0.25">
      <c r="A103" s="43"/>
      <c r="B103" s="43"/>
      <c r="C103" s="44"/>
      <c r="D103" s="56"/>
      <c r="E103" s="75"/>
      <c r="F103" s="69"/>
      <c r="G103" s="70"/>
      <c r="I103" s="47"/>
    </row>
    <row r="104" spans="1:9" x14ac:dyDescent="0.2">
      <c r="A104" s="43"/>
      <c r="B104" s="43"/>
      <c r="C104" s="44"/>
      <c r="D104" s="56"/>
      <c r="E104" s="65"/>
      <c r="F104" s="67"/>
      <c r="G104" s="106">
        <v>0</v>
      </c>
      <c r="I104" s="47"/>
    </row>
    <row r="105" spans="1:9" x14ac:dyDescent="0.2">
      <c r="A105" s="43"/>
      <c r="B105" s="43"/>
      <c r="C105" s="44"/>
      <c r="D105" s="56"/>
      <c r="E105" s="65"/>
      <c r="F105" s="54" t="s">
        <v>137</v>
      </c>
      <c r="G105" s="55"/>
      <c r="I105" s="47"/>
    </row>
    <row r="106" spans="1:9" x14ac:dyDescent="0.2">
      <c r="A106" s="43"/>
      <c r="B106" s="43"/>
      <c r="C106" s="44"/>
      <c r="D106" s="56"/>
      <c r="E106" s="57" t="str">
        <f>IF(ProjekatM=0,"",IF(ProjektnaOrganizacijaM=0,"*",""))</f>
        <v/>
      </c>
      <c r="F106" s="99"/>
      <c r="G106" s="58"/>
      <c r="I106" s="47"/>
    </row>
    <row r="107" spans="1:9" x14ac:dyDescent="0.2">
      <c r="A107" s="43"/>
      <c r="B107" s="43"/>
      <c r="C107" s="44"/>
      <c r="D107" s="56"/>
      <c r="E107" s="65"/>
      <c r="F107" s="71" t="s">
        <v>81</v>
      </c>
      <c r="G107" s="55"/>
      <c r="I107" s="47"/>
    </row>
    <row r="108" spans="1:9" ht="15.75" thickBot="1" x14ac:dyDescent="0.25">
      <c r="A108" s="43"/>
      <c r="B108" s="43"/>
      <c r="C108" s="44"/>
      <c r="D108" s="56"/>
      <c r="E108" s="75"/>
      <c r="F108" s="69"/>
      <c r="G108" s="70"/>
      <c r="I108" s="47"/>
    </row>
    <row r="109" spans="1:9" x14ac:dyDescent="0.2">
      <c r="A109" s="43"/>
      <c r="B109" s="43"/>
      <c r="C109" s="44"/>
      <c r="D109" s="56"/>
      <c r="E109" s="65"/>
      <c r="F109" s="67"/>
      <c r="G109" s="106">
        <v>0</v>
      </c>
      <c r="I109" s="47"/>
    </row>
    <row r="110" spans="1:9" x14ac:dyDescent="0.2">
      <c r="A110" s="43"/>
      <c r="B110" s="43"/>
      <c r="C110" s="44"/>
      <c r="D110" s="56"/>
      <c r="E110" s="65"/>
      <c r="F110" s="54" t="s">
        <v>138</v>
      </c>
      <c r="G110" s="55"/>
      <c r="I110" s="47"/>
    </row>
    <row r="111" spans="1:9" x14ac:dyDescent="0.2">
      <c r="A111" s="43"/>
      <c r="B111" s="43"/>
      <c r="C111" s="44"/>
      <c r="D111" s="56"/>
      <c r="E111" s="57" t="str">
        <f>IF(ProjekatEEE=0,"",IF(ProjektnaOrganizacijaEEE=0,"*",""))</f>
        <v/>
      </c>
      <c r="F111" s="99"/>
      <c r="G111" s="58"/>
      <c r="I111" s="47"/>
    </row>
    <row r="112" spans="1:9" x14ac:dyDescent="0.2">
      <c r="A112" s="43"/>
      <c r="B112" s="43"/>
      <c r="C112" s="44"/>
      <c r="D112" s="56"/>
      <c r="E112" s="65"/>
      <c r="F112" s="71" t="s">
        <v>81</v>
      </c>
      <c r="G112" s="55"/>
      <c r="I112" s="47"/>
    </row>
    <row r="113" spans="1:9" ht="15.75" thickBot="1" x14ac:dyDescent="0.25">
      <c r="A113" s="43"/>
      <c r="B113" s="43"/>
      <c r="C113" s="44"/>
      <c r="D113" s="56"/>
      <c r="E113" s="75"/>
      <c r="F113" s="69"/>
      <c r="G113" s="70"/>
      <c r="I113" s="47"/>
    </row>
    <row r="114" spans="1:9" x14ac:dyDescent="0.2">
      <c r="A114" s="43"/>
      <c r="B114" s="43"/>
      <c r="C114" s="44"/>
      <c r="D114" s="56"/>
      <c r="E114" s="65"/>
      <c r="F114" s="67"/>
      <c r="G114" s="106">
        <v>0</v>
      </c>
      <c r="I114" s="47"/>
    </row>
    <row r="115" spans="1:9" x14ac:dyDescent="0.2">
      <c r="A115" s="43"/>
      <c r="B115" s="43"/>
      <c r="C115" s="44"/>
      <c r="D115" s="56"/>
      <c r="E115" s="65"/>
      <c r="F115" s="54" t="s">
        <v>139</v>
      </c>
      <c r="G115" s="55"/>
      <c r="I115" s="47"/>
    </row>
    <row r="116" spans="1:9" x14ac:dyDescent="0.2">
      <c r="A116" s="43"/>
      <c r="B116" s="43"/>
      <c r="C116" s="44"/>
      <c r="D116" s="56"/>
      <c r="E116" s="57" t="str">
        <f>IF(ProjekatPPZ=0,"",IF(ProjektnaOrganizacijaPPZ=0,"*",""))</f>
        <v/>
      </c>
      <c r="F116" s="99"/>
      <c r="G116" s="58"/>
      <c r="I116" s="47"/>
    </row>
    <row r="117" spans="1:9" x14ac:dyDescent="0.2">
      <c r="A117" s="43"/>
      <c r="B117" s="43"/>
      <c r="C117" s="44"/>
      <c r="D117" s="56"/>
      <c r="E117" s="65"/>
      <c r="F117" s="71" t="s">
        <v>81</v>
      </c>
      <c r="G117" s="55"/>
      <c r="I117" s="47"/>
    </row>
    <row r="118" spans="1:9" ht="15.75" thickBot="1" x14ac:dyDescent="0.25">
      <c r="A118" s="43"/>
      <c r="B118" s="43"/>
      <c r="C118" s="44"/>
      <c r="D118" s="56"/>
      <c r="E118" s="75"/>
      <c r="F118" s="69"/>
      <c r="G118" s="70"/>
      <c r="I118" s="47"/>
    </row>
    <row r="119" spans="1:9" x14ac:dyDescent="0.2">
      <c r="A119" s="43"/>
      <c r="B119" s="43"/>
      <c r="C119" s="44"/>
      <c r="E119" s="65"/>
      <c r="F119" s="67"/>
      <c r="G119" s="65"/>
      <c r="I119" s="47"/>
    </row>
    <row r="120" spans="1:9" ht="15.75" thickBot="1" x14ac:dyDescent="0.25">
      <c r="A120" s="43"/>
      <c r="B120" s="43"/>
      <c r="C120" s="44"/>
      <c r="E120" s="49" t="s">
        <v>20</v>
      </c>
      <c r="F120" s="48"/>
      <c r="I120" s="47"/>
    </row>
    <row r="121" spans="1:9" x14ac:dyDescent="0.2">
      <c r="A121" s="43"/>
      <c r="B121" s="43"/>
      <c r="C121" s="44"/>
      <c r="D121" s="55"/>
      <c r="E121" s="74"/>
      <c r="F121" s="51"/>
      <c r="G121" s="52"/>
      <c r="I121" s="47"/>
    </row>
    <row r="122" spans="1:9" x14ac:dyDescent="0.2">
      <c r="A122" s="43"/>
      <c r="B122" s="43"/>
      <c r="C122" s="44"/>
      <c r="D122" s="55"/>
      <c r="E122" s="65"/>
      <c r="F122" s="54" t="s">
        <v>9</v>
      </c>
      <c r="G122" s="55"/>
      <c r="I122" s="47"/>
    </row>
    <row r="123" spans="1:9" x14ac:dyDescent="0.2">
      <c r="A123" s="43"/>
      <c r="B123" s="43"/>
      <c r="C123" s="44"/>
      <c r="D123" s="55"/>
      <c r="E123" s="57" t="str">
        <f>IF(F123=0,"*","")</f>
        <v>*</v>
      </c>
      <c r="F123" s="99"/>
      <c r="G123" s="58"/>
      <c r="I123" s="47"/>
    </row>
    <row r="124" spans="1:9" x14ac:dyDescent="0.2">
      <c r="A124" s="43"/>
      <c r="B124" s="43"/>
      <c r="C124" s="44"/>
      <c r="D124" s="55"/>
      <c r="E124" s="65"/>
      <c r="F124" s="71" t="s">
        <v>82</v>
      </c>
      <c r="G124" s="55"/>
      <c r="I124" s="47"/>
    </row>
    <row r="125" spans="1:9" ht="15.75" thickBot="1" x14ac:dyDescent="0.25">
      <c r="A125" s="43"/>
      <c r="B125" s="43"/>
      <c r="C125" s="44"/>
      <c r="D125" s="55"/>
      <c r="E125" s="75"/>
      <c r="F125" s="69"/>
      <c r="G125" s="70"/>
      <c r="I125" s="47"/>
    </row>
    <row r="126" spans="1:9" x14ac:dyDescent="0.2">
      <c r="A126" s="43"/>
      <c r="B126" s="43"/>
      <c r="C126" s="44"/>
      <c r="D126" s="55"/>
      <c r="E126" s="74"/>
      <c r="F126" s="51"/>
      <c r="G126" s="52"/>
      <c r="I126" s="47"/>
    </row>
    <row r="127" spans="1:9" x14ac:dyDescent="0.2">
      <c r="A127" s="43"/>
      <c r="B127" s="43"/>
      <c r="C127" s="44"/>
      <c r="D127" s="55"/>
      <c r="E127" s="65"/>
      <c r="F127" s="54" t="s">
        <v>21</v>
      </c>
      <c r="G127" s="55"/>
      <c r="I127" s="47"/>
    </row>
    <row r="128" spans="1:9" x14ac:dyDescent="0.2">
      <c r="A128" s="43"/>
      <c r="B128" s="43"/>
      <c r="C128" s="44"/>
      <c r="D128" s="55"/>
      <c r="E128" s="57" t="str">
        <f>IF(ProjekatA=0,"",IF(OdgovorniProjektantA=0,"*",""))</f>
        <v/>
      </c>
      <c r="F128" s="99"/>
      <c r="G128" s="58"/>
      <c r="I128" s="47"/>
    </row>
    <row r="129" spans="1:9" x14ac:dyDescent="0.2">
      <c r="A129" s="43"/>
      <c r="B129" s="43"/>
      <c r="C129" s="44"/>
      <c r="D129" s="55"/>
      <c r="E129" s="65"/>
      <c r="F129" s="71" t="s">
        <v>82</v>
      </c>
      <c r="G129" s="55"/>
      <c r="I129" s="47"/>
    </row>
    <row r="130" spans="1:9" ht="15.75" thickBot="1" x14ac:dyDescent="0.25">
      <c r="A130" s="43"/>
      <c r="B130" s="43"/>
      <c r="C130" s="44"/>
      <c r="D130" s="55"/>
      <c r="E130" s="75"/>
      <c r="F130" s="69"/>
      <c r="G130" s="70"/>
      <c r="I130" s="47"/>
    </row>
    <row r="131" spans="1:9" x14ac:dyDescent="0.2">
      <c r="A131" s="43"/>
      <c r="B131" s="43"/>
      <c r="C131" s="44"/>
      <c r="D131" s="56"/>
      <c r="E131" s="74"/>
      <c r="F131" s="51"/>
      <c r="G131" s="52"/>
      <c r="I131" s="47"/>
    </row>
    <row r="132" spans="1:9" x14ac:dyDescent="0.2">
      <c r="A132" s="43"/>
      <c r="B132" s="43"/>
      <c r="C132" s="44"/>
      <c r="D132" s="56"/>
      <c r="E132" s="65"/>
      <c r="F132" s="54" t="s">
        <v>140</v>
      </c>
      <c r="G132" s="55"/>
      <c r="I132" s="47"/>
    </row>
    <row r="133" spans="1:9" x14ac:dyDescent="0.2">
      <c r="A133" s="43"/>
      <c r="B133" s="43"/>
      <c r="C133" s="44"/>
      <c r="D133" s="56"/>
      <c r="E133" s="57" t="str">
        <f>IF(ProjekatK=0,"",IF(OdgovorniProjektantK=0,"*",""))</f>
        <v/>
      </c>
      <c r="F133" s="99"/>
      <c r="G133" s="58"/>
      <c r="I133" s="47"/>
    </row>
    <row r="134" spans="1:9" x14ac:dyDescent="0.2">
      <c r="A134" s="43"/>
      <c r="B134" s="43"/>
      <c r="C134" s="44"/>
      <c r="D134" s="56"/>
      <c r="E134" s="65"/>
      <c r="F134" s="71" t="s">
        <v>82</v>
      </c>
      <c r="G134" s="55"/>
      <c r="I134" s="47"/>
    </row>
    <row r="135" spans="1:9" ht="15.75" thickBot="1" x14ac:dyDescent="0.25">
      <c r="A135" s="43"/>
      <c r="B135" s="43"/>
      <c r="C135" s="44"/>
      <c r="D135" s="56"/>
      <c r="E135" s="75"/>
      <c r="F135" s="69"/>
      <c r="G135" s="70"/>
      <c r="I135" s="47"/>
    </row>
    <row r="136" spans="1:9" x14ac:dyDescent="0.2">
      <c r="A136" s="43"/>
      <c r="B136" s="43"/>
      <c r="C136" s="44"/>
      <c r="D136" s="56"/>
      <c r="E136" s="74"/>
      <c r="F136" s="51"/>
      <c r="G136" s="52"/>
      <c r="I136" s="47"/>
    </row>
    <row r="137" spans="1:9" x14ac:dyDescent="0.2">
      <c r="A137" s="43"/>
      <c r="B137" s="43"/>
      <c r="C137" s="44"/>
      <c r="D137" s="56"/>
      <c r="E137" s="65"/>
      <c r="F137" s="54" t="s">
        <v>141</v>
      </c>
      <c r="G137" s="55"/>
      <c r="I137" s="47"/>
    </row>
    <row r="138" spans="1:9" x14ac:dyDescent="0.2">
      <c r="A138" s="43"/>
      <c r="B138" s="43"/>
      <c r="C138" s="44"/>
      <c r="D138" s="56"/>
      <c r="E138" s="57" t="str">
        <f>IF(ProjekatH=0,"",IF(OdgovorniProjektantH=0,"*",""))</f>
        <v/>
      </c>
      <c r="F138" s="99"/>
      <c r="G138" s="58"/>
      <c r="I138" s="47"/>
    </row>
    <row r="139" spans="1:9" x14ac:dyDescent="0.2">
      <c r="A139" s="43"/>
      <c r="B139" s="43"/>
      <c r="C139" s="44"/>
      <c r="D139" s="56"/>
      <c r="E139" s="65"/>
      <c r="F139" s="71" t="s">
        <v>82</v>
      </c>
      <c r="G139" s="55"/>
      <c r="I139" s="47"/>
    </row>
    <row r="140" spans="1:9" ht="15.75" thickBot="1" x14ac:dyDescent="0.25">
      <c r="A140" s="43"/>
      <c r="B140" s="43"/>
      <c r="C140" s="44"/>
      <c r="D140" s="56"/>
      <c r="E140" s="75"/>
      <c r="F140" s="69"/>
      <c r="G140" s="70"/>
      <c r="I140" s="47"/>
    </row>
    <row r="141" spans="1:9" x14ac:dyDescent="0.2">
      <c r="A141" s="43"/>
      <c r="B141" s="43"/>
      <c r="C141" s="44"/>
      <c r="D141" s="56"/>
      <c r="E141" s="74"/>
      <c r="F141" s="51"/>
      <c r="G141" s="52"/>
      <c r="I141" s="47"/>
    </row>
    <row r="142" spans="1:9" x14ac:dyDescent="0.2">
      <c r="A142" s="43"/>
      <c r="B142" s="43"/>
      <c r="C142" s="44"/>
      <c r="D142" s="56"/>
      <c r="E142" s="65"/>
      <c r="F142" s="54" t="s">
        <v>142</v>
      </c>
      <c r="G142" s="55"/>
      <c r="I142" s="47"/>
    </row>
    <row r="143" spans="1:9" x14ac:dyDescent="0.2">
      <c r="A143" s="43"/>
      <c r="B143" s="43"/>
      <c r="C143" s="44"/>
      <c r="D143" s="56"/>
      <c r="E143" s="57" t="str">
        <f>IF(ProjekatE=0,"",IF(OdgovorniProjektantE=0,"*",""))</f>
        <v/>
      </c>
      <c r="F143" s="99"/>
      <c r="G143" s="58"/>
      <c r="I143" s="47"/>
    </row>
    <row r="144" spans="1:9" x14ac:dyDescent="0.2">
      <c r="A144" s="43"/>
      <c r="B144" s="43"/>
      <c r="C144" s="44"/>
      <c r="D144" s="56"/>
      <c r="E144" s="65"/>
      <c r="F144" s="71" t="s">
        <v>82</v>
      </c>
      <c r="G144" s="55"/>
      <c r="I144" s="47"/>
    </row>
    <row r="145" spans="1:9" ht="15.75" thickBot="1" x14ac:dyDescent="0.25">
      <c r="A145" s="43"/>
      <c r="B145" s="43"/>
      <c r="C145" s="44"/>
      <c r="D145" s="56"/>
      <c r="E145" s="75"/>
      <c r="F145" s="69"/>
      <c r="G145" s="70"/>
      <c r="I145" s="47"/>
    </row>
    <row r="146" spans="1:9" x14ac:dyDescent="0.2">
      <c r="A146" s="43"/>
      <c r="B146" s="43"/>
      <c r="C146" s="44"/>
      <c r="D146" s="56"/>
      <c r="E146" s="74"/>
      <c r="F146" s="51"/>
      <c r="G146" s="52"/>
      <c r="I146" s="47"/>
    </row>
    <row r="147" spans="1:9" x14ac:dyDescent="0.2">
      <c r="A147" s="43"/>
      <c r="B147" s="43"/>
      <c r="C147" s="44"/>
      <c r="D147" s="56"/>
      <c r="E147" s="65"/>
      <c r="F147" s="54" t="s">
        <v>143</v>
      </c>
      <c r="G147" s="55"/>
      <c r="I147" s="47"/>
    </row>
    <row r="148" spans="1:9" x14ac:dyDescent="0.2">
      <c r="A148" s="43"/>
      <c r="B148" s="43"/>
      <c r="C148" s="44"/>
      <c r="D148" s="56"/>
      <c r="E148" s="57" t="str">
        <f>IF(ProjekatTS=0,"",IF(OdgovorniProjektantTS=0,"*",""))</f>
        <v/>
      </c>
      <c r="F148" s="99"/>
      <c r="G148" s="58"/>
      <c r="I148" s="47"/>
    </row>
    <row r="149" spans="1:9" x14ac:dyDescent="0.2">
      <c r="A149" s="43"/>
      <c r="B149" s="43"/>
      <c r="C149" s="44"/>
      <c r="D149" s="56"/>
      <c r="E149" s="65"/>
      <c r="F149" s="71" t="s">
        <v>82</v>
      </c>
      <c r="G149" s="55"/>
      <c r="I149" s="47"/>
    </row>
    <row r="150" spans="1:9" ht="15.75" thickBot="1" x14ac:dyDescent="0.25">
      <c r="A150" s="43"/>
      <c r="B150" s="43"/>
      <c r="C150" s="44"/>
      <c r="D150" s="56"/>
      <c r="E150" s="75"/>
      <c r="F150" s="69"/>
      <c r="G150" s="70"/>
      <c r="I150" s="47"/>
    </row>
    <row r="151" spans="1:9" x14ac:dyDescent="0.2">
      <c r="A151" s="43"/>
      <c r="B151" s="43"/>
      <c r="C151" s="44"/>
      <c r="D151" s="56"/>
      <c r="E151" s="74"/>
      <c r="F151" s="51"/>
      <c r="G151" s="52"/>
      <c r="I151" s="47"/>
    </row>
    <row r="152" spans="1:9" x14ac:dyDescent="0.2">
      <c r="A152" s="43"/>
      <c r="B152" s="43"/>
      <c r="C152" s="44"/>
      <c r="D152" s="56"/>
      <c r="E152" s="65"/>
      <c r="F152" s="54" t="s">
        <v>144</v>
      </c>
      <c r="G152" s="55"/>
      <c r="I152" s="47"/>
    </row>
    <row r="153" spans="1:9" x14ac:dyDescent="0.2">
      <c r="A153" s="43"/>
      <c r="B153" s="43"/>
      <c r="C153" s="44"/>
      <c r="D153" s="56"/>
      <c r="E153" s="57" t="str">
        <f>IF(ProjekatM=0,"",IF(OdgovorniProjektantM=0,"*",""))</f>
        <v/>
      </c>
      <c r="F153" s="99"/>
      <c r="G153" s="58"/>
      <c r="I153" s="47"/>
    </row>
    <row r="154" spans="1:9" x14ac:dyDescent="0.2">
      <c r="A154" s="43"/>
      <c r="B154" s="43"/>
      <c r="C154" s="44"/>
      <c r="D154" s="56"/>
      <c r="E154" s="65"/>
      <c r="F154" s="71" t="s">
        <v>82</v>
      </c>
      <c r="G154" s="55"/>
      <c r="I154" s="47"/>
    </row>
    <row r="155" spans="1:9" ht="15.75" thickBot="1" x14ac:dyDescent="0.25">
      <c r="A155" s="43"/>
      <c r="B155" s="43"/>
      <c r="C155" s="44"/>
      <c r="D155" s="56"/>
      <c r="E155" s="75"/>
      <c r="F155" s="69"/>
      <c r="G155" s="70"/>
      <c r="I155" s="47"/>
    </row>
    <row r="156" spans="1:9" x14ac:dyDescent="0.2">
      <c r="A156" s="43"/>
      <c r="B156" s="43"/>
      <c r="C156" s="44"/>
      <c r="D156" s="56"/>
      <c r="E156" s="74"/>
      <c r="F156" s="51"/>
      <c r="G156" s="52"/>
      <c r="I156" s="47"/>
    </row>
    <row r="157" spans="1:9" x14ac:dyDescent="0.2">
      <c r="A157" s="43"/>
      <c r="B157" s="43"/>
      <c r="C157" s="44"/>
      <c r="D157" s="56"/>
      <c r="E157" s="65"/>
      <c r="F157" s="54" t="s">
        <v>146</v>
      </c>
      <c r="G157" s="55"/>
      <c r="I157" s="47"/>
    </row>
    <row r="158" spans="1:9" x14ac:dyDescent="0.2">
      <c r="A158" s="43"/>
      <c r="B158" s="43"/>
      <c r="C158" s="44"/>
      <c r="D158" s="56"/>
      <c r="E158" s="57" t="str">
        <f>IF(ProjekatEEE=0,"",IF(OdgovorniProjektantEEE=0,"*",""))</f>
        <v/>
      </c>
      <c r="F158" s="99"/>
      <c r="G158" s="58"/>
      <c r="I158" s="47"/>
    </row>
    <row r="159" spans="1:9" x14ac:dyDescent="0.2">
      <c r="A159" s="43"/>
      <c r="B159" s="43"/>
      <c r="C159" s="44"/>
      <c r="D159" s="56"/>
      <c r="E159" s="65"/>
      <c r="F159" s="71" t="s">
        <v>82</v>
      </c>
      <c r="G159" s="55"/>
      <c r="I159" s="47"/>
    </row>
    <row r="160" spans="1:9" ht="15.75" thickBot="1" x14ac:dyDescent="0.25">
      <c r="A160" s="43"/>
      <c r="B160" s="43"/>
      <c r="C160" s="44"/>
      <c r="D160" s="56"/>
      <c r="E160" s="75"/>
      <c r="F160" s="69"/>
      <c r="G160" s="70"/>
      <c r="I160" s="47"/>
    </row>
    <row r="161" spans="1:9" x14ac:dyDescent="0.2">
      <c r="A161" s="43"/>
      <c r="B161" s="43"/>
      <c r="C161" s="44"/>
      <c r="D161" s="56"/>
      <c r="E161" s="74"/>
      <c r="F161" s="51"/>
      <c r="G161" s="52"/>
      <c r="I161" s="47"/>
    </row>
    <row r="162" spans="1:9" x14ac:dyDescent="0.2">
      <c r="A162" s="43"/>
      <c r="B162" s="43"/>
      <c r="C162" s="44"/>
      <c r="D162" s="56"/>
      <c r="E162" s="65"/>
      <c r="F162" s="54" t="s">
        <v>145</v>
      </c>
      <c r="G162" s="55"/>
      <c r="I162" s="47"/>
    </row>
    <row r="163" spans="1:9" x14ac:dyDescent="0.2">
      <c r="A163" s="43"/>
      <c r="B163" s="43"/>
      <c r="C163" s="44"/>
      <c r="D163" s="56"/>
      <c r="E163" s="57" t="str">
        <f>IF(ProjekatPPZ=0,"",IF(OdgovorniProjektantPPZ=0,"*",""))</f>
        <v/>
      </c>
      <c r="F163" s="99"/>
      <c r="G163" s="58"/>
      <c r="I163" s="47"/>
    </row>
    <row r="164" spans="1:9" x14ac:dyDescent="0.2">
      <c r="A164" s="43"/>
      <c r="B164" s="43"/>
      <c r="C164" s="44"/>
      <c r="D164" s="56"/>
      <c r="E164" s="65"/>
      <c r="F164" s="71" t="s">
        <v>82</v>
      </c>
      <c r="G164" s="55"/>
      <c r="I164" s="47"/>
    </row>
    <row r="165" spans="1:9" ht="15.75" thickBot="1" x14ac:dyDescent="0.25">
      <c r="A165" s="43"/>
      <c r="B165" s="43"/>
      <c r="C165" s="44"/>
      <c r="D165" s="56"/>
      <c r="E165" s="75"/>
      <c r="F165" s="69"/>
      <c r="G165" s="70"/>
      <c r="I165" s="47"/>
    </row>
    <row r="166" spans="1:9" x14ac:dyDescent="0.2">
      <c r="A166" s="43"/>
      <c r="B166" s="43"/>
      <c r="C166" s="44"/>
      <c r="F166" s="48"/>
      <c r="I166" s="47"/>
    </row>
    <row r="167" spans="1:9" ht="15.75" thickBot="1" x14ac:dyDescent="0.25">
      <c r="A167" s="43"/>
      <c r="B167" s="43"/>
      <c r="C167" s="44"/>
      <c r="E167" s="49" t="s">
        <v>22</v>
      </c>
      <c r="F167" s="48"/>
      <c r="I167" s="47"/>
    </row>
    <row r="168" spans="1:9" x14ac:dyDescent="0.2">
      <c r="A168" s="43"/>
      <c r="B168" s="43"/>
      <c r="C168" s="44"/>
      <c r="D168" s="55"/>
      <c r="E168" s="74"/>
      <c r="F168" s="51"/>
      <c r="G168" s="52"/>
      <c r="I168" s="47"/>
    </row>
    <row r="169" spans="1:9" x14ac:dyDescent="0.2">
      <c r="A169" s="43"/>
      <c r="B169" s="43"/>
      <c r="C169" s="44"/>
      <c r="D169" s="55"/>
      <c r="E169" s="65"/>
      <c r="F169" s="54" t="s">
        <v>23</v>
      </c>
      <c r="G169" s="55"/>
      <c r="I169" s="47"/>
    </row>
    <row r="170" spans="1:9" x14ac:dyDescent="0.2">
      <c r="A170" s="43"/>
      <c r="B170" s="43"/>
      <c r="C170" s="44"/>
      <c r="D170" s="55"/>
      <c r="E170" s="57" t="str">
        <f>IF(F170=0,"*","")</f>
        <v>*</v>
      </c>
      <c r="F170" s="99"/>
      <c r="G170" s="58"/>
      <c r="I170" s="47"/>
    </row>
    <row r="171" spans="1:9" x14ac:dyDescent="0.2">
      <c r="A171" s="43"/>
      <c r="B171" s="43"/>
      <c r="C171" s="44"/>
      <c r="D171" s="55"/>
      <c r="E171" s="65"/>
      <c r="F171" s="71" t="s">
        <v>84</v>
      </c>
      <c r="G171" s="55"/>
      <c r="I171" s="47"/>
    </row>
    <row r="172" spans="1:9" x14ac:dyDescent="0.2">
      <c r="A172" s="43"/>
      <c r="B172" s="43"/>
      <c r="C172" s="44"/>
      <c r="D172" s="55"/>
      <c r="E172" s="65"/>
      <c r="F172" s="67"/>
      <c r="G172" s="55"/>
      <c r="I172" s="47"/>
    </row>
    <row r="173" spans="1:9" x14ac:dyDescent="0.2">
      <c r="A173" s="43"/>
      <c r="B173" s="43"/>
      <c r="C173" s="44"/>
      <c r="D173" s="55"/>
      <c r="E173" s="65"/>
      <c r="F173" s="54" t="s">
        <v>24</v>
      </c>
      <c r="G173" s="55"/>
      <c r="I173" s="47"/>
    </row>
    <row r="174" spans="1:9" x14ac:dyDescent="0.2">
      <c r="A174" s="43"/>
      <c r="B174" s="43"/>
      <c r="C174" s="44"/>
      <c r="D174" s="55"/>
      <c r="E174" s="57" t="str">
        <f>IF(F174=0,"*","")</f>
        <v>*</v>
      </c>
      <c r="F174" s="99"/>
      <c r="G174" s="58"/>
      <c r="I174" s="47"/>
    </row>
    <row r="175" spans="1:9" x14ac:dyDescent="0.2">
      <c r="A175" s="43"/>
      <c r="B175" s="43"/>
      <c r="C175" s="44"/>
      <c r="D175" s="55"/>
      <c r="E175" s="65"/>
      <c r="F175" s="71" t="s">
        <v>85</v>
      </c>
      <c r="G175" s="55"/>
      <c r="I175" s="47"/>
    </row>
    <row r="176" spans="1:9" x14ac:dyDescent="0.2">
      <c r="A176" s="43"/>
      <c r="B176" s="43"/>
      <c r="C176" s="44"/>
      <c r="D176" s="55"/>
      <c r="E176" s="65"/>
      <c r="F176" s="67"/>
      <c r="G176" s="55"/>
      <c r="I176" s="47"/>
    </row>
    <row r="177" spans="1:9" x14ac:dyDescent="0.2">
      <c r="A177" s="43"/>
      <c r="B177" s="43"/>
      <c r="C177" s="44"/>
      <c r="D177" s="55"/>
      <c r="E177" s="65"/>
      <c r="F177" s="54" t="s">
        <v>25</v>
      </c>
      <c r="G177" s="55"/>
      <c r="I177" s="47"/>
    </row>
    <row r="178" spans="1:9" x14ac:dyDescent="0.2">
      <c r="A178" s="43"/>
      <c r="B178" s="43"/>
      <c r="C178" s="44"/>
      <c r="D178" s="55"/>
      <c r="E178" s="57" t="str">
        <f>IF(F178=0,"*","")</f>
        <v>*</v>
      </c>
      <c r="F178" s="99"/>
      <c r="G178" s="58"/>
      <c r="I178" s="47"/>
    </row>
    <row r="179" spans="1:9" x14ac:dyDescent="0.2">
      <c r="A179" s="43"/>
      <c r="B179" s="43"/>
      <c r="C179" s="44"/>
      <c r="D179" s="55"/>
      <c r="E179" s="65"/>
      <c r="F179" s="71" t="s">
        <v>86</v>
      </c>
      <c r="G179" s="55"/>
      <c r="I179" s="47"/>
    </row>
    <row r="180" spans="1:9" x14ac:dyDescent="0.2">
      <c r="A180" s="43"/>
      <c r="B180" s="43"/>
      <c r="C180" s="44"/>
      <c r="D180" s="55"/>
      <c r="E180" s="65"/>
      <c r="F180" s="67"/>
      <c r="G180" s="55"/>
      <c r="I180" s="47"/>
    </row>
    <row r="181" spans="1:9" x14ac:dyDescent="0.2">
      <c r="A181" s="43"/>
      <c r="B181" s="43"/>
      <c r="C181" s="44"/>
      <c r="D181" s="55"/>
      <c r="E181" s="65"/>
      <c r="F181" s="54" t="s">
        <v>26</v>
      </c>
      <c r="G181" s="55"/>
      <c r="I181" s="47"/>
    </row>
    <row r="182" spans="1:9" x14ac:dyDescent="0.2">
      <c r="A182" s="43"/>
      <c r="B182" s="43"/>
      <c r="C182" s="44"/>
      <c r="D182" s="55"/>
      <c r="E182" s="57" t="str">
        <f>IF(F182=0,"*","")</f>
        <v>*</v>
      </c>
      <c r="F182" s="99"/>
      <c r="G182" s="58"/>
      <c r="I182" s="47"/>
    </row>
    <row r="183" spans="1:9" x14ac:dyDescent="0.2">
      <c r="A183" s="43"/>
      <c r="B183" s="43"/>
      <c r="C183" s="44"/>
      <c r="D183" s="55"/>
      <c r="E183" s="65"/>
      <c r="F183" s="71" t="s">
        <v>87</v>
      </c>
      <c r="G183" s="55"/>
      <c r="I183" s="47"/>
    </row>
    <row r="184" spans="1:9" x14ac:dyDescent="0.2">
      <c r="A184" s="43"/>
      <c r="B184" s="43"/>
      <c r="C184" s="44"/>
      <c r="D184" s="55"/>
      <c r="E184" s="65"/>
      <c r="F184" s="67"/>
      <c r="G184" s="55"/>
      <c r="I184" s="47"/>
    </row>
    <row r="185" spans="1:9" x14ac:dyDescent="0.2">
      <c r="A185" s="43"/>
      <c r="B185" s="43"/>
      <c r="C185" s="44"/>
      <c r="D185" s="55"/>
      <c r="E185" s="65"/>
      <c r="F185" s="54" t="s">
        <v>27</v>
      </c>
      <c r="G185" s="55"/>
      <c r="I185" s="47"/>
    </row>
    <row r="186" spans="1:9" x14ac:dyDescent="0.2">
      <c r="A186" s="43"/>
      <c r="B186" s="43"/>
      <c r="C186" s="44"/>
      <c r="D186" s="55"/>
      <c r="E186" s="57" t="str">
        <f>IF(F186=0,"*","")</f>
        <v>*</v>
      </c>
      <c r="F186" s="99"/>
      <c r="G186" s="58"/>
      <c r="I186" s="47"/>
    </row>
    <row r="187" spans="1:9" x14ac:dyDescent="0.2">
      <c r="A187" s="43"/>
      <c r="B187" s="43"/>
      <c r="C187" s="44"/>
      <c r="E187" s="53"/>
      <c r="F187" s="71" t="s">
        <v>88</v>
      </c>
      <c r="G187" s="55"/>
      <c r="I187" s="47"/>
    </row>
    <row r="188" spans="1:9" ht="15.75" thickBot="1" x14ac:dyDescent="0.25">
      <c r="A188" s="43"/>
      <c r="B188" s="43"/>
      <c r="C188" s="44"/>
      <c r="E188" s="68"/>
      <c r="F188" s="69"/>
      <c r="G188" s="70"/>
      <c r="I188" s="47"/>
    </row>
    <row r="189" spans="1:9" x14ac:dyDescent="0.2">
      <c r="A189" s="43"/>
      <c r="B189" s="43"/>
      <c r="C189" s="44"/>
      <c r="F189" s="48"/>
      <c r="I189" s="47"/>
    </row>
    <row r="190" spans="1:9" ht="15.75" thickBot="1" x14ac:dyDescent="0.25">
      <c r="A190" s="43"/>
      <c r="B190" s="43"/>
      <c r="C190" s="44"/>
      <c r="E190" s="49" t="s">
        <v>28</v>
      </c>
      <c r="F190" s="48"/>
      <c r="I190" s="47"/>
    </row>
    <row r="191" spans="1:9" x14ac:dyDescent="0.2">
      <c r="A191" s="43"/>
      <c r="B191" s="43"/>
      <c r="C191" s="44"/>
      <c r="E191" s="50"/>
      <c r="F191" s="51"/>
      <c r="G191" s="52"/>
      <c r="I191" s="47"/>
    </row>
    <row r="192" spans="1:9" x14ac:dyDescent="0.2">
      <c r="A192" s="43"/>
      <c r="B192" s="43"/>
      <c r="C192" s="44"/>
      <c r="D192" s="55"/>
      <c r="E192" s="65"/>
      <c r="F192" s="54" t="s">
        <v>29</v>
      </c>
      <c r="G192" s="55"/>
      <c r="I192" s="47"/>
    </row>
    <row r="193" spans="1:9" x14ac:dyDescent="0.2">
      <c r="A193" s="43"/>
      <c r="B193" s="43"/>
      <c r="C193" s="44"/>
      <c r="D193" s="55"/>
      <c r="E193" s="57" t="str">
        <f>IF(F193=0,"*","")</f>
        <v>*</v>
      </c>
      <c r="F193" s="99"/>
      <c r="G193" s="58"/>
      <c r="I193" s="47"/>
    </row>
    <row r="194" spans="1:9" x14ac:dyDescent="0.2">
      <c r="A194" s="43"/>
      <c r="B194" s="43"/>
      <c r="C194" s="44"/>
      <c r="D194" s="55"/>
      <c r="E194" s="65"/>
      <c r="F194" s="71" t="s">
        <v>89</v>
      </c>
      <c r="G194" s="55"/>
      <c r="I194" s="47"/>
    </row>
    <row r="195" spans="1:9" x14ac:dyDescent="0.2">
      <c r="A195" s="43"/>
      <c r="B195" s="43"/>
      <c r="C195" s="44"/>
      <c r="D195" s="55"/>
      <c r="E195" s="65"/>
      <c r="F195" s="67"/>
      <c r="G195" s="55"/>
      <c r="I195" s="47"/>
    </row>
    <row r="196" spans="1:9" x14ac:dyDescent="0.2">
      <c r="A196" s="43"/>
      <c r="B196" s="43"/>
      <c r="C196" s="44"/>
      <c r="D196" s="55"/>
      <c r="E196" s="65"/>
      <c r="F196" s="54" t="s">
        <v>30</v>
      </c>
      <c r="G196" s="55"/>
      <c r="I196" s="47"/>
    </row>
    <row r="197" spans="1:9" x14ac:dyDescent="0.2">
      <c r="A197" s="43"/>
      <c r="B197" s="43"/>
      <c r="C197" s="44"/>
      <c r="D197" s="55"/>
      <c r="E197" s="57" t="str">
        <f>IF(F197=0,"*","")</f>
        <v>*</v>
      </c>
      <c r="F197" s="99"/>
      <c r="G197" s="58"/>
      <c r="I197" s="47"/>
    </row>
    <row r="198" spans="1:9" x14ac:dyDescent="0.2">
      <c r="A198" s="43"/>
      <c r="B198" s="43"/>
      <c r="C198" s="44"/>
      <c r="D198" s="55"/>
      <c r="E198" s="65"/>
      <c r="F198" s="71" t="s">
        <v>90</v>
      </c>
      <c r="G198" s="55"/>
      <c r="I198" s="47"/>
    </row>
    <row r="199" spans="1:9" x14ac:dyDescent="0.2">
      <c r="A199" s="43"/>
      <c r="B199" s="43"/>
      <c r="C199" s="44"/>
      <c r="D199" s="55"/>
      <c r="E199" s="65"/>
      <c r="F199" s="67"/>
      <c r="G199" s="55"/>
      <c r="I199" s="47"/>
    </row>
    <row r="200" spans="1:9" x14ac:dyDescent="0.2">
      <c r="A200" s="43"/>
      <c r="B200" s="43"/>
      <c r="C200" s="44"/>
      <c r="D200" s="55"/>
      <c r="E200" s="65"/>
      <c r="F200" s="54" t="s">
        <v>31</v>
      </c>
      <c r="G200" s="55"/>
      <c r="I200" s="47"/>
    </row>
    <row r="201" spans="1:9" x14ac:dyDescent="0.2">
      <c r="A201" s="43"/>
      <c r="B201" s="43"/>
      <c r="C201" s="44"/>
      <c r="D201" s="55"/>
      <c r="E201" s="57" t="str">
        <f>IF(F201=0,"*","")</f>
        <v>*</v>
      </c>
      <c r="F201" s="99"/>
      <c r="G201" s="58"/>
      <c r="I201" s="47"/>
    </row>
    <row r="202" spans="1:9" x14ac:dyDescent="0.2">
      <c r="A202" s="43"/>
      <c r="B202" s="43"/>
      <c r="C202" s="44"/>
      <c r="E202" s="53"/>
      <c r="F202" s="71" t="s">
        <v>91</v>
      </c>
      <c r="G202" s="55"/>
      <c r="I202" s="47"/>
    </row>
    <row r="203" spans="1:9" ht="15.75" thickBot="1" x14ac:dyDescent="0.25">
      <c r="A203" s="43"/>
      <c r="B203" s="43"/>
      <c r="C203" s="44"/>
      <c r="E203" s="68"/>
      <c r="F203" s="69"/>
      <c r="G203" s="70"/>
      <c r="I203" s="47"/>
    </row>
    <row r="204" spans="1:9" x14ac:dyDescent="0.2">
      <c r="A204" s="43"/>
      <c r="B204" s="43"/>
      <c r="C204" s="44"/>
      <c r="F204" s="48"/>
      <c r="I204" s="47"/>
    </row>
    <row r="205" spans="1:9" ht="15.75" thickBot="1" x14ac:dyDescent="0.25">
      <c r="A205" s="43"/>
      <c r="B205" s="43"/>
      <c r="C205" s="44"/>
      <c r="E205" s="49" t="s">
        <v>69</v>
      </c>
      <c r="F205" s="48"/>
      <c r="I205" s="47"/>
    </row>
    <row r="206" spans="1:9" x14ac:dyDescent="0.2">
      <c r="A206" s="43"/>
      <c r="B206" s="43"/>
      <c r="C206" s="44"/>
      <c r="E206" s="50"/>
      <c r="F206" s="51"/>
      <c r="G206" s="52"/>
      <c r="I206" s="47"/>
    </row>
    <row r="207" spans="1:9" x14ac:dyDescent="0.2">
      <c r="A207" s="43"/>
      <c r="B207" s="43"/>
      <c r="C207" s="44"/>
      <c r="D207" s="55"/>
      <c r="E207" s="65"/>
      <c r="F207" s="54" t="s">
        <v>164</v>
      </c>
      <c r="G207" s="55"/>
      <c r="I207" s="47"/>
    </row>
    <row r="208" spans="1:9" x14ac:dyDescent="0.2">
      <c r="A208" s="43"/>
      <c r="B208" s="43"/>
      <c r="C208" s="44"/>
      <c r="D208" s="55"/>
      <c r="E208" s="57" t="str">
        <f>IF(F208=0,"*","")</f>
        <v>*</v>
      </c>
      <c r="F208" s="99"/>
      <c r="G208" s="58"/>
      <c r="I208" s="47"/>
    </row>
    <row r="209" spans="1:9" x14ac:dyDescent="0.2">
      <c r="A209" s="43"/>
      <c r="B209" s="43"/>
      <c r="C209" s="44"/>
      <c r="E209" s="53"/>
      <c r="F209" s="71" t="s">
        <v>92</v>
      </c>
      <c r="G209" s="55"/>
      <c r="I209" s="47"/>
    </row>
    <row r="210" spans="1:9" ht="15.75" thickBot="1" x14ac:dyDescent="0.25">
      <c r="A210" s="43"/>
      <c r="B210" s="43"/>
      <c r="C210" s="44"/>
      <c r="E210" s="68"/>
      <c r="F210" s="69"/>
      <c r="G210" s="70"/>
      <c r="I210" s="47"/>
    </row>
    <row r="211" spans="1:9" x14ac:dyDescent="0.2">
      <c r="A211" s="43"/>
      <c r="B211" s="43"/>
      <c r="C211" s="44"/>
      <c r="F211" s="48"/>
      <c r="I211" s="47"/>
    </row>
    <row r="212" spans="1:9" ht="15.75" thickBot="1" x14ac:dyDescent="0.25">
      <c r="A212" s="43"/>
      <c r="B212" s="43"/>
      <c r="C212" s="44"/>
      <c r="E212" s="49" t="s">
        <v>32</v>
      </c>
      <c r="F212" s="48"/>
      <c r="I212" s="47"/>
    </row>
    <row r="213" spans="1:9" x14ac:dyDescent="0.2">
      <c r="A213" s="43"/>
      <c r="B213" s="43"/>
      <c r="C213" s="44"/>
      <c r="E213" s="50"/>
      <c r="F213" s="51"/>
      <c r="G213" s="52"/>
      <c r="I213" s="47"/>
    </row>
    <row r="214" spans="1:9" x14ac:dyDescent="0.2">
      <c r="A214" s="43"/>
      <c r="B214" s="43"/>
      <c r="C214" s="44"/>
      <c r="D214" s="55"/>
      <c r="E214" s="65"/>
      <c r="F214" s="54" t="s">
        <v>94</v>
      </c>
      <c r="G214" s="55"/>
      <c r="I214" s="47"/>
    </row>
    <row r="215" spans="1:9" x14ac:dyDescent="0.2">
      <c r="A215" s="43"/>
      <c r="B215" s="43"/>
      <c r="C215" s="44"/>
      <c r="D215" s="55"/>
      <c r="E215" s="57" t="str">
        <f>IF(F215=0,"*","")</f>
        <v>*</v>
      </c>
      <c r="F215" s="100"/>
      <c r="G215" s="58"/>
      <c r="I215" s="47"/>
    </row>
    <row r="216" spans="1:9" x14ac:dyDescent="0.2">
      <c r="A216" s="43"/>
      <c r="B216" s="43"/>
      <c r="C216" s="44"/>
      <c r="D216" s="55"/>
      <c r="E216" s="65"/>
      <c r="F216" s="71" t="s">
        <v>93</v>
      </c>
      <c r="G216" s="55"/>
      <c r="I216" s="47"/>
    </row>
    <row r="217" spans="1:9" x14ac:dyDescent="0.2">
      <c r="A217" s="43"/>
      <c r="B217" s="43"/>
      <c r="C217" s="44"/>
      <c r="D217" s="55"/>
      <c r="E217" s="65"/>
      <c r="F217" s="67"/>
      <c r="G217" s="55"/>
      <c r="I217" s="47"/>
    </row>
    <row r="218" spans="1:9" x14ac:dyDescent="0.2">
      <c r="A218" s="43"/>
      <c r="B218" s="43"/>
      <c r="C218" s="44"/>
      <c r="D218" s="55"/>
      <c r="E218" s="65"/>
      <c r="F218" s="54" t="s">
        <v>95</v>
      </c>
      <c r="G218" s="55"/>
      <c r="I218" s="47"/>
    </row>
    <row r="219" spans="1:9" x14ac:dyDescent="0.2">
      <c r="A219" s="43"/>
      <c r="B219" s="43"/>
      <c r="C219" s="44"/>
      <c r="D219" s="55"/>
      <c r="E219" s="57" t="str">
        <f>IF(F219=0,"*","")</f>
        <v>*</v>
      </c>
      <c r="F219" s="100"/>
      <c r="G219" s="58"/>
      <c r="I219" s="47"/>
    </row>
    <row r="220" spans="1:9" x14ac:dyDescent="0.2">
      <c r="A220" s="43"/>
      <c r="B220" s="43"/>
      <c r="C220" s="44"/>
      <c r="D220" s="55"/>
      <c r="E220" s="65"/>
      <c r="F220" s="71" t="s">
        <v>96</v>
      </c>
      <c r="G220" s="55"/>
      <c r="I220" s="47"/>
    </row>
    <row r="221" spans="1:9" x14ac:dyDescent="0.2">
      <c r="A221" s="43"/>
      <c r="B221" s="43"/>
      <c r="C221" s="44"/>
      <c r="D221" s="55"/>
      <c r="E221" s="65"/>
      <c r="F221" s="67"/>
      <c r="G221" s="55"/>
      <c r="I221" s="47"/>
    </row>
    <row r="222" spans="1:9" x14ac:dyDescent="0.2">
      <c r="A222" s="43"/>
      <c r="B222" s="43"/>
      <c r="C222" s="44"/>
      <c r="D222" s="55"/>
      <c r="E222" s="65"/>
      <c r="F222" s="54" t="s">
        <v>97</v>
      </c>
      <c r="G222" s="55"/>
      <c r="I222" s="47"/>
    </row>
    <row r="223" spans="1:9" x14ac:dyDescent="0.2">
      <c r="A223" s="43"/>
      <c r="B223" s="43"/>
      <c r="C223" s="44"/>
      <c r="D223" s="55"/>
      <c r="E223" s="57" t="str">
        <f>IF(F223=0,"*","")</f>
        <v>*</v>
      </c>
      <c r="F223" s="100"/>
      <c r="G223" s="58"/>
      <c r="I223" s="47"/>
    </row>
    <row r="224" spans="1:9" x14ac:dyDescent="0.2">
      <c r="A224" s="43"/>
      <c r="B224" s="43"/>
      <c r="C224" s="44"/>
      <c r="D224" s="55"/>
      <c r="E224" s="65"/>
      <c r="F224" s="71" t="s">
        <v>96</v>
      </c>
      <c r="G224" s="55"/>
      <c r="I224" s="47"/>
    </row>
    <row r="225" spans="1:9" x14ac:dyDescent="0.2">
      <c r="A225" s="43"/>
      <c r="B225" s="43"/>
      <c r="C225" s="44"/>
      <c r="D225" s="55"/>
      <c r="E225" s="65"/>
      <c r="F225" s="67"/>
      <c r="G225" s="55"/>
      <c r="H225" s="65"/>
      <c r="I225" s="47"/>
    </row>
    <row r="226" spans="1:9" x14ac:dyDescent="0.2">
      <c r="A226" s="43"/>
      <c r="B226" s="43"/>
      <c r="C226" s="44"/>
      <c r="D226" s="55"/>
      <c r="E226" s="65"/>
      <c r="F226" s="54" t="s">
        <v>98</v>
      </c>
      <c r="G226" s="55"/>
      <c r="I226" s="47"/>
    </row>
    <row r="227" spans="1:9" x14ac:dyDescent="0.2">
      <c r="A227" s="43"/>
      <c r="B227" s="43"/>
      <c r="C227" s="44"/>
      <c r="D227" s="55"/>
      <c r="E227" s="57" t="str">
        <f>IF(F227=0,"*","")</f>
        <v>*</v>
      </c>
      <c r="F227" s="100"/>
      <c r="G227" s="58"/>
      <c r="I227" s="47"/>
    </row>
    <row r="228" spans="1:9" x14ac:dyDescent="0.2">
      <c r="A228" s="43"/>
      <c r="B228" s="43"/>
      <c r="C228" s="44"/>
      <c r="D228" s="55"/>
      <c r="E228" s="65"/>
      <c r="F228" s="71" t="s">
        <v>99</v>
      </c>
      <c r="G228" s="55"/>
      <c r="I228" s="47"/>
    </row>
    <row r="229" spans="1:9" x14ac:dyDescent="0.2">
      <c r="A229" s="43"/>
      <c r="B229" s="43"/>
      <c r="C229" s="44"/>
      <c r="D229" s="65"/>
      <c r="E229" s="53"/>
      <c r="F229" s="67"/>
      <c r="G229" s="55"/>
      <c r="H229" s="65"/>
      <c r="I229" s="47"/>
    </row>
    <row r="230" spans="1:9" x14ac:dyDescent="0.2">
      <c r="A230" s="43"/>
      <c r="B230" s="43"/>
      <c r="C230" s="44"/>
      <c r="E230" s="53"/>
      <c r="F230" s="54" t="s">
        <v>100</v>
      </c>
      <c r="G230" s="55"/>
      <c r="I230" s="47"/>
    </row>
    <row r="231" spans="1:9" x14ac:dyDescent="0.2">
      <c r="A231" s="43"/>
      <c r="B231" s="43"/>
      <c r="C231" s="44"/>
      <c r="D231" s="55"/>
      <c r="E231" s="57" t="str">
        <f>IF(F231=0,"*","")</f>
        <v>*</v>
      </c>
      <c r="F231" s="100"/>
      <c r="G231" s="58"/>
      <c r="I231" s="47"/>
    </row>
    <row r="232" spans="1:9" x14ac:dyDescent="0.2">
      <c r="A232" s="43"/>
      <c r="B232" s="43"/>
      <c r="C232" s="44"/>
      <c r="D232" s="55"/>
      <c r="E232" s="65"/>
      <c r="F232" s="71" t="s">
        <v>96</v>
      </c>
      <c r="G232" s="55"/>
      <c r="I232" s="47"/>
    </row>
    <row r="233" spans="1:9" x14ac:dyDescent="0.2">
      <c r="A233" s="43"/>
      <c r="B233" s="43"/>
      <c r="C233" s="44"/>
      <c r="D233" s="55"/>
      <c r="E233" s="65"/>
      <c r="F233" s="67"/>
      <c r="G233" s="55"/>
      <c r="H233" s="65"/>
      <c r="I233" s="47"/>
    </row>
    <row r="234" spans="1:9" x14ac:dyDescent="0.2">
      <c r="A234" s="43"/>
      <c r="B234" s="43"/>
      <c r="C234" s="44"/>
      <c r="D234" s="55"/>
      <c r="E234" s="65"/>
      <c r="F234" s="54" t="s">
        <v>101</v>
      </c>
      <c r="G234" s="55"/>
      <c r="I234" s="47"/>
    </row>
    <row r="235" spans="1:9" x14ac:dyDescent="0.2">
      <c r="A235" s="43"/>
      <c r="B235" s="43"/>
      <c r="C235" s="44"/>
      <c r="D235" s="55"/>
      <c r="E235" s="57" t="str">
        <f>IF(F235=0,"*","")</f>
        <v>*</v>
      </c>
      <c r="F235" s="100"/>
      <c r="G235" s="58"/>
      <c r="I235" s="47"/>
    </row>
    <row r="236" spans="1:9" x14ac:dyDescent="0.2">
      <c r="A236" s="43"/>
      <c r="B236" s="43"/>
      <c r="C236" s="44"/>
      <c r="D236" s="55"/>
      <c r="E236" s="65"/>
      <c r="F236" s="71" t="s">
        <v>96</v>
      </c>
      <c r="G236" s="55"/>
      <c r="I236" s="47"/>
    </row>
    <row r="237" spans="1:9" x14ac:dyDescent="0.2">
      <c r="A237" s="43"/>
      <c r="B237" s="43"/>
      <c r="C237" s="44"/>
      <c r="D237" s="55"/>
      <c r="E237" s="65"/>
      <c r="F237" s="67"/>
      <c r="G237" s="55"/>
      <c r="H237" s="65"/>
      <c r="I237" s="47"/>
    </row>
    <row r="238" spans="1:9" x14ac:dyDescent="0.2">
      <c r="A238" s="43"/>
      <c r="B238" s="43"/>
      <c r="C238" s="44"/>
      <c r="D238" s="55"/>
      <c r="E238" s="65"/>
      <c r="F238" s="54" t="s">
        <v>33</v>
      </c>
      <c r="G238" s="55"/>
      <c r="I238" s="47"/>
    </row>
    <row r="239" spans="1:9" x14ac:dyDescent="0.2">
      <c r="A239" s="43"/>
      <c r="B239" s="43"/>
      <c r="C239" s="44"/>
      <c r="D239" s="55"/>
      <c r="E239" s="57" t="str">
        <f>IF(F239=0,"*","")</f>
        <v>*</v>
      </c>
      <c r="F239" s="99"/>
      <c r="G239" s="58"/>
      <c r="I239" s="47"/>
    </row>
    <row r="240" spans="1:9" x14ac:dyDescent="0.2">
      <c r="A240" s="43"/>
      <c r="B240" s="43"/>
      <c r="C240" s="44"/>
      <c r="D240" s="55"/>
      <c r="E240" s="65"/>
      <c r="F240" s="71" t="s">
        <v>102</v>
      </c>
      <c r="G240" s="55"/>
      <c r="I240" s="47"/>
    </row>
    <row r="241" spans="1:9" x14ac:dyDescent="0.2">
      <c r="A241" s="43"/>
      <c r="B241" s="43"/>
      <c r="C241" s="44"/>
      <c r="D241" s="55"/>
      <c r="E241" s="65"/>
      <c r="F241" s="67"/>
      <c r="G241" s="55"/>
      <c r="I241" s="47"/>
    </row>
    <row r="242" spans="1:9" x14ac:dyDescent="0.2">
      <c r="A242" s="43"/>
      <c r="B242" s="43"/>
      <c r="C242" s="44"/>
      <c r="D242" s="55"/>
      <c r="E242" s="65"/>
      <c r="F242" s="54" t="s">
        <v>104</v>
      </c>
      <c r="G242" s="55"/>
      <c r="I242" s="47"/>
    </row>
    <row r="243" spans="1:9" x14ac:dyDescent="0.2">
      <c r="A243" s="43"/>
      <c r="B243" s="43"/>
      <c r="C243" s="44"/>
      <c r="D243" s="55"/>
      <c r="E243" s="57" t="str">
        <f>IF(F243=0,"*","")</f>
        <v>*</v>
      </c>
      <c r="F243" s="100"/>
      <c r="G243" s="58"/>
      <c r="I243" s="47"/>
    </row>
    <row r="244" spans="1:9" x14ac:dyDescent="0.2">
      <c r="A244" s="43"/>
      <c r="B244" s="43"/>
      <c r="C244" s="44"/>
      <c r="D244" s="55"/>
      <c r="E244" s="65"/>
      <c r="F244" s="71" t="s">
        <v>103</v>
      </c>
      <c r="G244" s="55"/>
      <c r="I244" s="47"/>
    </row>
    <row r="245" spans="1:9" x14ac:dyDescent="0.2">
      <c r="A245" s="43"/>
      <c r="B245" s="43"/>
      <c r="C245" s="44"/>
      <c r="D245" s="55"/>
      <c r="E245" s="65"/>
      <c r="F245" s="67"/>
      <c r="G245" s="55"/>
      <c r="I245" s="47"/>
    </row>
    <row r="246" spans="1:9" x14ac:dyDescent="0.2">
      <c r="A246" s="43"/>
      <c r="B246" s="43"/>
      <c r="C246" s="44"/>
      <c r="D246" s="55"/>
      <c r="E246" s="65"/>
      <c r="F246" s="54" t="s">
        <v>105</v>
      </c>
      <c r="G246" s="55"/>
      <c r="I246" s="47"/>
    </row>
    <row r="247" spans="1:9" x14ac:dyDescent="0.2">
      <c r="A247" s="43"/>
      <c r="B247" s="43"/>
      <c r="C247" s="44"/>
      <c r="D247" s="55"/>
      <c r="E247" s="57" t="str">
        <f>IF(F247=0,"*","")</f>
        <v>*</v>
      </c>
      <c r="F247" s="100"/>
      <c r="G247" s="58"/>
      <c r="I247" s="47"/>
    </row>
    <row r="248" spans="1:9" x14ac:dyDescent="0.2">
      <c r="A248" s="43"/>
      <c r="B248" s="43"/>
      <c r="C248" s="44"/>
      <c r="D248" s="55"/>
      <c r="E248" s="65"/>
      <c r="F248" s="71" t="s">
        <v>106</v>
      </c>
      <c r="G248" s="55"/>
      <c r="I248" s="47"/>
    </row>
    <row r="249" spans="1:9" x14ac:dyDescent="0.2">
      <c r="A249" s="43"/>
      <c r="B249" s="43"/>
      <c r="C249" s="44"/>
      <c r="D249" s="55"/>
      <c r="E249" s="65"/>
      <c r="F249" s="67"/>
      <c r="G249" s="55"/>
      <c r="I249" s="47"/>
    </row>
    <row r="250" spans="1:9" x14ac:dyDescent="0.2">
      <c r="A250" s="43"/>
      <c r="B250" s="43"/>
      <c r="C250" s="44"/>
      <c r="D250" s="55"/>
      <c r="E250" s="65"/>
      <c r="F250" s="54" t="s">
        <v>107</v>
      </c>
      <c r="G250" s="55"/>
      <c r="I250" s="47"/>
    </row>
    <row r="251" spans="1:9" x14ac:dyDescent="0.2">
      <c r="A251" s="43"/>
      <c r="B251" s="43"/>
      <c r="C251" s="44"/>
      <c r="D251" s="55"/>
      <c r="E251" s="57" t="str">
        <f>IF(F251=0,"*","")</f>
        <v>*</v>
      </c>
      <c r="F251" s="100"/>
      <c r="G251" s="58"/>
      <c r="I251" s="47"/>
    </row>
    <row r="252" spans="1:9" x14ac:dyDescent="0.2">
      <c r="A252" s="43"/>
      <c r="B252" s="43"/>
      <c r="C252" s="44"/>
      <c r="D252" s="55"/>
      <c r="E252" s="65"/>
      <c r="F252" s="71" t="s">
        <v>108</v>
      </c>
      <c r="G252" s="55"/>
      <c r="I252" s="47"/>
    </row>
    <row r="253" spans="1:9" x14ac:dyDescent="0.2">
      <c r="A253" s="43"/>
      <c r="B253" s="43"/>
      <c r="C253" s="44"/>
      <c r="D253" s="55"/>
      <c r="E253" s="65"/>
      <c r="F253" s="67"/>
      <c r="G253" s="55"/>
      <c r="I253" s="47"/>
    </row>
    <row r="254" spans="1:9" x14ac:dyDescent="0.2">
      <c r="A254" s="43"/>
      <c r="B254" s="43"/>
      <c r="C254" s="44"/>
      <c r="D254" s="55"/>
      <c r="E254" s="65"/>
      <c r="F254" s="101" t="s">
        <v>34</v>
      </c>
      <c r="G254" s="55"/>
      <c r="I254" s="47"/>
    </row>
    <row r="255" spans="1:9" x14ac:dyDescent="0.2">
      <c r="A255" s="43"/>
      <c r="B255" s="43"/>
      <c r="C255" s="44"/>
      <c r="D255" s="55"/>
      <c r="E255" s="57" t="str">
        <f>IF(F255=0,"*","")</f>
        <v>*</v>
      </c>
      <c r="F255" s="102"/>
      <c r="G255" s="58"/>
      <c r="I255" s="47"/>
    </row>
    <row r="256" spans="1:9" x14ac:dyDescent="0.2">
      <c r="A256" s="43"/>
      <c r="B256" s="43"/>
      <c r="C256" s="44"/>
      <c r="D256" s="55"/>
      <c r="E256" s="65"/>
      <c r="F256" s="71" t="s">
        <v>109</v>
      </c>
      <c r="G256" s="55"/>
      <c r="I256" s="47"/>
    </row>
    <row r="257" spans="1:9" x14ac:dyDescent="0.2">
      <c r="A257" s="43"/>
      <c r="B257" s="43"/>
      <c r="C257" s="44"/>
      <c r="D257" s="55"/>
      <c r="E257" s="65"/>
      <c r="F257" s="67"/>
      <c r="G257" s="55"/>
      <c r="H257" s="65"/>
      <c r="I257" s="47"/>
    </row>
    <row r="258" spans="1:9" x14ac:dyDescent="0.2">
      <c r="A258" s="43"/>
      <c r="B258" s="43"/>
      <c r="C258" s="44"/>
      <c r="D258" s="55"/>
      <c r="E258" s="65"/>
      <c r="F258" s="54" t="s">
        <v>35</v>
      </c>
      <c r="G258" s="55"/>
      <c r="I258" s="47"/>
    </row>
    <row r="259" spans="1:9" x14ac:dyDescent="0.2">
      <c r="A259" s="43"/>
      <c r="B259" s="43"/>
      <c r="C259" s="44"/>
      <c r="D259" s="55"/>
      <c r="E259" s="57" t="str">
        <f>IF(F259=0,"*","")</f>
        <v>*</v>
      </c>
      <c r="F259" s="102"/>
      <c r="G259" s="58"/>
      <c r="I259" s="47"/>
    </row>
    <row r="260" spans="1:9" x14ac:dyDescent="0.2">
      <c r="A260" s="43"/>
      <c r="B260" s="43"/>
      <c r="C260" s="44"/>
      <c r="D260" s="55"/>
      <c r="E260" s="65"/>
      <c r="F260" s="71" t="s">
        <v>109</v>
      </c>
      <c r="G260" s="55"/>
      <c r="I260" s="47"/>
    </row>
    <row r="261" spans="1:9" ht="15.75" thickBot="1" x14ac:dyDescent="0.25">
      <c r="A261" s="43"/>
      <c r="B261" s="43"/>
      <c r="C261" s="44"/>
      <c r="E261" s="68"/>
      <c r="F261" s="69"/>
      <c r="G261" s="70"/>
      <c r="I261" s="47"/>
    </row>
    <row r="262" spans="1:9" x14ac:dyDescent="0.2">
      <c r="A262" s="43"/>
      <c r="B262" s="43"/>
      <c r="C262" s="44"/>
      <c r="F262" s="48"/>
      <c r="I262" s="47"/>
    </row>
    <row r="263" spans="1:9" ht="15.75" thickBot="1" x14ac:dyDescent="0.25">
      <c r="A263" s="43"/>
      <c r="B263" s="43"/>
      <c r="C263" s="44"/>
      <c r="E263" s="49" t="s">
        <v>36</v>
      </c>
      <c r="F263" s="48"/>
      <c r="I263" s="47"/>
    </row>
    <row r="264" spans="1:9" x14ac:dyDescent="0.2">
      <c r="A264" s="43"/>
      <c r="B264" s="43"/>
      <c r="C264" s="44"/>
      <c r="E264" s="50"/>
      <c r="F264" s="51"/>
      <c r="G264" s="52"/>
      <c r="I264" s="47"/>
    </row>
    <row r="265" spans="1:9" x14ac:dyDescent="0.2">
      <c r="A265" s="43"/>
      <c r="B265" s="43"/>
      <c r="C265" s="44"/>
      <c r="D265" s="55"/>
      <c r="E265" s="65"/>
      <c r="F265" s="54" t="s">
        <v>37</v>
      </c>
      <c r="G265" s="55"/>
      <c r="I265" s="47"/>
    </row>
    <row r="266" spans="1:9" x14ac:dyDescent="0.2">
      <c r="A266" s="43"/>
      <c r="B266" s="43"/>
      <c r="C266" s="44"/>
      <c r="D266" s="55"/>
      <c r="E266" s="57" t="str">
        <f>IF(F266=0,"*","")</f>
        <v>*</v>
      </c>
      <c r="F266" s="99"/>
      <c r="G266" s="58"/>
      <c r="I266" s="47"/>
    </row>
    <row r="267" spans="1:9" x14ac:dyDescent="0.2">
      <c r="A267" s="43"/>
      <c r="B267" s="43"/>
      <c r="C267" s="44"/>
      <c r="D267" s="55"/>
      <c r="E267" s="65"/>
      <c r="F267" s="71" t="s">
        <v>110</v>
      </c>
      <c r="G267" s="55"/>
      <c r="I267" s="47"/>
    </row>
    <row r="268" spans="1:9" x14ac:dyDescent="0.2">
      <c r="A268" s="43"/>
      <c r="B268" s="43"/>
      <c r="C268" s="44"/>
      <c r="D268" s="55"/>
      <c r="E268" s="65"/>
      <c r="F268" s="67"/>
      <c r="G268" s="55"/>
      <c r="I268" s="47"/>
    </row>
    <row r="269" spans="1:9" x14ac:dyDescent="0.2">
      <c r="A269" s="43"/>
      <c r="B269" s="43"/>
      <c r="C269" s="44"/>
      <c r="D269" s="55"/>
      <c r="E269" s="65"/>
      <c r="F269" s="54" t="s">
        <v>38</v>
      </c>
      <c r="G269" s="55"/>
      <c r="I269" s="47"/>
    </row>
    <row r="270" spans="1:9" x14ac:dyDescent="0.2">
      <c r="A270" s="43"/>
      <c r="B270" s="43"/>
      <c r="C270" s="44"/>
      <c r="D270" s="55"/>
      <c r="E270" s="57" t="str">
        <f>IF(F270=0,"*","")</f>
        <v>*</v>
      </c>
      <c r="F270" s="99"/>
      <c r="G270" s="58"/>
      <c r="I270" s="47"/>
    </row>
    <row r="271" spans="1:9" x14ac:dyDescent="0.2">
      <c r="A271" s="43"/>
      <c r="B271" s="43"/>
      <c r="C271" s="44"/>
      <c r="D271" s="55"/>
      <c r="E271" s="65"/>
      <c r="F271" s="71" t="s">
        <v>111</v>
      </c>
      <c r="G271" s="55"/>
      <c r="I271" s="47"/>
    </row>
    <row r="272" spans="1:9" x14ac:dyDescent="0.2">
      <c r="A272" s="43"/>
      <c r="B272" s="43"/>
      <c r="C272" s="44"/>
      <c r="D272" s="55"/>
      <c r="E272" s="65"/>
      <c r="F272" s="67"/>
      <c r="G272" s="55"/>
      <c r="I272" s="47"/>
    </row>
    <row r="273" spans="1:9" x14ac:dyDescent="0.2">
      <c r="A273" s="43"/>
      <c r="B273" s="43"/>
      <c r="C273" s="44"/>
      <c r="D273" s="55"/>
      <c r="E273" s="65"/>
      <c r="F273" s="54" t="s">
        <v>113</v>
      </c>
      <c r="G273" s="55"/>
      <c r="I273" s="47"/>
    </row>
    <row r="274" spans="1:9" x14ac:dyDescent="0.2">
      <c r="A274" s="43"/>
      <c r="B274" s="43"/>
      <c r="C274" s="44"/>
      <c r="D274" s="55"/>
      <c r="E274" s="57" t="str">
        <f>IF(F274=0,"*","")</f>
        <v>*</v>
      </c>
      <c r="F274" s="100"/>
      <c r="G274" s="58"/>
      <c r="I274" s="47"/>
    </row>
    <row r="275" spans="1:9" x14ac:dyDescent="0.2">
      <c r="A275" s="43"/>
      <c r="B275" s="43"/>
      <c r="C275" s="44"/>
      <c r="D275" s="55"/>
      <c r="E275" s="65"/>
      <c r="F275" s="71" t="s">
        <v>112</v>
      </c>
      <c r="G275" s="55"/>
      <c r="I275" s="47"/>
    </row>
    <row r="276" spans="1:9" x14ac:dyDescent="0.2">
      <c r="A276" s="43"/>
      <c r="B276" s="43"/>
      <c r="C276" s="44"/>
      <c r="D276" s="55"/>
      <c r="E276" s="65"/>
      <c r="F276" s="67"/>
      <c r="G276" s="55"/>
      <c r="I276" s="47"/>
    </row>
    <row r="277" spans="1:9" x14ac:dyDescent="0.2">
      <c r="A277" s="43"/>
      <c r="B277" s="43"/>
      <c r="C277" s="44"/>
      <c r="D277" s="55"/>
      <c r="E277" s="65"/>
      <c r="F277" s="54" t="s">
        <v>39</v>
      </c>
      <c r="G277" s="55"/>
      <c r="I277" s="47"/>
    </row>
    <row r="278" spans="1:9" x14ac:dyDescent="0.2">
      <c r="A278" s="43"/>
      <c r="B278" s="43"/>
      <c r="C278" s="44"/>
      <c r="D278" s="55"/>
      <c r="E278" s="57" t="str">
        <f>IF(F278=0,"*","")</f>
        <v>*</v>
      </c>
      <c r="F278" s="99"/>
      <c r="G278" s="58"/>
      <c r="I278" s="47"/>
    </row>
    <row r="279" spans="1:9" x14ac:dyDescent="0.2">
      <c r="A279" s="43"/>
      <c r="B279" s="43"/>
      <c r="C279" s="44"/>
      <c r="E279" s="53"/>
      <c r="F279" s="71" t="s">
        <v>114</v>
      </c>
      <c r="G279" s="55"/>
      <c r="I279" s="47"/>
    </row>
    <row r="280" spans="1:9" ht="15.75" thickBot="1" x14ac:dyDescent="0.25">
      <c r="A280" s="43"/>
      <c r="B280" s="43"/>
      <c r="C280" s="44"/>
      <c r="E280" s="68"/>
      <c r="F280" s="69"/>
      <c r="G280" s="70"/>
      <c r="I280" s="47"/>
    </row>
    <row r="281" spans="1:9" x14ac:dyDescent="0.2">
      <c r="A281" s="43"/>
      <c r="B281" s="43"/>
      <c r="C281" s="44"/>
      <c r="F281" s="48"/>
      <c r="I281" s="47"/>
    </row>
    <row r="282" spans="1:9" ht="15.75" thickBot="1" x14ac:dyDescent="0.25">
      <c r="A282" s="43"/>
      <c r="B282" s="43"/>
      <c r="C282" s="44"/>
      <c r="E282" s="49" t="s">
        <v>40</v>
      </c>
      <c r="F282" s="49"/>
      <c r="I282" s="47"/>
    </row>
    <row r="283" spans="1:9" x14ac:dyDescent="0.2">
      <c r="A283" s="43"/>
      <c r="B283" s="43"/>
      <c r="C283" s="44"/>
      <c r="E283" s="50"/>
      <c r="F283" s="51"/>
      <c r="G283" s="52"/>
      <c r="I283" s="47"/>
    </row>
    <row r="284" spans="1:9" x14ac:dyDescent="0.2">
      <c r="A284" s="43"/>
      <c r="B284" s="43"/>
      <c r="C284" s="44"/>
      <c r="D284" s="55"/>
      <c r="E284" s="65"/>
      <c r="F284" s="54" t="s">
        <v>115</v>
      </c>
      <c r="G284" s="55"/>
      <c r="I284" s="47"/>
    </row>
    <row r="285" spans="1:9" x14ac:dyDescent="0.2">
      <c r="A285" s="43"/>
      <c r="B285" s="43"/>
      <c r="C285" s="44"/>
      <c r="D285" s="55"/>
      <c r="E285" s="57" t="str">
        <f>IF(F285=0,"*","")</f>
        <v>*</v>
      </c>
      <c r="F285" s="111">
        <f>IF(OR(PovrsinaParcele=0,Zauzetost=0),0,Zauzetost/(PovrsinaParcele/100))</f>
        <v>0</v>
      </c>
      <c r="G285" s="58"/>
      <c r="I285" s="47"/>
    </row>
    <row r="286" spans="1:9" x14ac:dyDescent="0.2">
      <c r="A286" s="43"/>
      <c r="B286" s="43"/>
      <c r="C286" s="44"/>
      <c r="D286" s="55"/>
      <c r="E286" s="65"/>
      <c r="F286" s="71" t="s">
        <v>168</v>
      </c>
      <c r="G286" s="55"/>
      <c r="I286" s="47"/>
    </row>
    <row r="287" spans="1:9" x14ac:dyDescent="0.2">
      <c r="A287" s="43"/>
      <c r="B287" s="43"/>
      <c r="C287" s="44"/>
      <c r="D287" s="55"/>
      <c r="E287" s="65"/>
      <c r="F287" s="67"/>
      <c r="G287" s="55"/>
      <c r="I287" s="47"/>
    </row>
    <row r="288" spans="1:9" x14ac:dyDescent="0.2">
      <c r="A288" s="43"/>
      <c r="B288" s="43"/>
      <c r="C288" s="44"/>
      <c r="D288" s="55"/>
      <c r="E288" s="65"/>
      <c r="F288" s="54" t="s">
        <v>41</v>
      </c>
      <c r="G288" s="55"/>
      <c r="I288" s="47"/>
    </row>
    <row r="289" spans="1:9" x14ac:dyDescent="0.2">
      <c r="A289" s="43"/>
      <c r="B289" s="43"/>
      <c r="C289" s="44"/>
      <c r="D289" s="55"/>
      <c r="E289" s="57" t="str">
        <f>IF(F289=0,"*","")</f>
        <v>*</v>
      </c>
      <c r="F289" s="111">
        <f>IF(ProcenatZelenihPovrsina=0,0,ProcenatZelenihPovrsina/100)</f>
        <v>0</v>
      </c>
      <c r="G289" s="58"/>
      <c r="I289" s="47"/>
    </row>
    <row r="290" spans="1:9" x14ac:dyDescent="0.2">
      <c r="A290" s="43"/>
      <c r="B290" s="43"/>
      <c r="C290" s="44"/>
      <c r="D290" s="55"/>
      <c r="E290" s="65"/>
      <c r="F290" s="71" t="s">
        <v>168</v>
      </c>
      <c r="G290" s="55"/>
      <c r="I290" s="47"/>
    </row>
    <row r="291" spans="1:9" x14ac:dyDescent="0.2">
      <c r="A291" s="43"/>
      <c r="B291" s="43"/>
      <c r="C291" s="44"/>
      <c r="D291" s="55"/>
      <c r="E291" s="65"/>
      <c r="F291" s="67"/>
      <c r="G291" s="55"/>
      <c r="I291" s="47"/>
    </row>
    <row r="292" spans="1:9" x14ac:dyDescent="0.2">
      <c r="A292" s="43"/>
      <c r="B292" s="43"/>
      <c r="C292" s="44"/>
      <c r="D292" s="55"/>
      <c r="E292" s="65"/>
      <c r="F292" s="54" t="s">
        <v>42</v>
      </c>
      <c r="G292" s="55"/>
      <c r="I292" s="47"/>
    </row>
    <row r="293" spans="1:9" x14ac:dyDescent="0.2">
      <c r="A293" s="43"/>
      <c r="B293" s="43"/>
      <c r="C293" s="44"/>
      <c r="D293" s="55"/>
      <c r="E293" s="57" t="str">
        <f>IF(F293=0,"*","")</f>
        <v>*</v>
      </c>
      <c r="F293" s="111">
        <f>IF(OR(PovrsinaParcele=0,UkupnaBrutoPovrsinaNadzemno=0),0,(UkupnaBrutoPovrsinaNadzemno/(PovrsinaParcele/100))/100)</f>
        <v>0</v>
      </c>
      <c r="G293" s="58"/>
      <c r="I293" s="47"/>
    </row>
    <row r="294" spans="1:9" x14ac:dyDescent="0.2">
      <c r="A294" s="43"/>
      <c r="B294" s="43"/>
      <c r="C294" s="44"/>
      <c r="D294" s="55"/>
      <c r="E294" s="65"/>
      <c r="F294" s="71" t="s">
        <v>168</v>
      </c>
      <c r="G294" s="55"/>
      <c r="I294" s="47"/>
    </row>
    <row r="295" spans="1:9" x14ac:dyDescent="0.2">
      <c r="A295" s="43"/>
      <c r="B295" s="43"/>
      <c r="C295" s="44"/>
      <c r="D295" s="55"/>
      <c r="E295" s="65"/>
      <c r="F295" s="67"/>
      <c r="G295" s="55"/>
      <c r="I295" s="47"/>
    </row>
    <row r="296" spans="1:9" x14ac:dyDescent="0.2">
      <c r="A296" s="43"/>
      <c r="B296" s="43"/>
      <c r="C296" s="44"/>
      <c r="D296" s="55"/>
      <c r="E296" s="65"/>
      <c r="F296" s="54" t="s">
        <v>117</v>
      </c>
      <c r="G296" s="55"/>
      <c r="I296" s="47"/>
    </row>
    <row r="297" spans="1:9" x14ac:dyDescent="0.2">
      <c r="A297" s="43"/>
      <c r="B297" s="43"/>
      <c r="C297" s="44"/>
      <c r="D297" s="55"/>
      <c r="E297" s="57" t="str">
        <f>IF(F297=0,"*","")</f>
        <v/>
      </c>
      <c r="F297" s="103">
        <v>20000</v>
      </c>
      <c r="G297" s="58"/>
      <c r="I297" s="47"/>
    </row>
    <row r="298" spans="1:9" x14ac:dyDescent="0.2">
      <c r="A298" s="43"/>
      <c r="B298" s="43"/>
      <c r="C298" s="44"/>
      <c r="E298" s="53"/>
      <c r="F298" s="71" t="s">
        <v>116</v>
      </c>
      <c r="G298" s="55"/>
      <c r="I298" s="47"/>
    </row>
    <row r="299" spans="1:9" ht="15.75" thickBot="1" x14ac:dyDescent="0.25">
      <c r="A299" s="43"/>
      <c r="B299" s="43"/>
      <c r="C299" s="44"/>
      <c r="E299" s="68"/>
      <c r="F299" s="69"/>
      <c r="G299" s="70"/>
      <c r="I299" s="47"/>
    </row>
    <row r="300" spans="1:9" ht="15" customHeight="1" x14ac:dyDescent="0.2">
      <c r="A300" s="43"/>
      <c r="B300" s="43"/>
      <c r="C300" s="44"/>
      <c r="F300" s="48"/>
      <c r="I300" s="47"/>
    </row>
    <row r="301" spans="1:9" x14ac:dyDescent="0.2">
      <c r="A301" s="43"/>
      <c r="B301" s="43"/>
      <c r="C301" s="44"/>
      <c r="F301" s="46" t="s">
        <v>122</v>
      </c>
      <c r="I301" s="47"/>
    </row>
    <row r="302" spans="1:9" x14ac:dyDescent="0.2">
      <c r="A302" s="43"/>
      <c r="B302" s="43"/>
      <c r="C302" s="44"/>
      <c r="F302" s="48"/>
      <c r="I302" s="47"/>
    </row>
    <row r="303" spans="1:9" ht="15.75" thickBot="1" x14ac:dyDescent="0.25">
      <c r="A303" s="43"/>
      <c r="B303" s="43"/>
      <c r="C303" s="44"/>
      <c r="E303" s="49" t="s">
        <v>0</v>
      </c>
      <c r="F303" s="48"/>
      <c r="I303" s="47"/>
    </row>
    <row r="304" spans="1:9" x14ac:dyDescent="0.2">
      <c r="A304" s="44"/>
      <c r="B304" s="44"/>
      <c r="C304" s="44"/>
      <c r="E304" s="78"/>
      <c r="F304" s="79"/>
      <c r="G304" s="80"/>
      <c r="I304" s="47"/>
    </row>
    <row r="305" spans="1:9" ht="120" customHeight="1" x14ac:dyDescent="0.2">
      <c r="A305" s="44"/>
      <c r="B305" s="44"/>
      <c r="C305" s="44"/>
      <c r="D305" s="56"/>
      <c r="E305" s="81"/>
      <c r="F305" s="82"/>
      <c r="G305" s="83"/>
      <c r="I305" s="47"/>
    </row>
    <row r="306" spans="1:9" customFormat="1" ht="15.75" thickBot="1" x14ac:dyDescent="0.25">
      <c r="A306" s="76"/>
      <c r="B306" s="76"/>
      <c r="C306" s="76"/>
      <c r="D306" s="56"/>
      <c r="E306" s="84"/>
      <c r="F306" s="85"/>
      <c r="G306" s="86"/>
      <c r="H306" s="45"/>
      <c r="I306" s="15"/>
    </row>
    <row r="307" spans="1:9" x14ac:dyDescent="0.2">
      <c r="A307" s="43"/>
      <c r="B307" s="43"/>
      <c r="C307" s="44"/>
      <c r="E307" s="81"/>
      <c r="F307" s="81"/>
      <c r="G307" s="87"/>
      <c r="I307" s="47"/>
    </row>
    <row r="308" spans="1:9" ht="15.75" thickBot="1" x14ac:dyDescent="0.25">
      <c r="A308" s="44"/>
      <c r="B308" s="44"/>
      <c r="C308" s="44"/>
      <c r="E308" s="88" t="s">
        <v>125</v>
      </c>
      <c r="F308" s="81"/>
      <c r="G308" s="87"/>
      <c r="I308" s="47"/>
    </row>
    <row r="309" spans="1:9" x14ac:dyDescent="0.2">
      <c r="A309" s="43"/>
      <c r="B309" s="43"/>
      <c r="C309" s="44"/>
      <c r="E309" s="78"/>
      <c r="F309" s="79"/>
      <c r="G309" s="80"/>
      <c r="I309" s="47"/>
    </row>
    <row r="310" spans="1:9" ht="120" customHeight="1" x14ac:dyDescent="0.2">
      <c r="A310" s="43"/>
      <c r="B310" s="63"/>
      <c r="C310" s="44"/>
      <c r="D310" s="56"/>
      <c r="E310" s="81"/>
      <c r="F310" s="89"/>
      <c r="G310" s="83"/>
      <c r="I310" s="47"/>
    </row>
    <row r="311" spans="1:9" ht="15.75" thickBot="1" x14ac:dyDescent="0.25">
      <c r="A311" s="43"/>
      <c r="B311" s="43"/>
      <c r="C311" s="43"/>
      <c r="E311" s="84"/>
      <c r="F311" s="85"/>
      <c r="G311" s="86"/>
      <c r="I311" s="47"/>
    </row>
    <row r="312" spans="1:9" ht="15" customHeight="1" x14ac:dyDescent="0.2">
      <c r="A312" s="43"/>
      <c r="B312" s="43"/>
      <c r="C312" s="43"/>
      <c r="E312" s="81"/>
      <c r="F312" s="81"/>
      <c r="G312" s="81"/>
      <c r="I312" s="47"/>
    </row>
    <row r="313" spans="1:9" ht="15.75" thickBot="1" x14ac:dyDescent="0.25">
      <c r="A313" s="43"/>
      <c r="B313" s="43"/>
      <c r="C313" s="43"/>
      <c r="E313" s="88" t="s">
        <v>9</v>
      </c>
      <c r="F313" s="81"/>
      <c r="G313" s="87"/>
      <c r="I313" s="47"/>
    </row>
    <row r="314" spans="1:9" x14ac:dyDescent="0.2">
      <c r="A314" s="43"/>
      <c r="B314" s="43"/>
      <c r="C314" s="43"/>
      <c r="E314" s="78"/>
      <c r="F314" s="79"/>
      <c r="G314" s="80"/>
      <c r="I314" s="108"/>
    </row>
    <row r="315" spans="1:9" ht="120" customHeight="1" x14ac:dyDescent="0.2">
      <c r="A315" s="43"/>
      <c r="B315" s="43"/>
      <c r="C315" s="43"/>
      <c r="D315" s="56"/>
      <c r="E315" s="81"/>
      <c r="F315" s="89"/>
      <c r="G315" s="83"/>
      <c r="I315" s="108"/>
    </row>
    <row r="316" spans="1:9" ht="15.75" thickBot="1" x14ac:dyDescent="0.25">
      <c r="A316" s="43"/>
      <c r="B316" s="43"/>
      <c r="C316" s="43"/>
      <c r="D316" s="56"/>
      <c r="E316" s="84"/>
      <c r="F316" s="85"/>
      <c r="G316" s="86"/>
      <c r="I316" s="108"/>
    </row>
    <row r="317" spans="1:9" x14ac:dyDescent="0.2">
      <c r="A317" s="43"/>
      <c r="B317" s="43"/>
      <c r="C317" s="43"/>
      <c r="D317"/>
      <c r="E317" s="33"/>
      <c r="F317" s="33"/>
      <c r="G317" s="33"/>
      <c r="H317"/>
      <c r="I317" s="108"/>
    </row>
    <row r="318" spans="1:9" ht="15.75" thickBot="1" x14ac:dyDescent="0.25">
      <c r="A318" s="43"/>
      <c r="B318" s="43"/>
      <c r="C318" s="43"/>
      <c r="E318" s="92" t="s">
        <v>21</v>
      </c>
      <c r="F318" s="85"/>
      <c r="G318" s="90"/>
      <c r="I318" s="108"/>
    </row>
    <row r="319" spans="1:9" x14ac:dyDescent="0.2">
      <c r="A319" s="43"/>
      <c r="B319" s="43"/>
      <c r="C319" s="43"/>
      <c r="D319" s="56"/>
      <c r="E319" s="81"/>
      <c r="F319" s="81"/>
      <c r="G319" s="83"/>
      <c r="I319" s="108"/>
    </row>
    <row r="320" spans="1:9" ht="120" customHeight="1" x14ac:dyDescent="0.2">
      <c r="A320" s="43"/>
      <c r="B320" s="43"/>
      <c r="C320" s="43"/>
      <c r="D320" s="56"/>
      <c r="E320" s="81"/>
      <c r="F320" s="89"/>
      <c r="G320" s="83"/>
      <c r="I320" s="108"/>
    </row>
    <row r="321" spans="1:9" ht="15.75" thickBot="1" x14ac:dyDescent="0.25">
      <c r="A321" s="43"/>
      <c r="B321" s="43"/>
      <c r="C321" s="43"/>
      <c r="D321" s="56"/>
      <c r="E321" s="84"/>
      <c r="F321" s="85"/>
      <c r="G321" s="91"/>
      <c r="I321" s="108"/>
    </row>
    <row r="322" spans="1:9" x14ac:dyDescent="0.2">
      <c r="A322" s="43"/>
      <c r="B322" s="43"/>
      <c r="C322" s="43"/>
      <c r="F322" s="48"/>
      <c r="I322" s="108"/>
    </row>
    <row r="323" spans="1:9" ht="15.75" thickBot="1" x14ac:dyDescent="0.25">
      <c r="A323" s="43"/>
      <c r="B323" s="43"/>
      <c r="C323" s="43"/>
      <c r="D323" s="87"/>
      <c r="E323" s="92" t="s">
        <v>140</v>
      </c>
      <c r="F323" s="85"/>
      <c r="G323" s="90"/>
      <c r="H323" s="87"/>
      <c r="I323" s="108"/>
    </row>
    <row r="324" spans="1:9" x14ac:dyDescent="0.2">
      <c r="A324" s="43"/>
      <c r="B324" s="43"/>
      <c r="C324" s="43"/>
      <c r="D324" s="56"/>
      <c r="E324" s="81"/>
      <c r="F324" s="81"/>
      <c r="G324" s="83"/>
      <c r="I324" s="108"/>
    </row>
    <row r="325" spans="1:9" ht="120" customHeight="1" x14ac:dyDescent="0.2">
      <c r="A325" s="43"/>
      <c r="B325" s="43"/>
      <c r="C325" s="43"/>
      <c r="D325" s="56"/>
      <c r="E325" s="81"/>
      <c r="F325" s="89"/>
      <c r="G325" s="83"/>
      <c r="I325" s="108"/>
    </row>
    <row r="326" spans="1:9" ht="15.75" thickBot="1" x14ac:dyDescent="0.25">
      <c r="A326" s="43"/>
      <c r="B326" s="43"/>
      <c r="C326" s="43"/>
      <c r="E326" s="84"/>
      <c r="F326" s="85"/>
      <c r="G326" s="91"/>
      <c r="I326" s="108"/>
    </row>
    <row r="327" spans="1:9" x14ac:dyDescent="0.2">
      <c r="A327" s="43"/>
      <c r="B327" s="43"/>
      <c r="C327" s="43"/>
      <c r="I327" s="108"/>
    </row>
    <row r="328" spans="1:9" ht="15.75" thickBot="1" x14ac:dyDescent="0.25">
      <c r="A328" s="43"/>
      <c r="B328" s="43"/>
      <c r="C328" s="43"/>
      <c r="E328" s="92" t="s">
        <v>141</v>
      </c>
      <c r="F328" s="85"/>
      <c r="G328" s="90"/>
      <c r="I328" s="108"/>
    </row>
    <row r="329" spans="1:9" x14ac:dyDescent="0.2">
      <c r="A329" s="43"/>
      <c r="B329" s="43"/>
      <c r="C329" s="43"/>
      <c r="D329" s="56"/>
      <c r="E329" s="81"/>
      <c r="F329" s="81"/>
      <c r="G329" s="83"/>
      <c r="I329" s="108"/>
    </row>
    <row r="330" spans="1:9" ht="120" customHeight="1" x14ac:dyDescent="0.2">
      <c r="A330" s="43"/>
      <c r="B330" s="43"/>
      <c r="C330" s="43"/>
      <c r="D330" s="56"/>
      <c r="E330" s="81"/>
      <c r="F330" s="89"/>
      <c r="G330" s="83"/>
      <c r="I330" s="108"/>
    </row>
    <row r="331" spans="1:9" ht="15.75" thickBot="1" x14ac:dyDescent="0.25">
      <c r="A331" s="43"/>
      <c r="B331" s="43"/>
      <c r="C331" s="43"/>
      <c r="E331" s="84"/>
      <c r="F331" s="85"/>
      <c r="G331" s="91"/>
      <c r="I331" s="108"/>
    </row>
    <row r="332" spans="1:9" x14ac:dyDescent="0.2">
      <c r="A332" s="43"/>
      <c r="B332" s="43"/>
      <c r="C332" s="43"/>
      <c r="I332" s="108"/>
    </row>
    <row r="333" spans="1:9" ht="15.75" thickBot="1" x14ac:dyDescent="0.25">
      <c r="A333" s="43"/>
      <c r="B333" s="43"/>
      <c r="C333" s="43"/>
      <c r="E333" s="92" t="s">
        <v>142</v>
      </c>
      <c r="F333" s="85"/>
      <c r="G333" s="90"/>
      <c r="I333" s="108"/>
    </row>
    <row r="334" spans="1:9" x14ac:dyDescent="0.2">
      <c r="A334" s="43"/>
      <c r="B334" s="43"/>
      <c r="C334" s="43"/>
      <c r="D334" s="56"/>
      <c r="E334" s="81"/>
      <c r="F334" s="81"/>
      <c r="G334" s="83"/>
      <c r="I334" s="108"/>
    </row>
    <row r="335" spans="1:9" ht="120" customHeight="1" x14ac:dyDescent="0.2">
      <c r="A335" s="43"/>
      <c r="B335" s="43"/>
      <c r="C335" s="43"/>
      <c r="D335" s="56"/>
      <c r="E335" s="81"/>
      <c r="F335" s="89"/>
      <c r="G335" s="83"/>
      <c r="I335" s="108"/>
    </row>
    <row r="336" spans="1:9" ht="15.75" thickBot="1" x14ac:dyDescent="0.25">
      <c r="A336" s="43"/>
      <c r="B336" s="43"/>
      <c r="C336" s="43"/>
      <c r="E336" s="84"/>
      <c r="F336" s="85"/>
      <c r="G336" s="91"/>
      <c r="I336" s="108"/>
    </row>
    <row r="337" spans="1:9" x14ac:dyDescent="0.2">
      <c r="A337" s="43"/>
      <c r="B337" s="43"/>
      <c r="C337" s="43"/>
      <c r="I337" s="108"/>
    </row>
    <row r="338" spans="1:9" ht="15.75" thickBot="1" x14ac:dyDescent="0.25">
      <c r="A338" s="43"/>
      <c r="B338" s="43"/>
      <c r="C338" s="43"/>
      <c r="E338" s="92" t="s">
        <v>143</v>
      </c>
      <c r="F338" s="85"/>
      <c r="G338" s="90"/>
      <c r="I338" s="108"/>
    </row>
    <row r="339" spans="1:9" x14ac:dyDescent="0.2">
      <c r="A339" s="43"/>
      <c r="B339" s="43"/>
      <c r="C339" s="43"/>
      <c r="D339" s="56"/>
      <c r="E339" s="81"/>
      <c r="F339" s="81"/>
      <c r="G339" s="83"/>
      <c r="I339" s="108"/>
    </row>
    <row r="340" spans="1:9" ht="120" customHeight="1" x14ac:dyDescent="0.2">
      <c r="A340" s="43"/>
      <c r="B340" s="43"/>
      <c r="C340" s="43"/>
      <c r="D340" s="56"/>
      <c r="E340" s="81"/>
      <c r="F340" s="89"/>
      <c r="G340" s="83"/>
      <c r="I340" s="108"/>
    </row>
    <row r="341" spans="1:9" ht="15.75" thickBot="1" x14ac:dyDescent="0.25">
      <c r="A341" s="43"/>
      <c r="B341" s="43"/>
      <c r="C341" s="43"/>
      <c r="E341" s="84"/>
      <c r="F341" s="85"/>
      <c r="G341" s="91"/>
      <c r="I341" s="108"/>
    </row>
    <row r="342" spans="1:9" x14ac:dyDescent="0.2">
      <c r="A342" s="43"/>
      <c r="B342" s="43"/>
      <c r="C342" s="43"/>
      <c r="I342" s="108"/>
    </row>
    <row r="343" spans="1:9" ht="15.75" thickBot="1" x14ac:dyDescent="0.25">
      <c r="A343" s="43"/>
      <c r="B343" s="43"/>
      <c r="C343" s="43"/>
      <c r="E343" s="92" t="s">
        <v>144</v>
      </c>
      <c r="F343" s="85"/>
      <c r="G343" s="90"/>
      <c r="I343" s="108"/>
    </row>
    <row r="344" spans="1:9" x14ac:dyDescent="0.2">
      <c r="A344" s="43"/>
      <c r="B344" s="43"/>
      <c r="C344" s="43"/>
      <c r="D344" s="56"/>
      <c r="E344" s="81"/>
      <c r="F344" s="81"/>
      <c r="G344" s="83"/>
      <c r="I344" s="108"/>
    </row>
    <row r="345" spans="1:9" ht="120" customHeight="1" x14ac:dyDescent="0.2">
      <c r="A345" s="43"/>
      <c r="B345" s="43"/>
      <c r="C345" s="43"/>
      <c r="D345" s="56"/>
      <c r="E345" s="81"/>
      <c r="F345" s="89"/>
      <c r="G345" s="83"/>
      <c r="I345" s="108"/>
    </row>
    <row r="346" spans="1:9" ht="15.75" thickBot="1" x14ac:dyDescent="0.25">
      <c r="A346" s="43"/>
      <c r="B346" s="43"/>
      <c r="C346" s="43"/>
      <c r="E346" s="84"/>
      <c r="F346" s="85"/>
      <c r="G346" s="91"/>
      <c r="I346" s="108"/>
    </row>
    <row r="347" spans="1:9" x14ac:dyDescent="0.2">
      <c r="A347" s="43"/>
      <c r="B347" s="43"/>
      <c r="C347" s="43"/>
      <c r="I347" s="108"/>
    </row>
    <row r="348" spans="1:9" ht="15.75" thickBot="1" x14ac:dyDescent="0.25">
      <c r="A348" s="43"/>
      <c r="B348" s="43"/>
      <c r="C348" s="43"/>
      <c r="E348" s="92" t="s">
        <v>146</v>
      </c>
      <c r="F348" s="85"/>
      <c r="G348" s="90"/>
      <c r="I348" s="108"/>
    </row>
    <row r="349" spans="1:9" x14ac:dyDescent="0.2">
      <c r="A349" s="43"/>
      <c r="B349" s="43"/>
      <c r="C349" s="43"/>
      <c r="D349" s="56"/>
      <c r="E349" s="81"/>
      <c r="F349" s="81"/>
      <c r="G349" s="83"/>
      <c r="I349" s="108"/>
    </row>
    <row r="350" spans="1:9" ht="120" customHeight="1" x14ac:dyDescent="0.2">
      <c r="A350" s="43"/>
      <c r="B350" s="43"/>
      <c r="C350" s="43"/>
      <c r="D350" s="56"/>
      <c r="E350" s="81"/>
      <c r="F350" s="89"/>
      <c r="G350" s="83"/>
      <c r="I350" s="108"/>
    </row>
    <row r="351" spans="1:9" ht="15.75" thickBot="1" x14ac:dyDescent="0.25">
      <c r="A351" s="43"/>
      <c r="B351" s="43"/>
      <c r="C351" s="43"/>
      <c r="E351" s="84"/>
      <c r="F351" s="85"/>
      <c r="G351" s="91"/>
      <c r="I351" s="108"/>
    </row>
    <row r="352" spans="1:9" x14ac:dyDescent="0.2">
      <c r="A352" s="43"/>
      <c r="B352" s="43"/>
      <c r="C352" s="43"/>
      <c r="I352" s="108"/>
    </row>
    <row r="353" spans="1:9" ht="15.75" thickBot="1" x14ac:dyDescent="0.25">
      <c r="A353" s="43"/>
      <c r="B353" s="43"/>
      <c r="C353" s="43"/>
      <c r="E353" s="92" t="s">
        <v>156</v>
      </c>
      <c r="F353" s="85"/>
      <c r="G353" s="90"/>
      <c r="I353" s="108"/>
    </row>
    <row r="354" spans="1:9" x14ac:dyDescent="0.2">
      <c r="A354" s="43"/>
      <c r="B354" s="43"/>
      <c r="C354" s="43"/>
      <c r="D354" s="56"/>
      <c r="E354" s="81"/>
      <c r="F354" s="81"/>
      <c r="G354" s="83"/>
      <c r="I354" s="108"/>
    </row>
    <row r="355" spans="1:9" ht="120" customHeight="1" x14ac:dyDescent="0.2">
      <c r="A355" s="43"/>
      <c r="B355" s="43"/>
      <c r="C355" s="43"/>
      <c r="D355" s="56"/>
      <c r="E355" s="81"/>
      <c r="F355" s="89"/>
      <c r="G355" s="83"/>
      <c r="I355" s="108"/>
    </row>
    <row r="356" spans="1:9" ht="15.75" thickBot="1" x14ac:dyDescent="0.25">
      <c r="A356" s="43"/>
      <c r="B356" s="43"/>
      <c r="C356" s="43"/>
      <c r="E356" s="84"/>
      <c r="F356" s="85"/>
      <c r="G356" s="91"/>
      <c r="I356" s="108"/>
    </row>
    <row r="357" spans="1:9" x14ac:dyDescent="0.2">
      <c r="A357" s="43"/>
      <c r="B357" s="43"/>
      <c r="C357" s="43"/>
      <c r="I357" s="108"/>
    </row>
    <row r="358" spans="1:9" x14ac:dyDescent="0.2">
      <c r="A358" s="77"/>
      <c r="B358" s="77"/>
      <c r="C358" s="77"/>
      <c r="D358" s="77"/>
      <c r="E358" s="77"/>
      <c r="F358" s="77"/>
      <c r="G358" s="77"/>
      <c r="H358" s="77"/>
      <c r="I358" s="77"/>
    </row>
    <row r="360" spans="1:9" ht="15" customHeight="1" x14ac:dyDescent="0.2"/>
    <row r="442" ht="15.75" customHeight="1" x14ac:dyDescent="0.2"/>
    <row r="463" ht="15" customHeight="1" x14ac:dyDescent="0.2"/>
  </sheetData>
  <sheetProtection sheet="1" selectLockedCells="1"/>
  <dataValidations count="15">
    <dataValidation type="date" allowBlank="1" showInputMessage="1" showErrorMessage="1" errorTitle="Datum" error="Datum je neispravno upisan (primer: 23.11.2017)." sqref="F24">
      <formula1>40544</formula1>
      <formula2>2958465</formula2>
    </dataValidation>
    <dataValidation type="decimal" allowBlank="1" showInputMessage="1" showErrorMessage="1" errorTitle="Ukupna BRGP nadzemno" error="Vrednost mora biti brojčana, broj sa decimalnim zarezom i čiji je opseg od 1 do 999999." sqref="F219">
      <formula1>1</formula1>
      <formula2>999999</formula2>
    </dataValidation>
    <dataValidation type="decimal" allowBlank="1" showInputMessage="1" showErrorMessage="1" errorTitle="Ukupna površina parcele" error="Vrednost mora biti brojčana, broj sa decimalnim zarezom i čiji je opseg od 1 do 999999." sqref="F215">
      <formula1>1</formula1>
      <formula2>999999</formula2>
    </dataValidation>
    <dataValidation type="decimal" allowBlank="1" showInputMessage="1" showErrorMessage="1" errorTitle="Ukupna BRUTO izgrađena površina" error="Vrednost mora biti brojčana, broj sa decimalnim zarezom i čiji je opseg od 1 do 999999." sqref="F223">
      <formula1>1</formula1>
      <formula2>999999</formula2>
    </dataValidation>
    <dataValidation type="decimal" allowBlank="1" showInputMessage="1" showErrorMessage="1" errorTitle="Ukupna NETO korisna površina" error="Vrednost mora biti brojčana, broj sa decimalnim zarezom i čiji je opseg od 1 do 999999." sqref="F227">
      <formula1>1</formula1>
      <formula2>999999</formula2>
    </dataValidation>
    <dataValidation type="decimal" allowBlank="1" showInputMessage="1" showErrorMessage="1" errorTitle="Bruto površina prizemlja" error="Vrednost mora biti brojčana, broj sa decimalnim zarezom i čiji je opseg od 1 do 999999." sqref="F231">
      <formula1>1</formula1>
      <formula2>999999</formula2>
    </dataValidation>
    <dataValidation type="decimal" allowBlank="1" showInputMessage="1" showErrorMessage="1" errorTitle="Površina zemljišta pod objektom" error="Vrednost mora biti brojčana, broj sa decimalnim zarezom i čiji je opseg od 1 do 999999." sqref="F235">
      <formula1>1</formula1>
      <formula2>999999</formula2>
    </dataValidation>
    <dataValidation type="decimal" allowBlank="1" showInputMessage="1" showErrorMessage="1" errorTitle="Visina venca" error="Vrednost mora biti brojčana, broj sa decimalnim zarezom i čiji je opseg od 1 do 999999." sqref="F243">
      <formula1>1</formula1>
      <formula2>999999</formula2>
    </dataValidation>
    <dataValidation type="decimal" allowBlank="1" showInputMessage="1" showErrorMessage="1" errorTitle="Visina slemena" error="Vrednost mora biti brojčana, broj sa decimalnim zarezom i čiji je opseg od 1 do 999999." sqref="F247">
      <formula1>1</formula1>
      <formula2>999999</formula2>
    </dataValidation>
    <dataValidation type="decimal" allowBlank="1" showInputMessage="1" showErrorMessage="1" errorTitle="Spratna visina" error="Vrednost mora biti brojčana, broj sa decimalnim zarezom i čiji je opseg od 1 do 999999." sqref="F251">
      <formula1>1</formula1>
      <formula2>999999</formula2>
    </dataValidation>
    <dataValidation type="whole" allowBlank="1" showInputMessage="1" showErrorMessage="1" errorTitle="Broj funkcionalnih jedinica" error="Vrednost mora biti brojčana, prirodan broj i čiji je opseg od 1 do 999999." sqref="F255">
      <formula1>1</formula1>
      <formula2>999999</formula2>
    </dataValidation>
    <dataValidation type="whole" allowBlank="1" showInputMessage="1" showErrorMessage="1" errorTitle="Broj parking mesta" error="Vrednost mora biti brojčana, prirodan broj i čiji je opseg od 1 do 999999." sqref="F259">
      <formula1>1</formula1>
      <formula2>999999</formula2>
    </dataValidation>
    <dataValidation type="decimal" allowBlank="1" showInputMessage="1" showErrorMessage="1" errorTitle="Nagib krova" error="Vrednost mora biti brojčana, broj sa decimalnim zarezom i čiji je opseg od 1 do 99." sqref="F274">
      <formula1>1</formula1>
      <formula2>99</formula2>
    </dataValidation>
    <dataValidation type="decimal" allowBlank="1" showInputMessage="1" showErrorMessage="1" errorTitle="Cena po jedinici mere" error="Vrednost mora biti brojčana, broj sa decimalnim zarezom i čiji je opseg od 1 do 999999999." sqref="F297">
      <formula1>1</formula1>
      <formula2>999999999</formula2>
    </dataValidation>
    <dataValidation type="whole" allowBlank="1" showInputMessage="1" showErrorMessage="1" errorTitle="Projektna organizacija GS" error="Vrednost mora biti brojčana, prirodan broj i čiji je opseg od 0 do 1." sqref="G79 G84 G89 G94 G99 G104 G109 G114">
      <formula1>0</formula1>
      <formula2>1</formula2>
    </dataValidation>
  </dataValidations>
  <pageMargins left="0.39370078740157483" right="0.39370078740157483" top="2.3622047244094491" bottom="1.1811023622047245" header="0" footer="0"/>
  <pageSetup paperSize="151" orientation="portrait" r:id="rId1"/>
  <headerFooter scaleWithDoc="0">
    <oddHeader>&amp;C&amp;G</oddHeader>
    <oddFooter>&amp;C&amp;G</oddFooter>
  </headerFooter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C1:E199"/>
  <sheetViews>
    <sheetView showGridLines="0" showRowColHeader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3" width="2.21875" style="2" customWidth="1"/>
    <col min="4" max="4" width="80.109375" style="2" customWidth="1"/>
    <col min="5" max="189" width="2.21875" style="2" customWidth="1"/>
    <col min="190" max="16384" width="8.88671875" style="2"/>
  </cols>
  <sheetData>
    <row r="1" spans="3:5" s="1" customFormat="1" ht="30" customHeight="1" thickBot="1" x14ac:dyDescent="0.25"/>
    <row r="2" spans="3:5" ht="15.75" thickTop="1" x14ac:dyDescent="0.2">
      <c r="C2" s="32"/>
      <c r="D2" s="34"/>
      <c r="E2" s="33"/>
    </row>
    <row r="3" spans="3:5" x14ac:dyDescent="0.2">
      <c r="C3" s="32"/>
      <c r="D3" s="34"/>
      <c r="E3" s="33"/>
    </row>
    <row r="4" spans="3:5" x14ac:dyDescent="0.2">
      <c r="C4" s="32"/>
      <c r="D4" s="34"/>
      <c r="E4" s="33"/>
    </row>
    <row r="5" spans="3:5" x14ac:dyDescent="0.2">
      <c r="C5" s="32"/>
      <c r="D5" s="34"/>
      <c r="E5" s="33"/>
    </row>
    <row r="6" spans="3:5" x14ac:dyDescent="0.2">
      <c r="C6" s="32"/>
      <c r="D6" s="34"/>
      <c r="E6" s="33"/>
    </row>
    <row r="7" spans="3:5" x14ac:dyDescent="0.2">
      <c r="C7" s="3"/>
      <c r="D7" s="3"/>
      <c r="E7" s="3"/>
    </row>
    <row r="8" spans="3:5" x14ac:dyDescent="0.2">
      <c r="C8" s="4"/>
      <c r="D8" s="4"/>
      <c r="E8" s="15"/>
    </row>
    <row r="9" spans="3:5" x14ac:dyDescent="0.2">
      <c r="C9" s="35"/>
      <c r="D9" s="5"/>
      <c r="E9" s="15"/>
    </row>
    <row r="10" spans="3:5" x14ac:dyDescent="0.2">
      <c r="C10" s="35"/>
      <c r="D10" s="5"/>
      <c r="E10" s="15"/>
    </row>
    <row r="11" spans="3:5" ht="15.75" x14ac:dyDescent="0.25">
      <c r="C11" s="35"/>
      <c r="D11" s="6" t="s">
        <v>1</v>
      </c>
      <c r="E11" s="15"/>
    </row>
    <row r="12" spans="3:5" x14ac:dyDescent="0.2">
      <c r="C12" s="35"/>
      <c r="D12" s="5"/>
      <c r="E12" s="15"/>
    </row>
    <row r="13" spans="3:5" x14ac:dyDescent="0.2">
      <c r="C13" s="35"/>
      <c r="D13" s="5"/>
      <c r="E13" s="15"/>
    </row>
    <row r="14" spans="3:5" x14ac:dyDescent="0.2">
      <c r="C14" s="35"/>
      <c r="D14" s="5"/>
      <c r="E14" s="15"/>
    </row>
    <row r="15" spans="3:5" s="8" customFormat="1" x14ac:dyDescent="0.2">
      <c r="C15" s="36"/>
      <c r="D15" s="7" t="str">
        <f>IF(Investitor=0,"...",Investitor)</f>
        <v>...</v>
      </c>
      <c r="E15" s="15"/>
    </row>
    <row r="16" spans="3:5" x14ac:dyDescent="0.2">
      <c r="C16" s="35"/>
      <c r="D16" s="9" t="s">
        <v>0</v>
      </c>
      <c r="E16" s="15"/>
    </row>
    <row r="17" spans="3:5" x14ac:dyDescent="0.2">
      <c r="C17" s="35"/>
      <c r="D17" s="10" t="str">
        <f>IF(Objekat=0,"...",Objekat)</f>
        <v>...</v>
      </c>
      <c r="E17" s="15"/>
    </row>
    <row r="18" spans="3:5" x14ac:dyDescent="0.2">
      <c r="C18" s="35"/>
      <c r="D18" s="9" t="s">
        <v>2</v>
      </c>
      <c r="E18" s="15"/>
    </row>
    <row r="19" spans="3:5" x14ac:dyDescent="0.2">
      <c r="C19" s="35"/>
      <c r="D19" s="11" t="s">
        <v>165</v>
      </c>
      <c r="E19" s="15"/>
    </row>
    <row r="20" spans="3:5" x14ac:dyDescent="0.2">
      <c r="C20" s="35"/>
      <c r="D20" s="9" t="s">
        <v>3</v>
      </c>
      <c r="E20" s="15"/>
    </row>
    <row r="21" spans="3:5" x14ac:dyDescent="0.2">
      <c r="C21" s="35"/>
      <c r="D21" s="5" t="s">
        <v>4</v>
      </c>
      <c r="E21" s="15"/>
    </row>
    <row r="22" spans="3:5" x14ac:dyDescent="0.2">
      <c r="C22" s="35"/>
      <c r="D22" s="9" t="s">
        <v>5</v>
      </c>
      <c r="E22" s="15"/>
    </row>
    <row r="23" spans="3:5" x14ac:dyDescent="0.2">
      <c r="C23" s="35"/>
      <c r="D23" s="11" t="str">
        <f>IF(VrstaRadova=0,"...",VrstaRadova)</f>
        <v>...</v>
      </c>
      <c r="E23" s="15"/>
    </row>
    <row r="24" spans="3:5" x14ac:dyDescent="0.2">
      <c r="C24" s="35"/>
      <c r="D24" s="12" t="s">
        <v>6</v>
      </c>
      <c r="E24" s="15"/>
    </row>
    <row r="25" spans="3:5" x14ac:dyDescent="0.2">
      <c r="C25" s="35"/>
      <c r="D25" s="11" t="str">
        <f>IF(ProjektnaOrganizacijaGS=0,"...",ProjektnaOrganizacijaGS)</f>
        <v>...</v>
      </c>
      <c r="E25" s="15"/>
    </row>
    <row r="26" spans="3:5" x14ac:dyDescent="0.2">
      <c r="C26" s="35"/>
      <c r="D26" s="9" t="s">
        <v>7</v>
      </c>
      <c r="E26" s="15"/>
    </row>
    <row r="27" spans="3:5" x14ac:dyDescent="0.2">
      <c r="C27" s="35"/>
      <c r="D27" s="5"/>
      <c r="E27" s="15"/>
    </row>
    <row r="28" spans="3:5" x14ac:dyDescent="0.2">
      <c r="C28" s="35"/>
      <c r="D28" s="5"/>
      <c r="E28" s="15"/>
    </row>
    <row r="29" spans="3:5" x14ac:dyDescent="0.2">
      <c r="C29" s="35"/>
      <c r="D29" s="5"/>
      <c r="E29" s="15"/>
    </row>
    <row r="30" spans="3:5" x14ac:dyDescent="0.2">
      <c r="C30" s="35"/>
      <c r="D30" s="5"/>
      <c r="E30" s="15"/>
    </row>
    <row r="31" spans="3:5" x14ac:dyDescent="0.2">
      <c r="C31" s="35"/>
      <c r="D31" s="11" t="str">
        <f>IF(OdgovornoLiceGS=0,"...",OdgovornoLiceGS)</f>
        <v>...</v>
      </c>
      <c r="E31" s="15"/>
    </row>
    <row r="32" spans="3:5" x14ac:dyDescent="0.2">
      <c r="C32" s="35"/>
      <c r="D32" s="12" t="s">
        <v>8</v>
      </c>
      <c r="E32" s="15"/>
    </row>
    <row r="33" spans="3:5" x14ac:dyDescent="0.2">
      <c r="C33" s="35"/>
      <c r="D33" s="5"/>
      <c r="E33" s="15"/>
    </row>
    <row r="34" spans="3:5" x14ac:dyDescent="0.2">
      <c r="C34" s="35"/>
      <c r="D34" s="5"/>
      <c r="E34" s="15"/>
    </row>
    <row r="35" spans="3:5" x14ac:dyDescent="0.2">
      <c r="C35" s="35"/>
      <c r="D35" s="5"/>
      <c r="E35" s="15"/>
    </row>
    <row r="36" spans="3:5" x14ac:dyDescent="0.2">
      <c r="C36" s="35"/>
      <c r="D36" s="5"/>
      <c r="E36" s="15"/>
    </row>
    <row r="37" spans="3:5" x14ac:dyDescent="0.2">
      <c r="C37" s="35"/>
      <c r="D37" s="5"/>
      <c r="E37" s="15"/>
    </row>
    <row r="38" spans="3:5" x14ac:dyDescent="0.2">
      <c r="C38" s="35"/>
      <c r="D38" s="5"/>
      <c r="E38" s="15"/>
    </row>
    <row r="39" spans="3:5" x14ac:dyDescent="0.2">
      <c r="C39" s="35"/>
      <c r="D39" s="11" t="str">
        <f>IF(GlavniProjektant=0,"...",GlavniProjektant)</f>
        <v>...</v>
      </c>
      <c r="E39" s="15"/>
    </row>
    <row r="40" spans="3:5" x14ac:dyDescent="0.2">
      <c r="C40" s="35"/>
      <c r="D40" s="12" t="s">
        <v>9</v>
      </c>
      <c r="E40" s="15"/>
    </row>
    <row r="41" spans="3:5" x14ac:dyDescent="0.2">
      <c r="C41" s="35"/>
      <c r="D41" s="5"/>
      <c r="E41" s="15"/>
    </row>
    <row r="42" spans="3:5" x14ac:dyDescent="0.2">
      <c r="C42" s="35"/>
      <c r="D42" s="5"/>
      <c r="E42" s="15"/>
    </row>
    <row r="43" spans="3:5" x14ac:dyDescent="0.2">
      <c r="C43" s="35"/>
      <c r="D43" s="11" t="str">
        <f>IF(EvidencioniBroj=0,"...",EvidencioniBroj)</f>
        <v>...</v>
      </c>
      <c r="E43" s="15"/>
    </row>
    <row r="44" spans="3:5" x14ac:dyDescent="0.2">
      <c r="C44" s="35"/>
      <c r="D44" s="9" t="s">
        <v>10</v>
      </c>
      <c r="E44" s="15"/>
    </row>
    <row r="45" spans="3:5" x14ac:dyDescent="0.2">
      <c r="C45" s="35"/>
      <c r="D45" s="11" t="str">
        <f>IF(OR(Datum=0,Mesto=0),"...",Mesto&amp;", "&amp;TEXT(Datum,"DD.MM.YYYY")&amp;". godine")</f>
        <v>...</v>
      </c>
      <c r="E45" s="15"/>
    </row>
    <row r="46" spans="3:5" x14ac:dyDescent="0.2">
      <c r="C46" s="35"/>
      <c r="D46" s="9" t="s">
        <v>11</v>
      </c>
      <c r="E46" s="15"/>
    </row>
    <row r="47" spans="3:5" x14ac:dyDescent="0.2">
      <c r="C47" s="16"/>
      <c r="D47" s="17"/>
      <c r="E47" s="17"/>
    </row>
    <row r="48" spans="3:5" x14ac:dyDescent="0.2">
      <c r="E48" s="14"/>
    </row>
    <row r="96" ht="15" customHeight="1" x14ac:dyDescent="0.2"/>
    <row r="178" ht="15.75" customHeight="1" x14ac:dyDescent="0.2"/>
    <row r="199" ht="15" customHeight="1" x14ac:dyDescent="0.2"/>
  </sheetData>
  <pageMargins left="0.39370078740157483" right="0.39370078740157483" top="2.3622047244094491" bottom="1.1811023622047245" header="0" footer="0"/>
  <pageSetup paperSize="151" orientation="portrait" r:id="rId1"/>
  <headerFooter scaleWithDoc="0">
    <oddHeader>&amp;C&amp;G</oddHeader>
    <oddFooter>&amp;C&amp;G</oddFooter>
  </headerFooter>
  <drawing r:id="rId2"/>
  <legacyDrawing r:id="rId3"/>
  <legacyDrawingHF r:id="rId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88"/>
  <sheetViews>
    <sheetView showGridLines="0" showRowColHeader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3" width="2.21875" style="20" customWidth="1"/>
    <col min="4" max="4" width="69.77734375" style="20" customWidth="1"/>
    <col min="5" max="187" width="2.21875" style="20" customWidth="1"/>
    <col min="188" max="16384" width="8.88671875" style="20"/>
  </cols>
  <sheetData>
    <row r="1" spans="3:5" s="19" customFormat="1" ht="30" customHeight="1" thickBot="1" x14ac:dyDescent="0.25"/>
    <row r="2" spans="3:5" ht="15.75" thickTop="1" x14ac:dyDescent="0.2"/>
    <row r="7" spans="3:5" x14ac:dyDescent="0.2">
      <c r="C7" s="3"/>
      <c r="D7" s="3"/>
      <c r="E7" s="3"/>
    </row>
    <row r="8" spans="3:5" x14ac:dyDescent="0.2">
      <c r="C8" s="4"/>
      <c r="D8" s="4"/>
      <c r="E8" s="15"/>
    </row>
    <row r="9" spans="3:5" x14ac:dyDescent="0.2">
      <c r="C9" s="18"/>
      <c r="D9" s="5"/>
      <c r="E9" s="15"/>
    </row>
    <row r="10" spans="3:5" x14ac:dyDescent="0.2">
      <c r="C10" s="18"/>
      <c r="D10" s="5"/>
      <c r="E10" s="15"/>
    </row>
    <row r="11" spans="3:5" ht="15.75" x14ac:dyDescent="0.25">
      <c r="C11" s="18"/>
      <c r="D11" s="6" t="s">
        <v>43</v>
      </c>
      <c r="E11" s="15"/>
    </row>
    <row r="12" spans="3:5" x14ac:dyDescent="0.2">
      <c r="C12" s="18"/>
      <c r="D12" s="5"/>
      <c r="E12" s="15"/>
    </row>
    <row r="13" spans="3:5" x14ac:dyDescent="0.2">
      <c r="C13" s="18"/>
      <c r="D13" s="5"/>
      <c r="E13" s="15"/>
    </row>
    <row r="14" spans="3:5" x14ac:dyDescent="0.2">
      <c r="C14" s="18"/>
      <c r="D14" s="5"/>
      <c r="E14" s="15"/>
    </row>
    <row r="15" spans="3:5" x14ac:dyDescent="0.2">
      <c r="C15" s="18"/>
      <c r="D15" s="5" t="s">
        <v>44</v>
      </c>
      <c r="E15" s="15"/>
    </row>
    <row r="16" spans="3:5" x14ac:dyDescent="0.2">
      <c r="C16" s="18"/>
      <c r="D16" s="5"/>
      <c r="E16" s="15"/>
    </row>
    <row r="17" spans="1:5" x14ac:dyDescent="0.2">
      <c r="C17" s="18"/>
      <c r="D17" s="5" t="s">
        <v>45</v>
      </c>
      <c r="E17" s="15"/>
    </row>
    <row r="18" spans="1:5" x14ac:dyDescent="0.2">
      <c r="C18" s="18"/>
      <c r="D18" s="5"/>
      <c r="E18" s="15"/>
    </row>
    <row r="19" spans="1:5" x14ac:dyDescent="0.2">
      <c r="C19" s="18"/>
      <c r="D19" s="5" t="s">
        <v>46</v>
      </c>
      <c r="E19" s="15"/>
    </row>
    <row r="20" spans="1:5" x14ac:dyDescent="0.2">
      <c r="A20"/>
      <c r="B20"/>
      <c r="C20" s="18"/>
      <c r="D20" s="5"/>
      <c r="E20" s="15"/>
    </row>
    <row r="21" spans="1:5" x14ac:dyDescent="0.2">
      <c r="C21" s="18"/>
      <c r="D21" s="5" t="s">
        <v>47</v>
      </c>
      <c r="E21" s="15"/>
    </row>
    <row r="22" spans="1:5" x14ac:dyDescent="0.2">
      <c r="C22" s="18"/>
      <c r="D22" s="5"/>
      <c r="E22" s="15"/>
    </row>
    <row r="23" spans="1:5" x14ac:dyDescent="0.2">
      <c r="C23" s="18"/>
      <c r="D23" s="5" t="s">
        <v>48</v>
      </c>
      <c r="E23" s="15"/>
    </row>
    <row r="24" spans="1:5" x14ac:dyDescent="0.2">
      <c r="C24" s="18"/>
      <c r="D24" s="5"/>
      <c r="E24" s="15"/>
    </row>
    <row r="25" spans="1:5" x14ac:dyDescent="0.2">
      <c r="C25" s="18"/>
      <c r="D25" s="5" t="s">
        <v>49</v>
      </c>
      <c r="E25" s="15"/>
    </row>
    <row r="26" spans="1:5" x14ac:dyDescent="0.2">
      <c r="C26" s="18"/>
      <c r="D26" s="5"/>
      <c r="E26" s="15"/>
    </row>
    <row r="27" spans="1:5" x14ac:dyDescent="0.2">
      <c r="C27" s="18"/>
      <c r="D27" s="5" t="s">
        <v>50</v>
      </c>
      <c r="E27" s="15"/>
    </row>
    <row r="28" spans="1:5" x14ac:dyDescent="0.2">
      <c r="C28" s="18"/>
      <c r="E28" s="15"/>
    </row>
    <row r="29" spans="1:5" x14ac:dyDescent="0.2">
      <c r="C29" s="18"/>
      <c r="D29" s="5" t="str">
        <f>IF(ProjekatEEE=0,"/","0.8. Izjava ovlašćenog lica koje je izradilo elaborat energetse efikasnosti")</f>
        <v>/</v>
      </c>
      <c r="E29" s="15"/>
    </row>
    <row r="30" spans="1:5" x14ac:dyDescent="0.2">
      <c r="C30" s="18"/>
      <c r="D30" s="5"/>
      <c r="E30" s="15"/>
    </row>
    <row r="31" spans="1:5" x14ac:dyDescent="0.2">
      <c r="C31" s="18"/>
      <c r="D31" s="5" t="str">
        <f>IF(ProjekatPPZ=0,"/","0.9. Izjava ovlašćenog lica koje je izradilo elaborat zaštite od požara")</f>
        <v>/</v>
      </c>
      <c r="E31" s="15"/>
    </row>
    <row r="32" spans="1:5" x14ac:dyDescent="0.2">
      <c r="C32" s="18"/>
      <c r="D32" s="5"/>
      <c r="E32" s="15"/>
    </row>
    <row r="33" spans="3:5" x14ac:dyDescent="0.2">
      <c r="C33" s="13"/>
      <c r="D33" s="13"/>
      <c r="E33" s="13"/>
    </row>
    <row r="85" ht="15" customHeight="1" x14ac:dyDescent="0.2"/>
    <row r="167" ht="15.75" customHeight="1" x14ac:dyDescent="0.2"/>
    <row r="188" ht="15" customHeight="1" x14ac:dyDescent="0.2"/>
  </sheetData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C1:E154"/>
  <sheetViews>
    <sheetView showGridLines="0" showRowColHeaders="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3" width="2.21875" style="20" customWidth="1"/>
    <col min="4" max="4" width="69.77734375" style="20" customWidth="1"/>
    <col min="5" max="185" width="2.21875" style="20" customWidth="1"/>
    <col min="186" max="16384" width="8.88671875" style="20"/>
  </cols>
  <sheetData>
    <row r="1" spans="3:5" s="19" customFormat="1" ht="30" customHeight="1" thickBot="1" x14ac:dyDescent="0.25"/>
    <row r="2" spans="3:5" ht="15.75" thickTop="1" x14ac:dyDescent="0.2"/>
    <row r="7" spans="3:5" x14ac:dyDescent="0.2">
      <c r="C7" s="3"/>
      <c r="D7" s="3"/>
      <c r="E7" s="3"/>
    </row>
    <row r="8" spans="3:5" x14ac:dyDescent="0.2">
      <c r="C8" s="4"/>
      <c r="D8" s="4"/>
      <c r="E8" s="15"/>
    </row>
    <row r="9" spans="3:5" x14ac:dyDescent="0.2">
      <c r="C9" s="18"/>
      <c r="D9" s="5"/>
      <c r="E9" s="15"/>
    </row>
    <row r="10" spans="3:5" x14ac:dyDescent="0.2">
      <c r="C10" s="18"/>
      <c r="D10" s="5"/>
      <c r="E10" s="15"/>
    </row>
    <row r="11" spans="3:5" ht="15.75" x14ac:dyDescent="0.25">
      <c r="C11" s="18"/>
      <c r="D11" s="6" t="s">
        <v>51</v>
      </c>
      <c r="E11" s="15"/>
    </row>
    <row r="12" spans="3:5" x14ac:dyDescent="0.2">
      <c r="C12" s="18"/>
      <c r="D12" s="5"/>
      <c r="E12" s="15"/>
    </row>
    <row r="13" spans="3:5" x14ac:dyDescent="0.2">
      <c r="C13" s="18"/>
      <c r="D13" s="5"/>
      <c r="E13" s="15"/>
    </row>
    <row r="14" spans="3:5" x14ac:dyDescent="0.2">
      <c r="C14" s="18"/>
      <c r="D14" s="5"/>
      <c r="E14" s="15"/>
    </row>
    <row r="15" spans="3:5" ht="75" x14ac:dyDescent="0.2">
      <c r="C15" s="18"/>
      <c r="D15" s="5" t="s">
        <v>52</v>
      </c>
      <c r="E15" s="15"/>
    </row>
    <row r="16" spans="3:5" x14ac:dyDescent="0.2">
      <c r="C16" s="18"/>
      <c r="D16" s="5"/>
      <c r="E16" s="15"/>
    </row>
    <row r="17" spans="3:5" x14ac:dyDescent="0.2">
      <c r="C17" s="18"/>
      <c r="D17" s="5"/>
      <c r="E17" s="15"/>
    </row>
    <row r="18" spans="3:5" x14ac:dyDescent="0.2">
      <c r="C18" s="18"/>
      <c r="D18" s="5"/>
      <c r="E18" s="15"/>
    </row>
    <row r="19" spans="3:5" ht="15.75" x14ac:dyDescent="0.25">
      <c r="C19" s="18"/>
      <c r="D19" s="6" t="s">
        <v>53</v>
      </c>
      <c r="E19" s="15"/>
    </row>
    <row r="20" spans="3:5" x14ac:dyDescent="0.2">
      <c r="C20" s="18"/>
      <c r="D20" s="5"/>
      <c r="E20" s="15"/>
    </row>
    <row r="21" spans="3:5" x14ac:dyDescent="0.2">
      <c r="C21" s="18"/>
      <c r="D21" s="5"/>
      <c r="E21" s="15"/>
    </row>
    <row r="22" spans="3:5" x14ac:dyDescent="0.2">
      <c r="C22" s="18"/>
      <c r="D22" s="5"/>
      <c r="E22" s="15"/>
    </row>
    <row r="23" spans="3:5" x14ac:dyDescent="0.2">
      <c r="C23" s="18"/>
      <c r="D23" s="11" t="str">
        <f>IF(OR(ObjekatIzKonteksta=0,VrstaRadovaIzKonteksta=0),"...","za Projekat za građevinsku dozvolu (PGD), za "&amp;VrstaRadovaIzKonteksta&amp;", "&amp;ObjekatIzKonteksta&amp;", određuje se:")</f>
        <v>...</v>
      </c>
      <c r="E23" s="15"/>
    </row>
    <row r="24" spans="3:5" x14ac:dyDescent="0.2">
      <c r="C24" s="18"/>
      <c r="D24" s="5"/>
      <c r="E24" s="15"/>
    </row>
    <row r="25" spans="3:5" x14ac:dyDescent="0.2">
      <c r="C25" s="18"/>
      <c r="D25" s="5"/>
      <c r="E25" s="15"/>
    </row>
    <row r="26" spans="3:5" x14ac:dyDescent="0.2">
      <c r="C26" s="18"/>
      <c r="D26" s="5"/>
      <c r="E26" s="15"/>
    </row>
    <row r="27" spans="3:5" x14ac:dyDescent="0.2">
      <c r="C27" s="18"/>
      <c r="D27" s="21" t="str">
        <f>IF(GlavniProjektant=0,"...",GlavniProjektant)</f>
        <v>...</v>
      </c>
      <c r="E27" s="15"/>
    </row>
    <row r="28" spans="3:5" x14ac:dyDescent="0.2">
      <c r="C28" s="18"/>
      <c r="D28" s="22" t="s">
        <v>54</v>
      </c>
      <c r="E28" s="15"/>
    </row>
    <row r="29" spans="3:5" x14ac:dyDescent="0.2">
      <c r="C29" s="18"/>
      <c r="D29" s="5"/>
      <c r="E29" s="15"/>
    </row>
    <row r="30" spans="3:5" x14ac:dyDescent="0.2">
      <c r="C30" s="18"/>
      <c r="D30" s="5"/>
      <c r="E30" s="15"/>
    </row>
    <row r="31" spans="3:5" x14ac:dyDescent="0.2">
      <c r="C31" s="18"/>
      <c r="D31" s="5"/>
      <c r="E31" s="15"/>
    </row>
    <row r="32" spans="3:5" x14ac:dyDescent="0.2">
      <c r="C32" s="18"/>
      <c r="D32" s="23" t="str">
        <f>IF(Investitor=0,"...",Investitor)</f>
        <v>...</v>
      </c>
      <c r="E32" s="15"/>
    </row>
    <row r="33" spans="3:5" x14ac:dyDescent="0.2">
      <c r="C33" s="18"/>
      <c r="D33" s="9" t="s">
        <v>0</v>
      </c>
      <c r="E33" s="15"/>
    </row>
    <row r="34" spans="3:5" x14ac:dyDescent="0.2">
      <c r="C34" s="18"/>
      <c r="D34" s="5"/>
      <c r="E34" s="15"/>
    </row>
    <row r="35" spans="3:5" x14ac:dyDescent="0.2">
      <c r="C35" s="18"/>
      <c r="D35" s="5"/>
      <c r="E35" s="15"/>
    </row>
    <row r="36" spans="3:5" x14ac:dyDescent="0.2">
      <c r="C36" s="18"/>
      <c r="D36" s="5"/>
      <c r="E36" s="15"/>
    </row>
    <row r="37" spans="3:5" x14ac:dyDescent="0.2">
      <c r="C37" s="18"/>
      <c r="D37" s="5"/>
      <c r="E37" s="15"/>
    </row>
    <row r="38" spans="3:5" x14ac:dyDescent="0.2">
      <c r="C38" s="18"/>
      <c r="D38" s="11" t="str">
        <f>IF(OdgovornoLice=0,"...",OdgovornoLice)</f>
        <v>...</v>
      </c>
      <c r="E38" s="15"/>
    </row>
    <row r="39" spans="3:5" x14ac:dyDescent="0.2">
      <c r="C39" s="18"/>
      <c r="D39" s="12" t="s">
        <v>8</v>
      </c>
      <c r="E39" s="15"/>
    </row>
    <row r="40" spans="3:5" x14ac:dyDescent="0.2">
      <c r="C40" s="18"/>
      <c r="D40" s="5"/>
      <c r="E40" s="15"/>
    </row>
    <row r="41" spans="3:5" x14ac:dyDescent="0.2">
      <c r="C41" s="13"/>
      <c r="D41" s="13"/>
      <c r="E41" s="13"/>
    </row>
    <row r="42" spans="3:5" x14ac:dyDescent="0.2">
      <c r="E42" s="14"/>
    </row>
    <row r="51" ht="15" customHeight="1" x14ac:dyDescent="0.2"/>
    <row r="133" ht="15.75" customHeight="1" x14ac:dyDescent="0.2"/>
    <row r="154" ht="15" customHeight="1" x14ac:dyDescent="0.2"/>
  </sheetData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 r:id="rId3"/>
  <legacyDrawingHF r:id="rId4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C1:E118"/>
  <sheetViews>
    <sheetView showGridLines="0" showRowColHeaders="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3" width="2.21875" style="20" customWidth="1"/>
    <col min="4" max="4" width="69.77734375" style="20" customWidth="1"/>
    <col min="5" max="187" width="2.21875" style="20" customWidth="1"/>
    <col min="188" max="16384" width="8.88671875" style="20"/>
  </cols>
  <sheetData>
    <row r="1" spans="3:5" s="19" customFormat="1" ht="30" customHeight="1" thickBot="1" x14ac:dyDescent="0.25"/>
    <row r="2" spans="3:5" ht="15.75" thickTop="1" x14ac:dyDescent="0.2"/>
    <row r="7" spans="3:5" x14ac:dyDescent="0.2">
      <c r="C7" s="3"/>
      <c r="D7" s="3"/>
      <c r="E7" s="3"/>
    </row>
    <row r="8" spans="3:5" x14ac:dyDescent="0.2">
      <c r="C8" s="4"/>
      <c r="D8" s="4"/>
      <c r="E8" s="15"/>
    </row>
    <row r="9" spans="3:5" x14ac:dyDescent="0.2">
      <c r="C9" s="18"/>
      <c r="D9" s="5"/>
      <c r="E9" s="15"/>
    </row>
    <row r="10" spans="3:5" x14ac:dyDescent="0.2">
      <c r="C10" s="18"/>
      <c r="D10" s="5"/>
      <c r="E10" s="15"/>
    </row>
    <row r="11" spans="3:5" ht="15.75" x14ac:dyDescent="0.25">
      <c r="C11" s="18"/>
      <c r="D11" s="6" t="s">
        <v>55</v>
      </c>
      <c r="E11" s="15"/>
    </row>
    <row r="12" spans="3:5" x14ac:dyDescent="0.2">
      <c r="C12" s="18"/>
      <c r="D12" s="5"/>
      <c r="E12" s="15"/>
    </row>
    <row r="13" spans="3:5" x14ac:dyDescent="0.2">
      <c r="C13" s="18"/>
      <c r="D13" s="5"/>
      <c r="E13" s="15"/>
    </row>
    <row r="14" spans="3:5" x14ac:dyDescent="0.2">
      <c r="C14" s="18"/>
      <c r="D14" s="5"/>
      <c r="E14" s="15"/>
    </row>
    <row r="15" spans="3:5" x14ac:dyDescent="0.2">
      <c r="C15" s="18"/>
      <c r="D15" s="11" t="str">
        <f>IF(OR(ObjekatIzKonteksta=0,VrstaRadovaIzKonteksta=0),"...","Glavni projektant Projekta za građevinku dozvolu (PGD), za "&amp;VrstaRadovaIzKonteksta&amp;", "&amp;ObjekatIzKonteksta&amp;",")</f>
        <v>...</v>
      </c>
      <c r="E15" s="15"/>
    </row>
    <row r="16" spans="3:5" x14ac:dyDescent="0.2">
      <c r="C16" s="18"/>
      <c r="D16" s="5"/>
      <c r="E16" s="15"/>
    </row>
    <row r="17" spans="3:5" x14ac:dyDescent="0.2">
      <c r="C17" s="18"/>
      <c r="D17" s="5"/>
      <c r="E17" s="15"/>
    </row>
    <row r="18" spans="3:5" x14ac:dyDescent="0.2">
      <c r="C18" s="18"/>
      <c r="D18" s="5"/>
      <c r="E18" s="15"/>
    </row>
    <row r="19" spans="3:5" x14ac:dyDescent="0.2">
      <c r="C19" s="18"/>
      <c r="D19" s="21" t="str">
        <f>IF(GlavniProjektant=0,"...",GlavniProjektant)</f>
        <v>...</v>
      </c>
      <c r="E19" s="15"/>
    </row>
    <row r="20" spans="3:5" x14ac:dyDescent="0.2">
      <c r="C20" s="18"/>
      <c r="D20" s="22" t="s">
        <v>54</v>
      </c>
      <c r="E20" s="15"/>
    </row>
    <row r="21" spans="3:5" x14ac:dyDescent="0.2">
      <c r="C21" s="18"/>
      <c r="D21" s="5"/>
      <c r="E21" s="15"/>
    </row>
    <row r="22" spans="3:5" x14ac:dyDescent="0.2">
      <c r="C22" s="18"/>
      <c r="D22" s="5"/>
      <c r="E22" s="15"/>
    </row>
    <row r="23" spans="3:5" x14ac:dyDescent="0.2">
      <c r="C23" s="18"/>
      <c r="D23" s="5"/>
      <c r="E23" s="15"/>
    </row>
    <row r="24" spans="3:5" ht="15.75" x14ac:dyDescent="0.25">
      <c r="C24" s="18"/>
      <c r="D24" s="6" t="s">
        <v>56</v>
      </c>
      <c r="E24" s="15"/>
    </row>
    <row r="25" spans="3:5" x14ac:dyDescent="0.2">
      <c r="C25" s="18"/>
      <c r="D25" s="5"/>
      <c r="E25" s="15"/>
    </row>
    <row r="26" spans="3:5" x14ac:dyDescent="0.2">
      <c r="C26" s="18"/>
      <c r="D26" s="5"/>
      <c r="E26" s="15"/>
    </row>
    <row r="27" spans="3:5" x14ac:dyDescent="0.2">
      <c r="C27" s="18"/>
      <c r="D27" s="5"/>
      <c r="E27" s="15"/>
    </row>
    <row r="28" spans="3:5" ht="45" x14ac:dyDescent="0.2">
      <c r="C28" s="18"/>
      <c r="D28" s="11" t="s">
        <v>167</v>
      </c>
      <c r="E28" s="15"/>
    </row>
    <row r="29" spans="3:5" x14ac:dyDescent="0.2">
      <c r="C29" s="18"/>
      <c r="D29" s="11"/>
      <c r="E29" s="15"/>
    </row>
    <row r="30" spans="3:5" x14ac:dyDescent="0.2">
      <c r="C30" s="18"/>
      <c r="D30" s="5"/>
      <c r="E30" s="15"/>
    </row>
    <row r="31" spans="3:5" x14ac:dyDescent="0.2">
      <c r="C31" s="18"/>
      <c r="D31" s="5"/>
      <c r="E31" s="15"/>
    </row>
    <row r="32" spans="3:5" x14ac:dyDescent="0.2">
      <c r="C32" s="18"/>
      <c r="D32" s="24" t="s">
        <v>57</v>
      </c>
      <c r="E32" s="15"/>
    </row>
    <row r="33" spans="3:5" x14ac:dyDescent="0.2">
      <c r="C33" s="18"/>
      <c r="D33" s="107" t="str">
        <f>IF(ProjekatA=0,"/","1. PROJEKAT ARHITEKTURE")</f>
        <v>/</v>
      </c>
      <c r="E33" s="15"/>
    </row>
    <row r="34" spans="3:5" x14ac:dyDescent="0.2">
      <c r="C34" s="18"/>
      <c r="D34" s="107" t="str">
        <f>IF(ProjekatK=0,"/","2/1. PROJEKAT KONSTRUKCIJE")</f>
        <v>/</v>
      </c>
      <c r="E34" s="15"/>
    </row>
    <row r="35" spans="3:5" x14ac:dyDescent="0.2">
      <c r="C35" s="18"/>
      <c r="D35" s="107" t="str">
        <f>IF(ProjekatH=0,"/","3. PROJEKAT HIDROTEHNIČKIH INSTALACIJA")</f>
        <v>/</v>
      </c>
      <c r="E35" s="15"/>
    </row>
    <row r="36" spans="3:5" x14ac:dyDescent="0.2">
      <c r="C36" s="18"/>
      <c r="D36" s="107" t="str">
        <f>IF(ProjekatE=0,"/","4. PROJEKAT ELEKTROENERGETSKIH INSTALACIJA")</f>
        <v>/</v>
      </c>
      <c r="E36" s="15"/>
    </row>
    <row r="37" spans="3:5" x14ac:dyDescent="0.2">
      <c r="C37" s="18"/>
      <c r="D37" s="107" t="str">
        <f>IF(ProjekatTS=0,"/","5. PROJEKAT TELEKOMUNIKACIONIH I SIGNALNIH INSTALACIJA")</f>
        <v>/</v>
      </c>
      <c r="E37" s="15"/>
    </row>
    <row r="38" spans="3:5" x14ac:dyDescent="0.2">
      <c r="C38" s="18"/>
      <c r="D38" s="107" t="str">
        <f>IF(ProjekatM=0,"/","6. PROJEKAT MAŠINSKIH INSTALACIJA")</f>
        <v>/</v>
      </c>
      <c r="E38" s="15"/>
    </row>
    <row r="39" spans="3:5" x14ac:dyDescent="0.2">
      <c r="C39" s="18"/>
      <c r="D39" s="107" t="str">
        <f>IF(ProjekatEEE=0,"/","ELABORAT ENERGETSKE EFIKASNOSTI")</f>
        <v>/</v>
      </c>
      <c r="E39" s="15"/>
    </row>
    <row r="40" spans="3:5" x14ac:dyDescent="0.2">
      <c r="C40" s="18"/>
      <c r="D40" s="31" t="str">
        <f>IF(ProjekatPPZ=0,"/","ELABORAT ZAŠTITE OD POŽARA")</f>
        <v>/</v>
      </c>
      <c r="E40" s="15"/>
    </row>
    <row r="41" spans="3:5" x14ac:dyDescent="0.2">
      <c r="C41" s="18"/>
      <c r="D41" s="5"/>
      <c r="E41" s="15"/>
    </row>
    <row r="42" spans="3:5" x14ac:dyDescent="0.2">
      <c r="C42" s="18"/>
      <c r="D42" s="5"/>
      <c r="E42" s="15"/>
    </row>
    <row r="43" spans="3:5" x14ac:dyDescent="0.2">
      <c r="C43" s="18"/>
      <c r="D43" s="5"/>
      <c r="E43" s="15"/>
    </row>
    <row r="44" spans="3:5" x14ac:dyDescent="0.2">
      <c r="C44" s="18"/>
      <c r="D44" s="5"/>
      <c r="E44" s="15"/>
    </row>
    <row r="45" spans="3:5" x14ac:dyDescent="0.2">
      <c r="C45" s="18"/>
      <c r="D45" s="5"/>
      <c r="E45" s="15"/>
    </row>
    <row r="46" spans="3:5" x14ac:dyDescent="0.2">
      <c r="C46" s="18"/>
      <c r="D46" s="5"/>
      <c r="E46" s="15"/>
    </row>
    <row r="47" spans="3:5" x14ac:dyDescent="0.2">
      <c r="C47" s="18"/>
      <c r="D47" s="11" t="str">
        <f>IF(GlavniProjektant=0,"...",GlavniProjektant)</f>
        <v>...</v>
      </c>
      <c r="E47" s="15"/>
    </row>
    <row r="48" spans="3:5" x14ac:dyDescent="0.2">
      <c r="C48" s="18"/>
      <c r="D48" s="12" t="s">
        <v>54</v>
      </c>
      <c r="E48" s="15"/>
    </row>
    <row r="49" spans="3:5" x14ac:dyDescent="0.2">
      <c r="C49" s="18"/>
      <c r="D49" s="5"/>
      <c r="E49" s="15"/>
    </row>
    <row r="50" spans="3:5" x14ac:dyDescent="0.2">
      <c r="C50" s="13"/>
      <c r="D50" s="13"/>
      <c r="E50" s="13"/>
    </row>
    <row r="51" spans="3:5" x14ac:dyDescent="0.2">
      <c r="E51" s="14"/>
    </row>
    <row r="97" ht="15.75" customHeight="1" x14ac:dyDescent="0.2"/>
    <row r="118" ht="15" customHeight="1" x14ac:dyDescent="0.2"/>
  </sheetData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ignoredErrors>
    <ignoredError sqref="D34 D39" formula="1"/>
  </ignoredErrors>
  <drawing r:id="rId2"/>
  <legacyDrawing r:id="rId3"/>
  <legacyDrawingHF r:id="rId4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C1:E53"/>
  <sheetViews>
    <sheetView showGridLines="0" showRowColHeaders="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3" width="2.21875" style="20" customWidth="1"/>
    <col min="4" max="4" width="69.77734375" style="20" customWidth="1"/>
    <col min="5" max="187" width="2.21875" style="20" customWidth="1"/>
    <col min="188" max="16384" width="8.88671875" style="20"/>
  </cols>
  <sheetData>
    <row r="1" spans="3:5" s="19" customFormat="1" ht="30" customHeight="1" thickBot="1" x14ac:dyDescent="0.25"/>
    <row r="2" spans="3:5" ht="15.75" thickTop="1" x14ac:dyDescent="0.2"/>
    <row r="7" spans="3:5" x14ac:dyDescent="0.2">
      <c r="C7" s="3"/>
      <c r="D7" s="3"/>
      <c r="E7" s="3"/>
    </row>
    <row r="8" spans="3:5" x14ac:dyDescent="0.2">
      <c r="C8" s="4"/>
      <c r="D8" s="4"/>
      <c r="E8" s="15"/>
    </row>
    <row r="9" spans="3:5" x14ac:dyDescent="0.2">
      <c r="C9" s="18"/>
      <c r="D9" s="5"/>
      <c r="E9" s="15"/>
    </row>
    <row r="10" spans="3:5" x14ac:dyDescent="0.2">
      <c r="C10" s="18"/>
      <c r="D10" s="5"/>
      <c r="E10" s="15"/>
    </row>
    <row r="11" spans="3:5" ht="15.75" x14ac:dyDescent="0.25">
      <c r="C11" s="18"/>
      <c r="D11" s="6" t="s">
        <v>59</v>
      </c>
      <c r="E11" s="15"/>
    </row>
    <row r="12" spans="3:5" x14ac:dyDescent="0.2">
      <c r="C12" s="18"/>
      <c r="D12" s="5"/>
      <c r="E12" s="15"/>
    </row>
    <row r="13" spans="3:5" x14ac:dyDescent="0.2">
      <c r="C13" s="18"/>
      <c r="D13" s="5"/>
      <c r="E13" s="15"/>
    </row>
    <row r="14" spans="3:5" x14ac:dyDescent="0.2">
      <c r="C14" s="18"/>
      <c r="D14" s="5"/>
      <c r="E14" s="15"/>
    </row>
    <row r="15" spans="3:5" x14ac:dyDescent="0.2">
      <c r="C15" s="18"/>
      <c r="D15" s="5" t="s">
        <v>57</v>
      </c>
      <c r="E15" s="15"/>
    </row>
    <row r="16" spans="3:5" x14ac:dyDescent="0.2">
      <c r="C16" s="18"/>
      <c r="D16" s="5"/>
      <c r="E16" s="15"/>
    </row>
    <row r="17" spans="3:5" x14ac:dyDescent="0.2">
      <c r="C17" s="18"/>
      <c r="D17" s="107" t="str">
        <f>IF(ProjekatA=0,"/","1. PROJEKAT ARHITEKTURE")</f>
        <v>/</v>
      </c>
      <c r="E17" s="15"/>
    </row>
    <row r="18" spans="3:5" x14ac:dyDescent="0.2">
      <c r="C18" s="18"/>
      <c r="D18" s="107"/>
      <c r="E18" s="15"/>
    </row>
    <row r="19" spans="3:5" x14ac:dyDescent="0.2">
      <c r="C19" s="18"/>
      <c r="D19" s="107" t="str">
        <f>IF(ProjekatK=0,"/","2/1. PROJEKAT KONSTRUKCIJE")</f>
        <v>/</v>
      </c>
      <c r="E19" s="15"/>
    </row>
    <row r="20" spans="3:5" x14ac:dyDescent="0.2">
      <c r="C20" s="18"/>
      <c r="D20" s="107"/>
      <c r="E20" s="15"/>
    </row>
    <row r="21" spans="3:5" x14ac:dyDescent="0.2">
      <c r="C21" s="18"/>
      <c r="D21" s="107" t="str">
        <f>IF(ProjekatH=0,"/","3. PROJEKAT HIDROTEHNIČKIH INSTALACIJA")</f>
        <v>/</v>
      </c>
      <c r="E21" s="15"/>
    </row>
    <row r="22" spans="3:5" x14ac:dyDescent="0.2">
      <c r="C22" s="18"/>
      <c r="D22" s="107"/>
      <c r="E22" s="15"/>
    </row>
    <row r="23" spans="3:5" x14ac:dyDescent="0.2">
      <c r="C23" s="18"/>
      <c r="D23" s="107" t="str">
        <f>IF(ProjekatE=0,"/","4. PROJEKAT ELEKTROENERGETSKIH INSTALACIJA")</f>
        <v>/</v>
      </c>
      <c r="E23" s="15"/>
    </row>
    <row r="24" spans="3:5" x14ac:dyDescent="0.2">
      <c r="C24" s="18"/>
      <c r="D24" s="107"/>
      <c r="E24" s="15"/>
    </row>
    <row r="25" spans="3:5" x14ac:dyDescent="0.2">
      <c r="C25" s="18"/>
      <c r="D25" s="107" t="str">
        <f>IF(ProjekatTS=0,"/","5. PROJEKAT TELEKOMUNIKACIONIH I SIGNALNIH INSTALACIJA")</f>
        <v>/</v>
      </c>
      <c r="E25" s="15"/>
    </row>
    <row r="26" spans="3:5" x14ac:dyDescent="0.2">
      <c r="C26" s="18"/>
      <c r="D26" s="107"/>
      <c r="E26" s="15"/>
    </row>
    <row r="27" spans="3:5" x14ac:dyDescent="0.2">
      <c r="C27" s="18"/>
      <c r="D27" s="107" t="str">
        <f>IF(ProjekatM=0,"/","6. PROJEKAT MAŠINSKIH INSTALACIJA")</f>
        <v>/</v>
      </c>
      <c r="E27" s="15"/>
    </row>
    <row r="28" spans="3:5" x14ac:dyDescent="0.2">
      <c r="C28" s="18"/>
      <c r="D28" s="107"/>
      <c r="E28" s="15"/>
    </row>
    <row r="29" spans="3:5" x14ac:dyDescent="0.2">
      <c r="C29" s="18"/>
      <c r="D29" s="107" t="str">
        <f>IF(ProjekatEEE=0,"/","ELABORAT ENERGETSKE EFIKASNOSTI")</f>
        <v>/</v>
      </c>
      <c r="E29" s="15"/>
    </row>
    <row r="30" spans="3:5" x14ac:dyDescent="0.2">
      <c r="C30" s="18"/>
      <c r="D30" s="107"/>
      <c r="E30" s="15"/>
    </row>
    <row r="31" spans="3:5" x14ac:dyDescent="0.2">
      <c r="C31" s="18"/>
      <c r="D31" s="107" t="str">
        <f>IF(ProjekatPPZ=0,"/","ELABORAT ZAŠTITE OD POŽARA")</f>
        <v>/</v>
      </c>
      <c r="E31" s="15"/>
    </row>
    <row r="32" spans="3:5" x14ac:dyDescent="0.2">
      <c r="C32" s="18"/>
      <c r="D32" s="5"/>
      <c r="E32" s="15"/>
    </row>
    <row r="33" spans="3:5" x14ac:dyDescent="0.2">
      <c r="C33" s="13"/>
      <c r="D33" s="13"/>
      <c r="E33" s="13"/>
    </row>
    <row r="34" spans="3:5" x14ac:dyDescent="0.2">
      <c r="E34" s="14"/>
    </row>
    <row r="53" ht="15" customHeight="1" x14ac:dyDescent="0.2"/>
  </sheetData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C1:E115"/>
  <sheetViews>
    <sheetView showGridLines="0" showRowColHeaders="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3" width="2.21875" style="20" customWidth="1"/>
    <col min="4" max="4" width="69.77734375" style="20" customWidth="1"/>
    <col min="5" max="187" width="2.21875" style="20" customWidth="1"/>
    <col min="188" max="16384" width="8.88671875" style="20"/>
  </cols>
  <sheetData>
    <row r="1" spans="3:5" s="19" customFormat="1" ht="30" customHeight="1" thickBot="1" x14ac:dyDescent="0.25"/>
    <row r="2" spans="3:5" ht="15.75" thickTop="1" x14ac:dyDescent="0.2"/>
    <row r="7" spans="3:5" x14ac:dyDescent="0.2">
      <c r="C7" s="3"/>
      <c r="D7" s="3"/>
      <c r="E7" s="3"/>
    </row>
    <row r="8" spans="3:5" x14ac:dyDescent="0.2">
      <c r="C8" s="18"/>
      <c r="D8" s="4"/>
      <c r="E8" s="15"/>
    </row>
    <row r="9" spans="3:5" x14ac:dyDescent="0.2">
      <c r="C9" s="18"/>
      <c r="D9" s="5"/>
      <c r="E9" s="15"/>
    </row>
    <row r="10" spans="3:5" x14ac:dyDescent="0.2">
      <c r="C10" s="18"/>
      <c r="D10" s="5"/>
      <c r="E10" s="15"/>
    </row>
    <row r="11" spans="3:5" ht="15.75" x14ac:dyDescent="0.25">
      <c r="C11" s="18"/>
      <c r="D11" s="6" t="s">
        <v>60</v>
      </c>
      <c r="E11" s="15"/>
    </row>
    <row r="12" spans="3:5" x14ac:dyDescent="0.2">
      <c r="C12" s="18"/>
      <c r="D12" s="5"/>
      <c r="E12" s="15"/>
    </row>
    <row r="13" spans="3:5" x14ac:dyDescent="0.2">
      <c r="C13" s="18"/>
      <c r="D13" s="5"/>
      <c r="E13" s="15"/>
    </row>
    <row r="14" spans="3:5" x14ac:dyDescent="0.2">
      <c r="C14" s="18"/>
      <c r="D14" s="25" t="s">
        <v>57</v>
      </c>
      <c r="E14" s="15"/>
    </row>
    <row r="15" spans="3:5" x14ac:dyDescent="0.2">
      <c r="C15" s="18"/>
      <c r="D15" s="23" t="str">
        <f>IF(ProjektnaOrganizacijaGS=0,"...",ProjektnaOrganizacijaGS)</f>
        <v>...</v>
      </c>
      <c r="E15" s="15"/>
    </row>
    <row r="16" spans="3:5" x14ac:dyDescent="0.2">
      <c r="C16" s="18"/>
      <c r="D16" s="9" t="s">
        <v>7</v>
      </c>
      <c r="E16" s="15"/>
    </row>
    <row r="17" spans="3:5" x14ac:dyDescent="0.2">
      <c r="C17" s="18"/>
      <c r="D17" s="5"/>
      <c r="E17" s="15"/>
    </row>
    <row r="18" spans="3:5" x14ac:dyDescent="0.2">
      <c r="C18" s="18"/>
      <c r="D18" s="5"/>
      <c r="E18" s="15"/>
    </row>
    <row r="19" spans="3:5" x14ac:dyDescent="0.2">
      <c r="C19" s="18"/>
      <c r="D19" s="5"/>
      <c r="E19" s="15"/>
    </row>
    <row r="20" spans="3:5" x14ac:dyDescent="0.2">
      <c r="C20" s="18"/>
      <c r="D20" s="5"/>
      <c r="E20" s="15"/>
    </row>
    <row r="21" spans="3:5" x14ac:dyDescent="0.2">
      <c r="C21" s="18"/>
      <c r="D21" s="11" t="str">
        <f>IF(GlavniProjektant=0,"...",GlavniProjektant)</f>
        <v>...</v>
      </c>
      <c r="E21" s="15"/>
    </row>
    <row r="22" spans="3:5" x14ac:dyDescent="0.2">
      <c r="C22" s="18"/>
      <c r="D22" s="12" t="s">
        <v>9</v>
      </c>
      <c r="E22" s="15"/>
    </row>
    <row r="23" spans="3:5" x14ac:dyDescent="0.2">
      <c r="C23" s="18"/>
      <c r="D23" s="5"/>
      <c r="E23" s="15"/>
    </row>
    <row r="24" spans="3:5" x14ac:dyDescent="0.2">
      <c r="C24" s="18"/>
      <c r="D24" s="5"/>
      <c r="E24" s="15"/>
    </row>
    <row r="25" spans="3:5" x14ac:dyDescent="0.2">
      <c r="C25" s="18"/>
      <c r="D25" s="25" t="s">
        <v>58</v>
      </c>
      <c r="E25" s="15"/>
    </row>
    <row r="26" spans="3:5" x14ac:dyDescent="0.2">
      <c r="C26" s="18"/>
      <c r="D26" s="23" t="str">
        <f>IF(ProjekatA=0,"/",IF(ProjektnaOrganizacijaA=0,"...",ProjektnaOrganizacijaA))</f>
        <v>/</v>
      </c>
      <c r="E26" s="15"/>
    </row>
    <row r="27" spans="3:5" x14ac:dyDescent="0.2">
      <c r="C27" s="18"/>
      <c r="D27" s="9" t="s">
        <v>7</v>
      </c>
      <c r="E27" s="15"/>
    </row>
    <row r="28" spans="3:5" x14ac:dyDescent="0.2">
      <c r="C28" s="18"/>
      <c r="D28" s="5"/>
      <c r="E28" s="15"/>
    </row>
    <row r="29" spans="3:5" x14ac:dyDescent="0.2">
      <c r="C29" s="18"/>
      <c r="D29" s="5"/>
      <c r="E29" s="15"/>
    </row>
    <row r="30" spans="3:5" x14ac:dyDescent="0.2">
      <c r="C30" s="18"/>
      <c r="D30" s="5"/>
      <c r="E30" s="15"/>
    </row>
    <row r="31" spans="3:5" x14ac:dyDescent="0.2">
      <c r="C31" s="18"/>
      <c r="D31" s="5"/>
      <c r="E31" s="15"/>
    </row>
    <row r="32" spans="3:5" x14ac:dyDescent="0.2">
      <c r="C32" s="18"/>
      <c r="D32" s="11" t="str">
        <f>IF(ProjekatA=0,"/",IF(OdgovorniProjektantA=0,"...",OdgovorniProjektantA))</f>
        <v>/</v>
      </c>
      <c r="E32" s="15"/>
    </row>
    <row r="33" spans="3:5" x14ac:dyDescent="0.2">
      <c r="C33" s="18"/>
      <c r="D33" s="12" t="s">
        <v>21</v>
      </c>
      <c r="E33" s="15"/>
    </row>
    <row r="34" spans="3:5" x14ac:dyDescent="0.2">
      <c r="C34" s="18"/>
      <c r="D34" s="26"/>
      <c r="E34" s="15"/>
    </row>
    <row r="35" spans="3:5" x14ac:dyDescent="0.2">
      <c r="C35" s="18"/>
      <c r="D35" s="26"/>
      <c r="E35" s="15"/>
    </row>
    <row r="36" spans="3:5" x14ac:dyDescent="0.2">
      <c r="C36" s="18"/>
      <c r="D36" s="25" t="s">
        <v>147</v>
      </c>
      <c r="E36" s="15"/>
    </row>
    <row r="37" spans="3:5" x14ac:dyDescent="0.2">
      <c r="C37" s="18"/>
      <c r="D37" s="23" t="str">
        <f>IF(ProjekatK=0,"/",IF(ProjektnaOrganizacijaK=0,"...",ProjektnaOrganizacijaK))</f>
        <v>/</v>
      </c>
      <c r="E37" s="15"/>
    </row>
    <row r="38" spans="3:5" x14ac:dyDescent="0.2">
      <c r="C38" s="18"/>
      <c r="D38" s="9" t="s">
        <v>7</v>
      </c>
      <c r="E38" s="15"/>
    </row>
    <row r="39" spans="3:5" x14ac:dyDescent="0.2">
      <c r="C39" s="18"/>
      <c r="D39" s="5"/>
      <c r="E39" s="15"/>
    </row>
    <row r="40" spans="3:5" x14ac:dyDescent="0.2">
      <c r="C40" s="18"/>
      <c r="D40" s="5"/>
      <c r="E40" s="15"/>
    </row>
    <row r="41" spans="3:5" x14ac:dyDescent="0.2">
      <c r="C41" s="18"/>
      <c r="D41" s="5"/>
      <c r="E41" s="15"/>
    </row>
    <row r="42" spans="3:5" x14ac:dyDescent="0.2">
      <c r="C42" s="18"/>
      <c r="D42" s="5"/>
      <c r="E42" s="15"/>
    </row>
    <row r="43" spans="3:5" x14ac:dyDescent="0.2">
      <c r="C43" s="18"/>
      <c r="D43" s="11" t="str">
        <f>IF(ProjekatK=0,"/",IF(OdgovorniProjektantK=0,"...",OdgovorniProjektantK))</f>
        <v>/</v>
      </c>
      <c r="E43" s="15"/>
    </row>
    <row r="44" spans="3:5" x14ac:dyDescent="0.2">
      <c r="C44" s="18"/>
      <c r="D44" s="12" t="s">
        <v>140</v>
      </c>
      <c r="E44" s="15"/>
    </row>
    <row r="45" spans="3:5" x14ac:dyDescent="0.2">
      <c r="C45" s="18"/>
      <c r="D45" s="26"/>
      <c r="E45" s="15"/>
    </row>
    <row r="46" spans="3:5" x14ac:dyDescent="0.2">
      <c r="C46" s="18"/>
      <c r="D46" s="26"/>
      <c r="E46" s="15"/>
    </row>
    <row r="47" spans="3:5" x14ac:dyDescent="0.2">
      <c r="C47" s="18"/>
      <c r="D47" s="26"/>
      <c r="E47" s="15"/>
    </row>
    <row r="48" spans="3:5" x14ac:dyDescent="0.2">
      <c r="C48" s="18"/>
      <c r="D48" s="25" t="s">
        <v>148</v>
      </c>
      <c r="E48" s="15"/>
    </row>
    <row r="49" spans="3:5" x14ac:dyDescent="0.2">
      <c r="C49" s="18"/>
      <c r="D49" s="23" t="str">
        <f>IF(ProjekatH=0,"/",IF(ProjektnaOrganizacijaH=0,"...",ProjektnaOrganizacijaH))</f>
        <v>/</v>
      </c>
      <c r="E49" s="15"/>
    </row>
    <row r="50" spans="3:5" x14ac:dyDescent="0.2">
      <c r="C50" s="18"/>
      <c r="D50" s="9" t="s">
        <v>7</v>
      </c>
      <c r="E50" s="15"/>
    </row>
    <row r="51" spans="3:5" x14ac:dyDescent="0.2">
      <c r="C51" s="18"/>
      <c r="D51" s="5"/>
      <c r="E51" s="15"/>
    </row>
    <row r="52" spans="3:5" x14ac:dyDescent="0.2">
      <c r="C52" s="18"/>
      <c r="D52" s="5"/>
      <c r="E52" s="15"/>
    </row>
    <row r="53" spans="3:5" x14ac:dyDescent="0.2">
      <c r="C53" s="18"/>
      <c r="D53" s="5"/>
      <c r="E53" s="15"/>
    </row>
    <row r="54" spans="3:5" x14ac:dyDescent="0.2">
      <c r="C54" s="18"/>
      <c r="D54" s="5"/>
      <c r="E54" s="15"/>
    </row>
    <row r="55" spans="3:5" x14ac:dyDescent="0.2">
      <c r="C55" s="18"/>
      <c r="D55" s="11" t="str">
        <f>IF(ProjekatH=0,"/",IF(OdgovorniProjektantH=0,"...",OdgovorniProjektantH))</f>
        <v>/</v>
      </c>
      <c r="E55" s="15"/>
    </row>
    <row r="56" spans="3:5" x14ac:dyDescent="0.2">
      <c r="C56" s="18"/>
      <c r="D56" s="12" t="s">
        <v>141</v>
      </c>
      <c r="E56" s="15"/>
    </row>
    <row r="57" spans="3:5" x14ac:dyDescent="0.2">
      <c r="C57" s="18"/>
      <c r="D57" s="26"/>
      <c r="E57" s="15"/>
    </row>
    <row r="58" spans="3:5" x14ac:dyDescent="0.2">
      <c r="C58" s="18"/>
      <c r="D58" s="26"/>
      <c r="E58" s="15"/>
    </row>
    <row r="59" spans="3:5" x14ac:dyDescent="0.2">
      <c r="C59" s="18"/>
      <c r="D59" s="25" t="s">
        <v>149</v>
      </c>
      <c r="E59" s="15"/>
    </row>
    <row r="60" spans="3:5" x14ac:dyDescent="0.2">
      <c r="C60" s="18"/>
      <c r="D60" s="23" t="str">
        <f>IF(ProjekatE=0,"/",IF(ProjektnaOrganizacijaE=0,"...",ProjektnaOrganizacijaE))</f>
        <v>/</v>
      </c>
      <c r="E60" s="15"/>
    </row>
    <row r="61" spans="3:5" x14ac:dyDescent="0.2">
      <c r="C61" s="18"/>
      <c r="D61" s="9" t="s">
        <v>7</v>
      </c>
      <c r="E61" s="15"/>
    </row>
    <row r="62" spans="3:5" x14ac:dyDescent="0.2">
      <c r="C62" s="18"/>
      <c r="D62" s="5"/>
      <c r="E62" s="15"/>
    </row>
    <row r="63" spans="3:5" x14ac:dyDescent="0.2">
      <c r="C63" s="18"/>
      <c r="D63" s="5"/>
      <c r="E63" s="15"/>
    </row>
    <row r="64" spans="3:5" x14ac:dyDescent="0.2">
      <c r="C64" s="18"/>
      <c r="D64" s="5"/>
      <c r="E64" s="15"/>
    </row>
    <row r="65" spans="3:5" x14ac:dyDescent="0.2">
      <c r="C65" s="18"/>
      <c r="D65" s="5"/>
      <c r="E65" s="15"/>
    </row>
    <row r="66" spans="3:5" x14ac:dyDescent="0.2">
      <c r="C66" s="18"/>
      <c r="D66" s="11" t="str">
        <f>IF(ProjekatE=0,"/",IF(OdgovorniProjektantE=0,"...",OdgovorniProjektantE))</f>
        <v>/</v>
      </c>
      <c r="E66" s="15"/>
    </row>
    <row r="67" spans="3:5" x14ac:dyDescent="0.2">
      <c r="C67" s="18"/>
      <c r="D67" s="12" t="s">
        <v>142</v>
      </c>
      <c r="E67" s="15"/>
    </row>
    <row r="68" spans="3:5" x14ac:dyDescent="0.2">
      <c r="C68" s="18"/>
      <c r="D68" s="26"/>
      <c r="E68" s="15"/>
    </row>
    <row r="69" spans="3:5" x14ac:dyDescent="0.2">
      <c r="C69" s="18"/>
      <c r="D69" s="26"/>
      <c r="E69" s="15"/>
    </row>
    <row r="70" spans="3:5" x14ac:dyDescent="0.2">
      <c r="C70" s="18"/>
      <c r="D70" s="25" t="s">
        <v>150</v>
      </c>
      <c r="E70" s="15"/>
    </row>
    <row r="71" spans="3:5" x14ac:dyDescent="0.2">
      <c r="C71" s="18"/>
      <c r="D71" s="23" t="str">
        <f>IF(ProjekatTS=0,"/",IF(ProjektnaOrganizacijaTS=0,"...",ProjektnaOrganizacijaTS))</f>
        <v>/</v>
      </c>
      <c r="E71" s="15"/>
    </row>
    <row r="72" spans="3:5" x14ac:dyDescent="0.2">
      <c r="C72" s="18"/>
      <c r="D72" s="9" t="s">
        <v>7</v>
      </c>
      <c r="E72" s="15"/>
    </row>
    <row r="73" spans="3:5" x14ac:dyDescent="0.2">
      <c r="C73" s="18"/>
      <c r="D73" s="5"/>
      <c r="E73" s="15"/>
    </row>
    <row r="74" spans="3:5" x14ac:dyDescent="0.2">
      <c r="C74" s="18"/>
      <c r="D74" s="5"/>
      <c r="E74" s="15"/>
    </row>
    <row r="75" spans="3:5" x14ac:dyDescent="0.2">
      <c r="C75" s="18"/>
      <c r="D75" s="5"/>
      <c r="E75" s="15"/>
    </row>
    <row r="76" spans="3:5" x14ac:dyDescent="0.2">
      <c r="C76" s="18"/>
      <c r="D76" s="5"/>
      <c r="E76" s="15"/>
    </row>
    <row r="77" spans="3:5" x14ac:dyDescent="0.2">
      <c r="C77" s="18"/>
      <c r="D77" s="11" t="str">
        <f>IF(ProjekatTS=0,"/",IF(OdgovorniProjektantTS=0,"...",OdgovorniProjektantTS))</f>
        <v>/</v>
      </c>
      <c r="E77" s="15"/>
    </row>
    <row r="78" spans="3:5" x14ac:dyDescent="0.2">
      <c r="C78" s="18"/>
      <c r="D78" s="12" t="s">
        <v>143</v>
      </c>
      <c r="E78" s="15"/>
    </row>
    <row r="79" spans="3:5" x14ac:dyDescent="0.2">
      <c r="C79" s="18"/>
      <c r="D79" s="26"/>
      <c r="E79" s="15"/>
    </row>
    <row r="80" spans="3:5" x14ac:dyDescent="0.2">
      <c r="C80" s="18"/>
      <c r="D80" s="26"/>
      <c r="E80" s="15"/>
    </row>
    <row r="81" spans="3:5" x14ac:dyDescent="0.2">
      <c r="C81" s="18"/>
      <c r="D81" s="25" t="s">
        <v>151</v>
      </c>
      <c r="E81" s="15"/>
    </row>
    <row r="82" spans="3:5" x14ac:dyDescent="0.2">
      <c r="C82" s="18"/>
      <c r="D82" s="23" t="str">
        <f>IF(ProjekatM=0,"/",IF(ProjektnaOrganizacijaM=0,"...",ProjektnaOrganizacijaM))</f>
        <v>/</v>
      </c>
      <c r="E82" s="15"/>
    </row>
    <row r="83" spans="3:5" x14ac:dyDescent="0.2">
      <c r="C83" s="18"/>
      <c r="D83" s="9" t="s">
        <v>7</v>
      </c>
      <c r="E83" s="15"/>
    </row>
    <row r="84" spans="3:5" x14ac:dyDescent="0.2">
      <c r="C84" s="18"/>
      <c r="D84" s="5"/>
      <c r="E84" s="15"/>
    </row>
    <row r="85" spans="3:5" x14ac:dyDescent="0.2">
      <c r="C85" s="18"/>
      <c r="D85" s="5"/>
      <c r="E85" s="15"/>
    </row>
    <row r="86" spans="3:5" x14ac:dyDescent="0.2">
      <c r="C86" s="18"/>
      <c r="D86" s="5"/>
      <c r="E86" s="15"/>
    </row>
    <row r="87" spans="3:5" x14ac:dyDescent="0.2">
      <c r="C87" s="18"/>
      <c r="D87" s="5"/>
      <c r="E87" s="15"/>
    </row>
    <row r="88" spans="3:5" x14ac:dyDescent="0.2">
      <c r="C88" s="18"/>
      <c r="D88" s="11" t="str">
        <f>IF(ProjekatM=0,"/",IF(OdgovorniProjektantM=0,"...",OdgovorniProjektantM))</f>
        <v>/</v>
      </c>
      <c r="E88" s="15"/>
    </row>
    <row r="89" spans="3:5" x14ac:dyDescent="0.2">
      <c r="C89" s="18"/>
      <c r="D89" s="12" t="s">
        <v>144</v>
      </c>
      <c r="E89" s="15"/>
    </row>
    <row r="90" spans="3:5" x14ac:dyDescent="0.2">
      <c r="C90" s="18"/>
      <c r="D90" s="26"/>
      <c r="E90" s="15"/>
    </row>
    <row r="91" spans="3:5" x14ac:dyDescent="0.2">
      <c r="C91" s="18"/>
      <c r="D91" s="26"/>
      <c r="E91" s="15"/>
    </row>
    <row r="92" spans="3:5" x14ac:dyDescent="0.2">
      <c r="C92" s="18"/>
      <c r="D92" s="26"/>
      <c r="E92" s="15"/>
    </row>
    <row r="93" spans="3:5" x14ac:dyDescent="0.2">
      <c r="C93" s="18"/>
      <c r="D93" s="25" t="s">
        <v>152</v>
      </c>
      <c r="E93" s="15"/>
    </row>
    <row r="94" spans="3:5" x14ac:dyDescent="0.2">
      <c r="C94" s="18"/>
      <c r="D94" s="23" t="str">
        <f>IF(ProjekatEEE=0,"/",IF(ProjektnaOrganizacijaEEE=0,"...",ProjektnaOrganizacijaEEE))</f>
        <v>/</v>
      </c>
      <c r="E94" s="15"/>
    </row>
    <row r="95" spans="3:5" x14ac:dyDescent="0.2">
      <c r="C95" s="18"/>
      <c r="D95" s="9" t="s">
        <v>7</v>
      </c>
      <c r="E95" s="15"/>
    </row>
    <row r="96" spans="3:5" x14ac:dyDescent="0.2">
      <c r="C96" s="18"/>
      <c r="D96" s="5"/>
      <c r="E96" s="15"/>
    </row>
    <row r="97" spans="3:5" x14ac:dyDescent="0.2">
      <c r="C97" s="18"/>
      <c r="D97" s="5"/>
      <c r="E97" s="15"/>
    </row>
    <row r="98" spans="3:5" x14ac:dyDescent="0.2">
      <c r="C98" s="18"/>
      <c r="D98" s="5"/>
      <c r="E98" s="15"/>
    </row>
    <row r="99" spans="3:5" x14ac:dyDescent="0.2">
      <c r="C99" s="18"/>
      <c r="D99" s="5"/>
      <c r="E99" s="15"/>
    </row>
    <row r="100" spans="3:5" x14ac:dyDescent="0.2">
      <c r="C100" s="18"/>
      <c r="D100" s="11" t="str">
        <f>IF(ProjekatEEE=0,"/",IF(OdgovorniProjektantEEE=0,"...",OdgovorniProjektantEEE))</f>
        <v>/</v>
      </c>
      <c r="E100" s="15"/>
    </row>
    <row r="101" spans="3:5" x14ac:dyDescent="0.2">
      <c r="C101" s="18"/>
      <c r="D101" s="12" t="s">
        <v>153</v>
      </c>
      <c r="E101" s="15"/>
    </row>
    <row r="102" spans="3:5" x14ac:dyDescent="0.2">
      <c r="C102" s="18"/>
      <c r="D102" s="26"/>
      <c r="E102" s="15"/>
    </row>
    <row r="103" spans="3:5" x14ac:dyDescent="0.2">
      <c r="C103" s="18"/>
      <c r="D103" s="26"/>
      <c r="E103" s="15"/>
    </row>
    <row r="104" spans="3:5" x14ac:dyDescent="0.2">
      <c r="C104" s="18"/>
      <c r="D104" s="25" t="s">
        <v>154</v>
      </c>
      <c r="E104" s="15"/>
    </row>
    <row r="105" spans="3:5" x14ac:dyDescent="0.2">
      <c r="C105" s="18"/>
      <c r="D105" s="23" t="str">
        <f>IF(ProjekatPPZ=0,"/",IF(ProjektnaOrganizacijaPPZ=0,"...",ProjektnaOrganizacijaPPZ))</f>
        <v>/</v>
      </c>
      <c r="E105" s="15"/>
    </row>
    <row r="106" spans="3:5" x14ac:dyDescent="0.2">
      <c r="C106" s="18"/>
      <c r="D106" s="9" t="s">
        <v>7</v>
      </c>
      <c r="E106" s="15"/>
    </row>
    <row r="107" spans="3:5" x14ac:dyDescent="0.2">
      <c r="C107" s="18"/>
      <c r="D107" s="5"/>
      <c r="E107" s="15"/>
    </row>
    <row r="108" spans="3:5" x14ac:dyDescent="0.2">
      <c r="C108" s="18"/>
      <c r="D108" s="5"/>
      <c r="E108" s="15"/>
    </row>
    <row r="109" spans="3:5" x14ac:dyDescent="0.2">
      <c r="C109" s="18"/>
      <c r="D109" s="5"/>
      <c r="E109" s="15"/>
    </row>
    <row r="110" spans="3:5" x14ac:dyDescent="0.2">
      <c r="C110" s="18"/>
      <c r="D110" s="5"/>
      <c r="E110" s="15"/>
    </row>
    <row r="111" spans="3:5" x14ac:dyDescent="0.2">
      <c r="C111" s="18"/>
      <c r="D111" s="11" t="str">
        <f>IF(ProjekatPPZ=0,"/",IF(OdgovorniProjektantPPZ=0,"...",OdgovorniProjektantPPZ))</f>
        <v>/</v>
      </c>
      <c r="E111" s="15"/>
    </row>
    <row r="112" spans="3:5" x14ac:dyDescent="0.2">
      <c r="C112" s="18"/>
      <c r="D112" s="12" t="s">
        <v>155</v>
      </c>
      <c r="E112" s="15"/>
    </row>
    <row r="113" spans="3:5" x14ac:dyDescent="0.2">
      <c r="C113" s="18"/>
      <c r="D113" s="26"/>
      <c r="E113" s="15"/>
    </row>
    <row r="114" spans="3:5" x14ac:dyDescent="0.2">
      <c r="C114" s="13"/>
      <c r="D114" s="13"/>
      <c r="E114" s="13"/>
    </row>
    <row r="115" spans="3:5" x14ac:dyDescent="0.2">
      <c r="E115" s="14"/>
    </row>
  </sheetData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rowBreaks count="1" manualBreakCount="1">
    <brk id="45" max="16383" man="1"/>
  </rowBreaks>
  <drawing r:id="rId2"/>
  <legacyDrawing r:id="rId3"/>
  <legacyDrawingHF r:id="rId4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C1:E94"/>
  <sheetViews>
    <sheetView showGridLines="0" showRowColHeaders="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3" width="2.21875" style="20" customWidth="1"/>
    <col min="4" max="4" width="69.77734375" style="20" customWidth="1"/>
    <col min="5" max="187" width="2.21875" style="20" customWidth="1"/>
    <col min="188" max="16384" width="8.88671875" style="20"/>
  </cols>
  <sheetData>
    <row r="1" spans="3:5" s="19" customFormat="1" ht="30" customHeight="1" thickBot="1" x14ac:dyDescent="0.25"/>
    <row r="2" spans="3:5" ht="15.75" thickTop="1" x14ac:dyDescent="0.2"/>
    <row r="7" spans="3:5" x14ac:dyDescent="0.2">
      <c r="C7" s="3"/>
      <c r="D7" s="3"/>
      <c r="E7" s="3"/>
    </row>
    <row r="8" spans="3:5" x14ac:dyDescent="0.2">
      <c r="C8" s="18"/>
      <c r="D8" s="4"/>
      <c r="E8" s="15"/>
    </row>
    <row r="9" spans="3:5" x14ac:dyDescent="0.2">
      <c r="C9" s="18"/>
      <c r="D9" s="5"/>
      <c r="E9" s="15"/>
    </row>
    <row r="10" spans="3:5" x14ac:dyDescent="0.2">
      <c r="C10" s="18"/>
      <c r="D10" s="5"/>
      <c r="E10" s="15"/>
    </row>
    <row r="11" spans="3:5" ht="15.75" x14ac:dyDescent="0.25">
      <c r="C11" s="18"/>
      <c r="D11" s="6" t="s">
        <v>61</v>
      </c>
      <c r="E11" s="15"/>
    </row>
    <row r="12" spans="3:5" x14ac:dyDescent="0.2">
      <c r="C12" s="18"/>
      <c r="D12" s="5"/>
      <c r="E12" s="15"/>
    </row>
    <row r="13" spans="3:5" x14ac:dyDescent="0.2">
      <c r="C13" s="18"/>
      <c r="D13" s="5"/>
      <c r="E13" s="15"/>
    </row>
    <row r="14" spans="3:5" x14ac:dyDescent="0.2">
      <c r="C14" s="18"/>
      <c r="D14" s="25" t="s">
        <v>62</v>
      </c>
      <c r="E14" s="15"/>
    </row>
    <row r="15" spans="3:5" x14ac:dyDescent="0.2">
      <c r="C15" s="18"/>
      <c r="D15" s="23" t="str">
        <f>IF(TipObjekta=0,"...",TipObjekta)</f>
        <v>...</v>
      </c>
      <c r="E15" s="15"/>
    </row>
    <row r="16" spans="3:5" x14ac:dyDescent="0.2">
      <c r="C16" s="18"/>
      <c r="D16" s="9" t="s">
        <v>23</v>
      </c>
      <c r="E16" s="15"/>
    </row>
    <row r="17" spans="3:5" x14ac:dyDescent="0.2">
      <c r="C17" s="18"/>
      <c r="D17" s="11" t="str">
        <f>IF(KategorijaObjekta=0,"...",KategorijaObjekta)</f>
        <v>...</v>
      </c>
      <c r="E17" s="15"/>
    </row>
    <row r="18" spans="3:5" x14ac:dyDescent="0.2">
      <c r="C18" s="18"/>
      <c r="D18" s="9" t="s">
        <v>24</v>
      </c>
      <c r="E18" s="15"/>
    </row>
    <row r="19" spans="3:5" x14ac:dyDescent="0.2">
      <c r="C19" s="18"/>
      <c r="D19" s="11" t="str">
        <f>IF(UcesceKlasifikacija=0,"...",UcesceKlasifikacija)</f>
        <v>...</v>
      </c>
      <c r="E19" s="15"/>
    </row>
    <row r="20" spans="3:5" x14ac:dyDescent="0.2">
      <c r="C20" s="18"/>
      <c r="D20" s="9" t="s">
        <v>25</v>
      </c>
      <c r="E20" s="15"/>
    </row>
    <row r="21" spans="3:5" x14ac:dyDescent="0.2">
      <c r="C21" s="18"/>
      <c r="D21" s="11" t="str">
        <f>IF(UrbanistickiPlan=0,"...",UrbanistickiPlan)</f>
        <v>...</v>
      </c>
      <c r="E21" s="15"/>
    </row>
    <row r="22" spans="3:5" x14ac:dyDescent="0.2">
      <c r="C22" s="18"/>
      <c r="D22" s="9" t="s">
        <v>26</v>
      </c>
      <c r="E22" s="15"/>
    </row>
    <row r="23" spans="3:5" x14ac:dyDescent="0.2">
      <c r="C23" s="18"/>
      <c r="D23" s="11" t="str">
        <f>IF(KatastarskeParcele=0,"...",KatastarskeParcele)</f>
        <v>...</v>
      </c>
      <c r="E23" s="15"/>
    </row>
    <row r="24" spans="3:5" x14ac:dyDescent="0.2">
      <c r="C24" s="18"/>
      <c r="D24" s="27" t="s">
        <v>27</v>
      </c>
      <c r="E24" s="15"/>
    </row>
    <row r="25" spans="3:5" x14ac:dyDescent="0.2">
      <c r="C25" s="18"/>
      <c r="D25" s="5"/>
      <c r="E25" s="15"/>
    </row>
    <row r="26" spans="3:5" x14ac:dyDescent="0.2">
      <c r="C26" s="18"/>
      <c r="D26" s="5"/>
      <c r="E26" s="15"/>
    </row>
    <row r="27" spans="3:5" x14ac:dyDescent="0.2">
      <c r="C27" s="18"/>
      <c r="D27" s="5"/>
      <c r="E27" s="15"/>
    </row>
    <row r="28" spans="3:5" x14ac:dyDescent="0.2">
      <c r="C28" s="18"/>
      <c r="D28" s="25" t="s">
        <v>63</v>
      </c>
      <c r="E28" s="15"/>
    </row>
    <row r="29" spans="3:5" x14ac:dyDescent="0.2">
      <c r="C29" s="18"/>
      <c r="D29" s="23" t="str">
        <f>IF(PrikljucakNaVodovod=0,"...",PrikljucakNaVodovod)</f>
        <v>...</v>
      </c>
      <c r="E29" s="15"/>
    </row>
    <row r="30" spans="3:5" x14ac:dyDescent="0.2">
      <c r="C30" s="18"/>
      <c r="D30" s="9" t="s">
        <v>29</v>
      </c>
      <c r="E30" s="15"/>
    </row>
    <row r="31" spans="3:5" x14ac:dyDescent="0.2">
      <c r="C31" s="18"/>
      <c r="D31" s="11" t="str">
        <f>IF(PrikljucakNaKanalizaciju=0,"...",PrikljucakNaKanalizaciju)</f>
        <v>...</v>
      </c>
      <c r="E31" s="15"/>
    </row>
    <row r="32" spans="3:5" x14ac:dyDescent="0.2">
      <c r="C32" s="18"/>
      <c r="D32" s="9" t="s">
        <v>30</v>
      </c>
      <c r="E32" s="15"/>
    </row>
    <row r="33" spans="3:5" x14ac:dyDescent="0.2">
      <c r="C33" s="18"/>
      <c r="D33" s="11" t="str">
        <f>IF(PrikljucakNaStruju=0,"...",PrikljucakNaStruju)</f>
        <v>...</v>
      </c>
      <c r="E33" s="15"/>
    </row>
    <row r="34" spans="3:5" x14ac:dyDescent="0.2">
      <c r="C34" s="18"/>
      <c r="D34" s="12" t="s">
        <v>31</v>
      </c>
      <c r="E34" s="15"/>
    </row>
    <row r="35" spans="3:5" x14ac:dyDescent="0.2">
      <c r="C35" s="18"/>
      <c r="D35" s="5"/>
      <c r="E35" s="15"/>
    </row>
    <row r="36" spans="3:5" x14ac:dyDescent="0.2">
      <c r="C36" s="18"/>
      <c r="D36" s="5"/>
      <c r="E36" s="15"/>
    </row>
    <row r="37" spans="3:5" x14ac:dyDescent="0.2">
      <c r="C37" s="18"/>
      <c r="D37" s="5"/>
      <c r="E37" s="15"/>
    </row>
    <row r="38" spans="3:5" x14ac:dyDescent="0.2">
      <c r="C38" s="18"/>
      <c r="D38" s="28" t="s">
        <v>166</v>
      </c>
      <c r="E38" s="15"/>
    </row>
    <row r="39" spans="3:5" x14ac:dyDescent="0.2">
      <c r="C39" s="18"/>
      <c r="D39" s="29" t="str">
        <f>IF(LokacijskiUslovi=0,"...",LokacijskiUslovi)</f>
        <v>...</v>
      </c>
      <c r="E39" s="15"/>
    </row>
    <row r="40" spans="3:5" x14ac:dyDescent="0.2">
      <c r="C40" s="18"/>
      <c r="D40" s="5"/>
      <c r="E40" s="15"/>
    </row>
    <row r="41" spans="3:5" x14ac:dyDescent="0.2">
      <c r="C41" s="18"/>
      <c r="D41" s="5"/>
      <c r="E41" s="15"/>
    </row>
    <row r="42" spans="3:5" x14ac:dyDescent="0.2">
      <c r="C42" s="18"/>
      <c r="D42" s="5"/>
      <c r="E42" s="15"/>
    </row>
    <row r="43" spans="3:5" x14ac:dyDescent="0.2">
      <c r="C43" s="18"/>
      <c r="D43" s="25" t="s">
        <v>64</v>
      </c>
      <c r="E43" s="15"/>
    </row>
    <row r="44" spans="3:5" x14ac:dyDescent="0.2">
      <c r="C44" s="18"/>
      <c r="D44" s="93" t="str">
        <f>IF(PovrsinaParcele=0,"...",PovrsinaParcele)</f>
        <v>...</v>
      </c>
      <c r="E44" s="15"/>
    </row>
    <row r="45" spans="3:5" x14ac:dyDescent="0.2">
      <c r="C45" s="18"/>
      <c r="D45" s="9" t="s">
        <v>126</v>
      </c>
      <c r="E45" s="15"/>
    </row>
    <row r="46" spans="3:5" x14ac:dyDescent="0.2">
      <c r="C46" s="18"/>
      <c r="D46" s="94" t="str">
        <f>IF(UkupnaBrutoPovrsinaNadzemno=0,"...",UkupnaBrutoPovrsinaNadzemno)</f>
        <v>...</v>
      </c>
      <c r="E46" s="15"/>
    </row>
    <row r="47" spans="3:5" x14ac:dyDescent="0.2">
      <c r="C47" s="18"/>
      <c r="D47" s="9" t="s">
        <v>95</v>
      </c>
      <c r="E47" s="15"/>
    </row>
    <row r="48" spans="3:5" x14ac:dyDescent="0.2">
      <c r="C48" s="18"/>
      <c r="D48" s="94" t="str">
        <f>IF(UkupnaBrutoPovrsina=0,"...",UkupnaBrutoPovrsina)</f>
        <v>...</v>
      </c>
      <c r="E48" s="15"/>
    </row>
    <row r="49" spans="3:5" x14ac:dyDescent="0.2">
      <c r="C49" s="18"/>
      <c r="D49" s="9" t="s">
        <v>97</v>
      </c>
      <c r="E49" s="15"/>
    </row>
    <row r="50" spans="3:5" x14ac:dyDescent="0.2">
      <c r="C50" s="18"/>
      <c r="D50" s="94" t="str">
        <f>IF(UkupnaNetoPovrsina=0,"...",UkupnaNetoPovrsina)</f>
        <v>...</v>
      </c>
      <c r="E50" s="15"/>
    </row>
    <row r="51" spans="3:5" x14ac:dyDescent="0.2">
      <c r="C51" s="18"/>
      <c r="D51" s="9" t="s">
        <v>98</v>
      </c>
      <c r="E51" s="15"/>
    </row>
    <row r="52" spans="3:5" x14ac:dyDescent="0.2">
      <c r="C52" s="18"/>
      <c r="D52" s="94" t="str">
        <f>IF(BrutoPovrsinaPr=0,"...",BrutoPovrsinaPr)</f>
        <v>...</v>
      </c>
      <c r="E52" s="15"/>
    </row>
    <row r="53" spans="3:5" x14ac:dyDescent="0.2">
      <c r="C53" s="18"/>
      <c r="D53" s="9" t="s">
        <v>127</v>
      </c>
      <c r="E53" s="15"/>
    </row>
    <row r="54" spans="3:5" x14ac:dyDescent="0.2">
      <c r="C54" s="18"/>
      <c r="D54" s="94" t="str">
        <f>IF(Zauzetost=0,"...",Zauzetost)</f>
        <v>...</v>
      </c>
      <c r="E54" s="15"/>
    </row>
    <row r="55" spans="3:5" x14ac:dyDescent="0.2">
      <c r="C55" s="18"/>
      <c r="D55" s="9" t="s">
        <v>101</v>
      </c>
      <c r="E55" s="15"/>
    </row>
    <row r="56" spans="3:5" x14ac:dyDescent="0.2">
      <c r="C56" s="18"/>
      <c r="D56" s="11" t="str">
        <f>IF(Spratnost=0,"...",Spratnost)</f>
        <v>...</v>
      </c>
      <c r="E56" s="15"/>
    </row>
    <row r="57" spans="3:5" x14ac:dyDescent="0.2">
      <c r="C57" s="18"/>
      <c r="D57" s="9" t="s">
        <v>33</v>
      </c>
      <c r="E57" s="15"/>
    </row>
    <row r="58" spans="3:5" x14ac:dyDescent="0.2">
      <c r="C58" s="18"/>
      <c r="D58" s="94" t="str">
        <f>IF(VisinaVenca=0,"...",VisinaVenca)</f>
        <v>...</v>
      </c>
      <c r="E58" s="15"/>
    </row>
    <row r="59" spans="3:5" x14ac:dyDescent="0.2">
      <c r="C59" s="18"/>
      <c r="D59" s="9" t="s">
        <v>104</v>
      </c>
      <c r="E59" s="15"/>
    </row>
    <row r="60" spans="3:5" x14ac:dyDescent="0.2">
      <c r="C60" s="18"/>
      <c r="D60" s="94" t="str">
        <f>IF(VisinaSlemena=0,"...",VisinaSlemena)</f>
        <v>...</v>
      </c>
      <c r="E60" s="15"/>
    </row>
    <row r="61" spans="3:5" x14ac:dyDescent="0.2">
      <c r="C61" s="18"/>
      <c r="D61" s="9" t="s">
        <v>105</v>
      </c>
      <c r="E61" s="15"/>
    </row>
    <row r="62" spans="3:5" x14ac:dyDescent="0.2">
      <c r="C62" s="18"/>
      <c r="D62" s="94" t="str">
        <f>IF(SpratnaVisina=0,"...",SpratnaVisina)</f>
        <v>...</v>
      </c>
      <c r="E62" s="15"/>
    </row>
    <row r="63" spans="3:5" x14ac:dyDescent="0.2">
      <c r="C63" s="18"/>
      <c r="D63" s="9" t="s">
        <v>107</v>
      </c>
      <c r="E63" s="15"/>
    </row>
    <row r="64" spans="3:5" x14ac:dyDescent="0.2">
      <c r="C64" s="18"/>
      <c r="D64" s="95" t="str">
        <f>IF(BrojFunkcionalnihJedinica=0,"...",BrojFunkcionalnihJedinica)</f>
        <v>...</v>
      </c>
      <c r="E64" s="15"/>
    </row>
    <row r="65" spans="3:5" x14ac:dyDescent="0.2">
      <c r="C65" s="18"/>
      <c r="D65" s="9" t="s">
        <v>34</v>
      </c>
      <c r="E65" s="15"/>
    </row>
    <row r="66" spans="3:5" x14ac:dyDescent="0.2">
      <c r="C66" s="18"/>
      <c r="D66" s="95" t="str">
        <f>IF(BrojParkingMesta=0,"...",BrojParkingMesta)</f>
        <v>...</v>
      </c>
      <c r="E66" s="15"/>
    </row>
    <row r="67" spans="3:5" x14ac:dyDescent="0.2">
      <c r="C67" s="18"/>
      <c r="D67" s="12" t="s">
        <v>35</v>
      </c>
      <c r="E67" s="15"/>
    </row>
    <row r="68" spans="3:5" x14ac:dyDescent="0.2">
      <c r="C68" s="18"/>
      <c r="D68" s="5"/>
      <c r="E68" s="15"/>
    </row>
    <row r="69" spans="3:5" x14ac:dyDescent="0.2">
      <c r="C69" s="18"/>
      <c r="D69" s="5"/>
      <c r="E69" s="15"/>
    </row>
    <row r="70" spans="3:5" x14ac:dyDescent="0.2">
      <c r="C70" s="18"/>
      <c r="D70" s="5"/>
      <c r="E70" s="15"/>
    </row>
    <row r="71" spans="3:5" x14ac:dyDescent="0.2">
      <c r="C71" s="18"/>
      <c r="D71" s="25" t="s">
        <v>65</v>
      </c>
      <c r="E71" s="15"/>
    </row>
    <row r="72" spans="3:5" x14ac:dyDescent="0.2">
      <c r="C72" s="18"/>
      <c r="D72" s="23" t="str">
        <f>IF(ObradaFasade=0,"...",ObradaFasade)</f>
        <v>...</v>
      </c>
      <c r="E72" s="15"/>
    </row>
    <row r="73" spans="3:5" x14ac:dyDescent="0.2">
      <c r="C73" s="18"/>
      <c r="D73" s="9" t="s">
        <v>66</v>
      </c>
      <c r="E73" s="15"/>
    </row>
    <row r="74" spans="3:5" x14ac:dyDescent="0.2">
      <c r="C74" s="18"/>
      <c r="D74" s="11" t="str">
        <f>IF(OrjentacijaSlemena=0,"...",OrjentacijaSlemena)</f>
        <v>...</v>
      </c>
      <c r="E74" s="15"/>
    </row>
    <row r="75" spans="3:5" x14ac:dyDescent="0.2">
      <c r="C75" s="18"/>
      <c r="D75" s="9" t="s">
        <v>38</v>
      </c>
      <c r="E75" s="15"/>
    </row>
    <row r="76" spans="3:5" x14ac:dyDescent="0.2">
      <c r="C76" s="18"/>
      <c r="D76" s="94" t="str">
        <f>IF(NagibKrova=0,"...",NagibKrova)</f>
        <v>...</v>
      </c>
      <c r="E76" s="15"/>
    </row>
    <row r="77" spans="3:5" x14ac:dyDescent="0.2">
      <c r="C77" s="18"/>
      <c r="D77" s="9" t="s">
        <v>113</v>
      </c>
      <c r="E77" s="15"/>
    </row>
    <row r="78" spans="3:5" x14ac:dyDescent="0.2">
      <c r="C78" s="18"/>
      <c r="D78" s="11" t="str">
        <f>IF(ObradaKrova=0,"...",ObradaKrova)</f>
        <v>...</v>
      </c>
      <c r="E78" s="15"/>
    </row>
    <row r="79" spans="3:5" x14ac:dyDescent="0.2">
      <c r="C79" s="18"/>
      <c r="D79" s="12" t="s">
        <v>67</v>
      </c>
      <c r="E79" s="15"/>
    </row>
    <row r="80" spans="3:5" x14ac:dyDescent="0.2">
      <c r="C80" s="18"/>
      <c r="D80" s="5"/>
      <c r="E80" s="15"/>
    </row>
    <row r="81" spans="3:5" x14ac:dyDescent="0.2">
      <c r="C81" s="18"/>
      <c r="D81" s="5"/>
      <c r="E81" s="15"/>
    </row>
    <row r="82" spans="3:5" x14ac:dyDescent="0.2">
      <c r="C82" s="18"/>
      <c r="D82" s="5"/>
      <c r="E82" s="15"/>
    </row>
    <row r="83" spans="3:5" x14ac:dyDescent="0.2">
      <c r="C83" s="18"/>
      <c r="D83" s="25" t="s">
        <v>68</v>
      </c>
      <c r="E83" s="15"/>
    </row>
    <row r="84" spans="3:5" x14ac:dyDescent="0.2">
      <c r="C84" s="18"/>
      <c r="D84" s="93" t="str">
        <f>IF(ProcenatZelenihPovrsina=0,"...",ProcenatZelenihPovrsina)</f>
        <v>...</v>
      </c>
      <c r="E84" s="15"/>
    </row>
    <row r="85" spans="3:5" x14ac:dyDescent="0.2">
      <c r="C85" s="18"/>
      <c r="D85" s="9" t="s">
        <v>115</v>
      </c>
      <c r="E85" s="15"/>
    </row>
    <row r="86" spans="3:5" x14ac:dyDescent="0.2">
      <c r="C86" s="18"/>
      <c r="D86" s="96" t="str">
        <f>IF(IndeksZauzetosti=0,"...",IndeksZauzetosti)</f>
        <v>...</v>
      </c>
      <c r="E86" s="15"/>
    </row>
    <row r="87" spans="3:5" x14ac:dyDescent="0.2">
      <c r="C87" s="18"/>
      <c r="D87" s="26" t="s">
        <v>41</v>
      </c>
      <c r="E87" s="15"/>
    </row>
    <row r="88" spans="3:5" x14ac:dyDescent="0.2">
      <c r="C88" s="18"/>
      <c r="D88" s="96" t="str">
        <f>IF(IndeksIzgradjenosti=0,"...",IndeksIzgradjenosti)</f>
        <v>...</v>
      </c>
      <c r="E88" s="15"/>
    </row>
    <row r="89" spans="3:5" x14ac:dyDescent="0.2">
      <c r="C89" s="18"/>
      <c r="D89" s="9" t="s">
        <v>42</v>
      </c>
      <c r="E89" s="15"/>
    </row>
    <row r="90" spans="3:5" x14ac:dyDescent="0.2">
      <c r="C90" s="18"/>
      <c r="D90" s="30" t="str">
        <f>IF(OR(UkupnaBrutoPovrsina=0,CenaPoM2=0),"...",UkupnaBrutoPovrsina*CenaPoM2)</f>
        <v>...</v>
      </c>
      <c r="E90" s="15"/>
    </row>
    <row r="91" spans="3:5" x14ac:dyDescent="0.2">
      <c r="C91" s="18"/>
      <c r="D91" s="12" t="s">
        <v>128</v>
      </c>
      <c r="E91" s="15"/>
    </row>
    <row r="92" spans="3:5" x14ac:dyDescent="0.2">
      <c r="C92" s="18"/>
      <c r="D92" s="5"/>
      <c r="E92" s="15"/>
    </row>
    <row r="93" spans="3:5" x14ac:dyDescent="0.2">
      <c r="C93" s="13"/>
      <c r="D93" s="13"/>
      <c r="E93" s="13"/>
    </row>
    <row r="94" spans="3:5" x14ac:dyDescent="0.2">
      <c r="E94" s="14"/>
    </row>
  </sheetData>
  <sheetProtection selectLockedCells="1"/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rowBreaks count="5" manualBreakCount="5">
    <brk id="25" max="16383" man="1"/>
    <brk id="35" max="16383" man="1"/>
    <brk id="40" max="16383" man="1"/>
    <brk id="68" max="16383" man="1"/>
    <brk id="80" max="16383" man="1"/>
  </rowBreaks>
  <drawing r:id="rId2"/>
  <legacyDrawingHF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C1:E110"/>
  <sheetViews>
    <sheetView showGridLines="0" showRowColHeaders="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3" width="2.21875" style="20" customWidth="1"/>
    <col min="4" max="4" width="69.77734375" style="20" customWidth="1"/>
    <col min="5" max="187" width="2.21875" style="20" customWidth="1"/>
    <col min="188" max="16384" width="8.88671875" style="20"/>
  </cols>
  <sheetData>
    <row r="1" spans="3:5" s="19" customFormat="1" ht="30" customHeight="1" thickBot="1" x14ac:dyDescent="0.25"/>
    <row r="2" spans="3:5" ht="15.75" thickTop="1" x14ac:dyDescent="0.2"/>
    <row r="7" spans="3:5" x14ac:dyDescent="0.2">
      <c r="C7" s="3"/>
      <c r="D7" s="3"/>
      <c r="E7" s="3"/>
    </row>
    <row r="8" spans="3:5" x14ac:dyDescent="0.2">
      <c r="C8" s="18"/>
      <c r="D8" s="4"/>
      <c r="E8" s="15"/>
    </row>
    <row r="9" spans="3:5" x14ac:dyDescent="0.2">
      <c r="C9" s="18"/>
      <c r="D9" s="5"/>
      <c r="E9" s="15"/>
    </row>
    <row r="10" spans="3:5" x14ac:dyDescent="0.2">
      <c r="C10" s="18"/>
      <c r="D10" s="5"/>
      <c r="E10" s="15"/>
    </row>
    <row r="11" spans="3:5" ht="31.5" x14ac:dyDescent="0.25">
      <c r="C11" s="18"/>
      <c r="D11" s="109" t="s">
        <v>160</v>
      </c>
      <c r="E11" s="15"/>
    </row>
    <row r="12" spans="3:5" x14ac:dyDescent="0.2">
      <c r="C12" s="18"/>
      <c r="D12" s="5"/>
      <c r="E12" s="15"/>
    </row>
    <row r="13" spans="3:5" x14ac:dyDescent="0.2">
      <c r="C13" s="18"/>
      <c r="D13" s="5"/>
      <c r="E13" s="15"/>
    </row>
    <row r="14" spans="3:5" x14ac:dyDescent="0.2">
      <c r="C14" s="18"/>
      <c r="D14" s="5"/>
      <c r="E14" s="15"/>
    </row>
    <row r="15" spans="3:5" x14ac:dyDescent="0.2">
      <c r="C15" s="18"/>
      <c r="D15" s="11" t="str">
        <f>IF(OR(ObjekatIzKonteksta=0,VrstaRadovaIzKonteksta=0),"...","Kao ovlašćeno lice koje je izradilo elaborat energetske efikasnosti koji se prilaže Projektu za građevinsku dozvolu (PGD), za "&amp;VrstaRadovaIzKonteksta&amp;", "&amp;ObjekatIzKonteksta&amp;",")</f>
        <v>...</v>
      </c>
      <c r="E15" s="15"/>
    </row>
    <row r="16" spans="3:5" ht="15" customHeight="1" x14ac:dyDescent="0.2">
      <c r="C16" s="18"/>
      <c r="D16" s="5"/>
      <c r="E16" s="15"/>
    </row>
    <row r="17" spans="3:5" x14ac:dyDescent="0.2">
      <c r="C17" s="18"/>
      <c r="D17" s="5"/>
      <c r="E17" s="15"/>
    </row>
    <row r="18" spans="3:5" x14ac:dyDescent="0.2">
      <c r="C18" s="18"/>
      <c r="D18" s="5"/>
      <c r="E18" s="15"/>
    </row>
    <row r="19" spans="3:5" x14ac:dyDescent="0.2">
      <c r="C19" s="18"/>
      <c r="D19" s="110" t="str">
        <f>IF(OdgovorniProjektantEEE=0,"...",OdgovorniProjektantEEE)</f>
        <v>...</v>
      </c>
      <c r="E19" s="15"/>
    </row>
    <row r="20" spans="3:5" x14ac:dyDescent="0.2">
      <c r="C20" s="18"/>
      <c r="D20" s="22" t="s">
        <v>54</v>
      </c>
      <c r="E20" s="15"/>
    </row>
    <row r="21" spans="3:5" x14ac:dyDescent="0.2">
      <c r="C21" s="18"/>
      <c r="D21" s="5"/>
      <c r="E21" s="15"/>
    </row>
    <row r="22" spans="3:5" x14ac:dyDescent="0.2">
      <c r="C22" s="18"/>
      <c r="D22" s="5"/>
      <c r="E22" s="15"/>
    </row>
    <row r="23" spans="3:5" x14ac:dyDescent="0.2">
      <c r="C23" s="18"/>
      <c r="D23" s="5"/>
      <c r="E23" s="15"/>
    </row>
    <row r="24" spans="3:5" ht="15.75" x14ac:dyDescent="0.25">
      <c r="C24" s="18"/>
      <c r="D24" s="6" t="s">
        <v>56</v>
      </c>
      <c r="E24" s="15"/>
    </row>
    <row r="25" spans="3:5" x14ac:dyDescent="0.2">
      <c r="C25" s="18"/>
      <c r="D25" s="5"/>
      <c r="E25" s="15"/>
    </row>
    <row r="26" spans="3:5" x14ac:dyDescent="0.2">
      <c r="C26" s="18"/>
      <c r="D26" s="5"/>
      <c r="E26" s="15"/>
    </row>
    <row r="27" spans="3:5" x14ac:dyDescent="0.2">
      <c r="C27" s="18"/>
      <c r="D27" s="5"/>
      <c r="E27" s="15"/>
    </row>
    <row r="28" spans="3:5" ht="45" x14ac:dyDescent="0.2">
      <c r="C28" s="18"/>
      <c r="D28" s="5" t="s">
        <v>159</v>
      </c>
      <c r="E28" s="15"/>
    </row>
    <row r="29" spans="3:5" ht="30" x14ac:dyDescent="0.2">
      <c r="C29" s="18"/>
      <c r="D29" s="5" t="s">
        <v>157</v>
      </c>
      <c r="E29" s="15"/>
    </row>
    <row r="30" spans="3:5" x14ac:dyDescent="0.2">
      <c r="C30" s="18"/>
      <c r="D30" s="5"/>
      <c r="E30" s="15"/>
    </row>
    <row r="31" spans="3:5" x14ac:dyDescent="0.2">
      <c r="C31" s="18"/>
      <c r="D31" s="5"/>
      <c r="E31" s="15"/>
    </row>
    <row r="32" spans="3:5" x14ac:dyDescent="0.2">
      <c r="C32" s="18"/>
      <c r="D32" s="5"/>
      <c r="E32" s="15"/>
    </row>
    <row r="33" spans="3:5" x14ac:dyDescent="0.2">
      <c r="C33" s="18"/>
      <c r="D33" s="24" t="str">
        <f>IF(ProjektnaOrganizacijaEEE=0,"...",ProjektnaOrganizacijaEEE)</f>
        <v>...</v>
      </c>
      <c r="E33" s="15"/>
    </row>
    <row r="34" spans="3:5" x14ac:dyDescent="0.2">
      <c r="C34" s="18"/>
      <c r="D34" s="9" t="s">
        <v>7</v>
      </c>
      <c r="E34" s="15"/>
    </row>
    <row r="35" spans="3:5" x14ac:dyDescent="0.2">
      <c r="C35" s="18"/>
      <c r="D35" s="5"/>
      <c r="E35" s="15"/>
    </row>
    <row r="36" spans="3:5" x14ac:dyDescent="0.2">
      <c r="C36" s="18"/>
      <c r="D36" s="5"/>
      <c r="E36" s="15"/>
    </row>
    <row r="37" spans="3:5" x14ac:dyDescent="0.2">
      <c r="C37" s="18"/>
      <c r="D37" s="5"/>
      <c r="E37" s="15"/>
    </row>
    <row r="38" spans="3:5" x14ac:dyDescent="0.2">
      <c r="C38" s="18"/>
      <c r="D38" s="5"/>
      <c r="E38" s="15"/>
    </row>
    <row r="39" spans="3:5" x14ac:dyDescent="0.2">
      <c r="C39" s="18"/>
      <c r="D39" s="5" t="str">
        <f>IF(OdgovorniProjektantEEE=0,"...",OdgovorniProjektantEEE)</f>
        <v>...</v>
      </c>
      <c r="E39" s="15"/>
    </row>
    <row r="40" spans="3:5" x14ac:dyDescent="0.2">
      <c r="C40" s="18"/>
      <c r="D40" s="12" t="s">
        <v>158</v>
      </c>
      <c r="E40" s="15"/>
    </row>
    <row r="41" spans="3:5" x14ac:dyDescent="0.2">
      <c r="C41" s="18"/>
      <c r="D41" s="5"/>
      <c r="E41" s="15"/>
    </row>
    <row r="42" spans="3:5" x14ac:dyDescent="0.2">
      <c r="C42" s="13"/>
      <c r="D42" s="13"/>
      <c r="E42" s="13"/>
    </row>
    <row r="43" spans="3:5" x14ac:dyDescent="0.2">
      <c r="E43" s="14"/>
    </row>
    <row r="89" ht="15.75" customHeight="1" x14ac:dyDescent="0.2"/>
    <row r="110" ht="15" customHeight="1" x14ac:dyDescent="0.2"/>
  </sheetData>
  <pageMargins left="1.3779527559055118" right="0.39370078740157483" top="1.1811023622047245" bottom="1.1811023622047245" header="0" footer="0"/>
  <pageSetup paperSize="151" orientation="portrait" horizontalDpi="4294967292" r:id="rId1"/>
  <headerFooter scaleWithDoc="0">
    <oddHeader>&amp;C&amp;G</oddHeader>
    <oddFooter xml:space="preserve">&amp;C&amp;G&amp;R&amp;"Brush Script MT,Regular"
Strana &amp;P od &amp;N&amp;10
</oddFooter>
  </headerFooter>
  <drawing r:id="rId2"/>
  <legacyDrawing r:id="rId3"/>
  <legacyDrawingHF r:id="rId4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/>
  <dimension ref="C1:E110"/>
  <sheetViews>
    <sheetView showGridLines="0" showRowColHeaders="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3" width="2.21875" style="20" customWidth="1"/>
    <col min="4" max="4" width="69.77734375" style="20" customWidth="1"/>
    <col min="5" max="187" width="2.21875" style="20" customWidth="1"/>
    <col min="188" max="16384" width="8.88671875" style="20"/>
  </cols>
  <sheetData>
    <row r="1" spans="3:5" s="19" customFormat="1" ht="30" customHeight="1" thickBot="1" x14ac:dyDescent="0.25"/>
    <row r="2" spans="3:5" ht="15.75" thickTop="1" x14ac:dyDescent="0.2"/>
    <row r="7" spans="3:5" x14ac:dyDescent="0.2">
      <c r="C7" s="3"/>
      <c r="D7" s="3"/>
      <c r="E7" s="3"/>
    </row>
    <row r="8" spans="3:5" x14ac:dyDescent="0.2">
      <c r="C8" s="18"/>
      <c r="D8" s="4"/>
      <c r="E8" s="15"/>
    </row>
    <row r="9" spans="3:5" x14ac:dyDescent="0.2">
      <c r="C9" s="18"/>
      <c r="D9" s="5"/>
      <c r="E9" s="15"/>
    </row>
    <row r="10" spans="3:5" x14ac:dyDescent="0.2">
      <c r="C10" s="18"/>
      <c r="D10" s="5"/>
      <c r="E10" s="15"/>
    </row>
    <row r="11" spans="3:5" ht="31.5" x14ac:dyDescent="0.25">
      <c r="C11" s="18"/>
      <c r="D11" s="109" t="s">
        <v>161</v>
      </c>
      <c r="E11" s="15"/>
    </row>
    <row r="12" spans="3:5" x14ac:dyDescent="0.2">
      <c r="C12" s="18"/>
      <c r="D12" s="5"/>
      <c r="E12" s="15"/>
    </row>
    <row r="13" spans="3:5" x14ac:dyDescent="0.2">
      <c r="C13" s="18"/>
      <c r="D13" s="5"/>
      <c r="E13" s="15"/>
    </row>
    <row r="14" spans="3:5" x14ac:dyDescent="0.2">
      <c r="C14" s="18"/>
      <c r="D14" s="5"/>
      <c r="E14" s="15"/>
    </row>
    <row r="15" spans="3:5" x14ac:dyDescent="0.2">
      <c r="C15" s="18"/>
      <c r="D15" s="11" t="str">
        <f>IF(OR(ObjekatIzKonteksta=0,VrstaRadovaIzKonteksta=0),"...","Kao ovlašćeno lice koje je izradilo elaborat zaštite od požara koji se prilaže Projektu za građevinsku dozvolu (PGD), za "&amp;VrstaRadovaIzKonteksta&amp;", "&amp;ObjekatIzKonteksta&amp;",")</f>
        <v>...</v>
      </c>
      <c r="E15" s="15"/>
    </row>
    <row r="16" spans="3:5" ht="15" customHeight="1" x14ac:dyDescent="0.2">
      <c r="C16" s="18"/>
      <c r="D16" s="5"/>
      <c r="E16" s="15"/>
    </row>
    <row r="17" spans="3:5" x14ac:dyDescent="0.2">
      <c r="C17" s="18"/>
      <c r="D17" s="5"/>
      <c r="E17" s="15"/>
    </row>
    <row r="18" spans="3:5" x14ac:dyDescent="0.2">
      <c r="C18" s="18"/>
      <c r="D18" s="5"/>
      <c r="E18" s="15"/>
    </row>
    <row r="19" spans="3:5" x14ac:dyDescent="0.2">
      <c r="C19" s="18"/>
      <c r="D19" s="110" t="str">
        <f>IF(OdgovorniProjektantPPZ=0,"...",OdgovorniProjektantPPZ)</f>
        <v>...</v>
      </c>
      <c r="E19" s="15"/>
    </row>
    <row r="20" spans="3:5" x14ac:dyDescent="0.2">
      <c r="C20" s="18"/>
      <c r="D20" s="22" t="s">
        <v>54</v>
      </c>
      <c r="E20" s="15"/>
    </row>
    <row r="21" spans="3:5" x14ac:dyDescent="0.2">
      <c r="C21" s="18"/>
      <c r="D21" s="5"/>
      <c r="E21" s="15"/>
    </row>
    <row r="22" spans="3:5" x14ac:dyDescent="0.2">
      <c r="C22" s="18"/>
      <c r="D22" s="5"/>
      <c r="E22" s="15"/>
    </row>
    <row r="23" spans="3:5" x14ac:dyDescent="0.2">
      <c r="C23" s="18"/>
      <c r="D23" s="5"/>
      <c r="E23" s="15"/>
    </row>
    <row r="24" spans="3:5" ht="15.75" x14ac:dyDescent="0.25">
      <c r="C24" s="18"/>
      <c r="D24" s="6" t="s">
        <v>56</v>
      </c>
      <c r="E24" s="15"/>
    </row>
    <row r="25" spans="3:5" x14ac:dyDescent="0.2">
      <c r="C25" s="18"/>
      <c r="D25" s="5"/>
      <c r="E25" s="15"/>
    </row>
    <row r="26" spans="3:5" x14ac:dyDescent="0.2">
      <c r="C26" s="18"/>
      <c r="D26" s="5"/>
      <c r="E26" s="15"/>
    </row>
    <row r="27" spans="3:5" x14ac:dyDescent="0.2">
      <c r="C27" s="18"/>
      <c r="D27" s="5"/>
      <c r="E27" s="15"/>
    </row>
    <row r="28" spans="3:5" ht="30" x14ac:dyDescent="0.2">
      <c r="C28" s="18"/>
      <c r="D28" s="5" t="s">
        <v>162</v>
      </c>
      <c r="E28" s="15"/>
    </row>
    <row r="29" spans="3:5" ht="30" x14ac:dyDescent="0.2">
      <c r="C29" s="18"/>
      <c r="D29" s="5" t="s">
        <v>163</v>
      </c>
      <c r="E29" s="15"/>
    </row>
    <row r="30" spans="3:5" x14ac:dyDescent="0.2">
      <c r="C30" s="18"/>
      <c r="D30" s="5"/>
      <c r="E30" s="15"/>
    </row>
    <row r="31" spans="3:5" x14ac:dyDescent="0.2">
      <c r="C31" s="18"/>
      <c r="D31" s="5"/>
      <c r="E31" s="15"/>
    </row>
    <row r="32" spans="3:5" x14ac:dyDescent="0.2">
      <c r="C32" s="18"/>
      <c r="D32" s="5"/>
      <c r="E32" s="15"/>
    </row>
    <row r="33" spans="3:5" x14ac:dyDescent="0.2">
      <c r="C33" s="18"/>
      <c r="D33" s="24" t="str">
        <f>IF(ProjektnaOrganizacijaPPZ=0,"...",ProjektnaOrganizacijaPPZ)</f>
        <v>...</v>
      </c>
      <c r="E33" s="15"/>
    </row>
    <row r="34" spans="3:5" x14ac:dyDescent="0.2">
      <c r="C34" s="18"/>
      <c r="D34" s="9" t="s">
        <v>7</v>
      </c>
      <c r="E34" s="15"/>
    </row>
    <row r="35" spans="3:5" x14ac:dyDescent="0.2">
      <c r="C35" s="18"/>
      <c r="D35" s="5"/>
      <c r="E35" s="15"/>
    </row>
    <row r="36" spans="3:5" x14ac:dyDescent="0.2">
      <c r="C36" s="18"/>
      <c r="D36" s="5"/>
      <c r="E36" s="15"/>
    </row>
    <row r="37" spans="3:5" x14ac:dyDescent="0.2">
      <c r="C37" s="18"/>
      <c r="D37" s="5"/>
      <c r="E37" s="15"/>
    </row>
    <row r="38" spans="3:5" x14ac:dyDescent="0.2">
      <c r="C38" s="18"/>
      <c r="D38" s="5"/>
      <c r="E38" s="15"/>
    </row>
    <row r="39" spans="3:5" x14ac:dyDescent="0.2">
      <c r="C39" s="18"/>
      <c r="D39" s="5" t="str">
        <f>IF(OdgovorniProjektantPPZ=0,"...",OdgovorniProjektantPPZ)</f>
        <v>...</v>
      </c>
      <c r="E39" s="15"/>
    </row>
    <row r="40" spans="3:5" x14ac:dyDescent="0.2">
      <c r="C40" s="18"/>
      <c r="D40" s="12" t="s">
        <v>158</v>
      </c>
      <c r="E40" s="15"/>
    </row>
    <row r="41" spans="3:5" x14ac:dyDescent="0.2">
      <c r="C41" s="18"/>
      <c r="D41" s="5"/>
      <c r="E41" s="15"/>
    </row>
    <row r="42" spans="3:5" x14ac:dyDescent="0.2">
      <c r="C42" s="13"/>
      <c r="D42" s="13"/>
      <c r="E42" s="13"/>
    </row>
    <row r="43" spans="3:5" x14ac:dyDescent="0.2">
      <c r="E43" s="14"/>
    </row>
    <row r="89" ht="15.75" customHeight="1" x14ac:dyDescent="0.2"/>
    <row r="110" ht="15" customHeight="1" x14ac:dyDescent="0.2"/>
  </sheetData>
  <pageMargins left="1.3779527559055118" right="0.39370078740157483" top="1.1811023622047245" bottom="1.1811023622047245" header="0" footer="0"/>
  <pageSetup paperSize="151" orientation="portrait" horizontalDpi="4294967292" r:id="rId1"/>
  <headerFooter scaleWithDoc="0">
    <oddHeader>&amp;C&amp;G</oddHeader>
    <oddFooter xml:space="preserve">&amp;C&amp;G&amp;R&amp;"Brush Script MT,Regular"
Strana &amp;P od &amp;N&amp;10
</oddFooter>
  </headerFooter>
  <drawing r:id="rId2"/>
  <legacyDrawing r:id="rId3"/>
  <legacyDrawingHF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88</vt:i4>
      </vt:variant>
    </vt:vector>
  </HeadingPairs>
  <TitlesOfParts>
    <vt:vector size="98" baseType="lpstr">
      <vt:lpstr>Index</vt:lpstr>
      <vt:lpstr>01</vt:lpstr>
      <vt:lpstr>02</vt:lpstr>
      <vt:lpstr>03</vt:lpstr>
      <vt:lpstr>04</vt:lpstr>
      <vt:lpstr>05</vt:lpstr>
      <vt:lpstr>06</vt:lpstr>
      <vt:lpstr>07</vt:lpstr>
      <vt:lpstr>08</vt:lpstr>
      <vt:lpstr>09</vt:lpstr>
      <vt:lpstr>BrojFunkcionalnihJedinica</vt:lpstr>
      <vt:lpstr>BrojParkingMesta</vt:lpstr>
      <vt:lpstr>BrutoPovrsinaPr</vt:lpstr>
      <vt:lpstr>CenaPoM2</vt:lpstr>
      <vt:lpstr>Datum</vt:lpstr>
      <vt:lpstr>EvidencioniBroj</vt:lpstr>
      <vt:lpstr>GlavnaSveskaPozicijaSlike</vt:lpstr>
      <vt:lpstr>GlavniProjektant</vt:lpstr>
      <vt:lpstr>GlavniProjektantPozicijaSlike</vt:lpstr>
      <vt:lpstr>IndeksIzgradjenosti</vt:lpstr>
      <vt:lpstr>IndeksZauzetosti</vt:lpstr>
      <vt:lpstr>Investitor</vt:lpstr>
      <vt:lpstr>InvestitorPozicijaSlike</vt:lpstr>
      <vt:lpstr>KatastarskeParcele</vt:lpstr>
      <vt:lpstr>KategorijaObjekta</vt:lpstr>
      <vt:lpstr>LokacijskiUslovi</vt:lpstr>
      <vt:lpstr>Mesto</vt:lpstr>
      <vt:lpstr>NagibKrova</vt:lpstr>
      <vt:lpstr>Objekat</vt:lpstr>
      <vt:lpstr>ObjekatIzKonteksta</vt:lpstr>
      <vt:lpstr>ObradaFasade</vt:lpstr>
      <vt:lpstr>ObradaKrova</vt:lpstr>
      <vt:lpstr>OdgovorniProjektantA</vt:lpstr>
      <vt:lpstr>OdgovorniProjektantE</vt:lpstr>
      <vt:lpstr>OdgovorniProjektantEEE</vt:lpstr>
      <vt:lpstr>OdgovorniProjektantH</vt:lpstr>
      <vt:lpstr>OdgovorniProjektantK</vt:lpstr>
      <vt:lpstr>OdgovorniProjektantM</vt:lpstr>
      <vt:lpstr>OdgovorniProjektantPPZ</vt:lpstr>
      <vt:lpstr>OdgovorniProjektantTS</vt:lpstr>
      <vt:lpstr>OdgovornoLice</vt:lpstr>
      <vt:lpstr>OdgovornoLiceGS</vt:lpstr>
      <vt:lpstr>OrjentacijaSlemena</vt:lpstr>
      <vt:lpstr>Pilot</vt:lpstr>
      <vt:lpstr>PovrsinaParcele</vt:lpstr>
      <vt:lpstr>PrikljucakNaKanalizaciju</vt:lpstr>
      <vt:lpstr>PrikljucakNaStruju</vt:lpstr>
      <vt:lpstr>PrikljucakNaVodovod</vt:lpstr>
      <vt:lpstr>'01'!Print_Area</vt:lpstr>
      <vt:lpstr>'02'!Print_Area</vt:lpstr>
      <vt:lpstr>'03'!Print_Area</vt:lpstr>
      <vt:lpstr>'04'!Print_Area</vt:lpstr>
      <vt:lpstr>'05'!Print_Area</vt:lpstr>
      <vt:lpstr>'06'!Print_Area</vt:lpstr>
      <vt:lpstr>'07'!Print_Area</vt:lpstr>
      <vt:lpstr>'08'!Print_Area</vt:lpstr>
      <vt:lpstr>'09'!Print_Area</vt:lpstr>
      <vt:lpstr>Index!Print_Area</vt:lpstr>
      <vt:lpstr>ProcenatZelenihPovrsina</vt:lpstr>
      <vt:lpstr>ProjekatA</vt:lpstr>
      <vt:lpstr>ProjekatE</vt:lpstr>
      <vt:lpstr>ProjekatEEE</vt:lpstr>
      <vt:lpstr>ProjekatH</vt:lpstr>
      <vt:lpstr>ProjekatK</vt:lpstr>
      <vt:lpstr>ProjekatM</vt:lpstr>
      <vt:lpstr>ProjekatPPZ</vt:lpstr>
      <vt:lpstr>ProjekatTS</vt:lpstr>
      <vt:lpstr>ProjektantAPozicijaSlike</vt:lpstr>
      <vt:lpstr>ProjektantEEEPozicijaSlike</vt:lpstr>
      <vt:lpstr>ProjektantEPozicijaSlike</vt:lpstr>
      <vt:lpstr>ProjektantHPozicijaSlike</vt:lpstr>
      <vt:lpstr>ProjektantKPozicijaSlike</vt:lpstr>
      <vt:lpstr>ProjektantMPozicijaSlike</vt:lpstr>
      <vt:lpstr>ProjektantPPZPozicijaSlike</vt:lpstr>
      <vt:lpstr>ProjektantTSPozicijaSlike</vt:lpstr>
      <vt:lpstr>ProjektnaOrganizacijaA</vt:lpstr>
      <vt:lpstr>ProjektnaOrganizacijaE</vt:lpstr>
      <vt:lpstr>ProjektnaOrganizacijaEEE</vt:lpstr>
      <vt:lpstr>ProjektnaOrganizacijaGS</vt:lpstr>
      <vt:lpstr>ProjektnaOrganizacijaH</vt:lpstr>
      <vt:lpstr>ProjektnaOrganizacijaK</vt:lpstr>
      <vt:lpstr>ProjektnaOrganizacijaM</vt:lpstr>
      <vt:lpstr>ProjektnaOrganizacijaPPZ</vt:lpstr>
      <vt:lpstr>ProjektnaOrganizacijaTS</vt:lpstr>
      <vt:lpstr>PutanjaBaze</vt:lpstr>
      <vt:lpstr>SpratnaVisina</vt:lpstr>
      <vt:lpstr>Spratnost</vt:lpstr>
      <vt:lpstr>TipObjekta</vt:lpstr>
      <vt:lpstr>UcesceKlasifikacija</vt:lpstr>
      <vt:lpstr>UkupnaBrutoPovrsina</vt:lpstr>
      <vt:lpstr>UkupnaBrutoPovrsinaNadzemno</vt:lpstr>
      <vt:lpstr>UkupnaNetoPovrsina</vt:lpstr>
      <vt:lpstr>UrbanistickiPlan</vt:lpstr>
      <vt:lpstr>VisinaSlemena</vt:lpstr>
      <vt:lpstr>VisinaVenca</vt:lpstr>
      <vt:lpstr>VrstaRadova</vt:lpstr>
      <vt:lpstr>VrstaRadovaIzKonteksta</vt:lpstr>
      <vt:lpstr>Zauzetost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Vuk Stojanovic</dc:creator>
  <cp:lastModifiedBy>Vuk Stojanovic</cp:lastModifiedBy>
  <cp:lastPrinted>2017-11-26T17:37:12Z</cp:lastPrinted>
  <dcterms:created xsi:type="dcterms:W3CDTF">2017-11-23T02:10:48Z</dcterms:created>
  <dcterms:modified xsi:type="dcterms:W3CDTF">2017-12-26T16:44:21Z</dcterms:modified>
</cp:coreProperties>
</file>