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drawings/drawing13.xml" ContentType="application/vnd.openxmlformats-officedocument.drawing+xml"/>
  <Override PartName="/xl/tables/table3.xml" ContentType="application/vnd.openxmlformats-officedocument.spreadsheetml.table+xml"/>
  <Override PartName="/xl/drawings/drawing14.xml" ContentType="application/vnd.openxmlformats-officedocument.drawing+xml"/>
  <Override PartName="/xl/tables/table4.xml" ContentType="application/vnd.openxmlformats-officedocument.spreadsheetml.table+xml"/>
  <Override PartName="/xl/drawings/drawing15.xml" ContentType="application/vnd.openxmlformats-officedocument.drawing+xml"/>
  <Override PartName="/xl/tables/table5.xml" ContentType="application/vnd.openxmlformats-officedocument.spreadsheetml.table+xml"/>
  <Override PartName="/xl/drawings/drawing16.xml" ContentType="application/vnd.openxmlformats-officedocument.drawing+xml"/>
  <Override PartName="/xl/tables/table6.xml" ContentType="application/vnd.openxmlformats-officedocument.spreadsheetml.table+xml"/>
  <Override PartName="/xl/drawings/drawing17.xml" ContentType="application/vnd.openxmlformats-officedocument.drawing+xml"/>
  <Override PartName="/xl/tables/table7.xml" ContentType="application/vnd.openxmlformats-officedocument.spreadsheetml.table+xml"/>
  <Override PartName="/xl/drawings/drawing18.xml" ContentType="application/vnd.openxmlformats-officedocument.drawing+xml"/>
  <Override PartName="/xl/tables/table8.xml" ContentType="application/vnd.openxmlformats-officedocument.spreadsheetml.table+xml"/>
  <Override PartName="/xl/drawings/drawing19.xml" ContentType="application/vnd.openxmlformats-officedocument.drawing+xml"/>
  <Override PartName="/xl/tables/table9.xml" ContentType="application/vnd.openxmlformats-officedocument.spreadsheetml.table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drawings/drawing24.xml" ContentType="application/vnd.openxmlformats-officedocument.drawing+xml"/>
  <Override PartName="/xl/tables/table13.xml" ContentType="application/vnd.openxmlformats-officedocument.spreadsheetml.table+xml"/>
  <Override PartName="/xl/drawings/drawing25.xml" ContentType="application/vnd.openxmlformats-officedocument.drawing+xml"/>
  <Override PartName="/xl/tables/table14.xml" ContentType="application/vnd.openxmlformats-officedocument.spreadsheetml.table+xml"/>
  <Override PartName="/xl/drawings/drawing26.xml" ContentType="application/vnd.openxmlformats-officedocument.drawing+xml"/>
  <Override PartName="/xl/tables/table15.xml" ContentType="application/vnd.openxmlformats-officedocument.spreadsheetml.table+xml"/>
  <Override PartName="/xl/drawings/drawing27.xml" ContentType="application/vnd.openxmlformats-officedocument.drawing+xml"/>
  <Override PartName="/xl/tables/table16.xml" ContentType="application/vnd.openxmlformats-officedocument.spreadsheetml.table+xml"/>
  <Override PartName="/xl/drawings/drawing28.xml" ContentType="application/vnd.openxmlformats-officedocument.drawing+xml"/>
  <Override PartName="/xl/tables/table17.xml" ContentType="application/vnd.openxmlformats-officedocument.spreadsheetml.table+xml"/>
  <Override PartName="/xl/drawings/drawing29.xml" ContentType="application/vnd.openxmlformats-officedocument.drawing+xml"/>
  <Override PartName="/xl/tables/table18.xml" ContentType="application/vnd.openxmlformats-officedocument.spreadsheetml.table+xml"/>
  <Override PartName="/xl/drawings/drawing30.xml" ContentType="application/vnd.openxmlformats-officedocument.drawing+xml"/>
  <Override PartName="/xl/tables/table19.xml" ContentType="application/vnd.openxmlformats-officedocument.spreadsheetml.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0" yWindow="0" windowWidth="28800" windowHeight="12300" tabRatio="722"/>
  </bookViews>
  <sheets>
    <sheet name="Index" sheetId="33" r:id="rId1"/>
    <sheet name="11" sheetId="2" r:id="rId2"/>
    <sheet name="Revident" sheetId="48" state="hidden" r:id="rId3"/>
    <sheet name="12" sheetId="5" r:id="rId4"/>
    <sheet name="13" sheetId="6" r:id="rId5"/>
    <sheet name="14" sheetId="7" r:id="rId6"/>
    <sheet name="15" sheetId="8" r:id="rId7"/>
    <sheet name="151" sheetId="9" r:id="rId8"/>
    <sheet name="16" sheetId="10" r:id="rId9"/>
    <sheet name="p161" sheetId="35" state="hidden" r:id="rId10"/>
    <sheet name="n161" sheetId="37" r:id="rId11"/>
    <sheet name="pPo" sheetId="38" state="hidden" r:id="rId12"/>
    <sheet name="pSu" sheetId="39" state="hidden" r:id="rId13"/>
    <sheet name="pPr" sheetId="40" state="hidden" r:id="rId14"/>
    <sheet name="pS1" sheetId="41" state="hidden" r:id="rId15"/>
    <sheet name="pS2" sheetId="43" state="hidden" r:id="rId16"/>
    <sheet name="pS3" sheetId="44" state="hidden" r:id="rId17"/>
    <sheet name="pS4" sheetId="45" state="hidden" r:id="rId18"/>
    <sheet name="pS5" sheetId="46" state="hidden" r:id="rId19"/>
    <sheet name="pPk" sheetId="47" state="hidden" r:id="rId20"/>
    <sheet name="pRekapitulacija" sheetId="19" state="hidden" r:id="rId21"/>
    <sheet name="nPo" sheetId="18" state="hidden" r:id="rId22"/>
    <sheet name="nSu" sheetId="20" state="hidden" r:id="rId23"/>
    <sheet name="nPr" sheetId="21" state="hidden" r:id="rId24"/>
    <sheet name="nS1" sheetId="22" state="hidden" r:id="rId25"/>
    <sheet name="nS2" sheetId="23" state="hidden" r:id="rId26"/>
    <sheet name="nS3" sheetId="24" state="hidden" r:id="rId27"/>
    <sheet name="nS4" sheetId="25" state="hidden" r:id="rId28"/>
    <sheet name="nS5" sheetId="26" state="hidden" r:id="rId29"/>
    <sheet name="nPk" sheetId="32" state="hidden" r:id="rId30"/>
    <sheet name="nRekapitulacija" sheetId="36" r:id="rId31"/>
    <sheet name="17" sheetId="12" r:id="rId32"/>
  </sheets>
  <definedNames>
    <definedName name="Datum">Index!$F$24</definedName>
    <definedName name="EvidencioniBroj">Index!$F$28</definedName>
    <definedName name="Investitor">Index!$F$39</definedName>
    <definedName name="InvestitorIzKonteksta">Index!$F$43</definedName>
    <definedName name="Mesto">Index!$F$32</definedName>
    <definedName name="Naslov" localSheetId="10">'n161'!$D$9:$E$12</definedName>
    <definedName name="Naslov" localSheetId="29">nPk!$D$9:$H$12</definedName>
    <definedName name="Naslov" localSheetId="21">nPo!$D$9:$H$12</definedName>
    <definedName name="Naslov" localSheetId="23">nPr!$D$9:$H$12</definedName>
    <definedName name="Naslov" localSheetId="24">'nS1'!$D$9:$H$12</definedName>
    <definedName name="Naslov" localSheetId="25">'nS2'!$D$9:$H$12</definedName>
    <definedName name="Naslov" localSheetId="26">'nS3'!$D$9:$H$12</definedName>
    <definedName name="Naslov" localSheetId="27">'nS4'!$D$9:$H$12</definedName>
    <definedName name="Naslov" localSheetId="28">'nS5'!$D$9:$H$12</definedName>
    <definedName name="Naslov" localSheetId="22">nSu!$D$9:$H$12</definedName>
    <definedName name="Naslov" localSheetId="9">'p161'!$D$9:$E$12</definedName>
    <definedName name="Naslov" localSheetId="19">pPk!$D$9:$H$12</definedName>
    <definedName name="Naslov" localSheetId="11">pPo!$D$9:$H$12</definedName>
    <definedName name="Naslov" localSheetId="13">pPr!$D$9:$H$12</definedName>
    <definedName name="Naslov" localSheetId="14">'pS1'!$D$9:$H$12</definedName>
    <definedName name="Naslov" localSheetId="15">'pS2'!$D$9:$H$12</definedName>
    <definedName name="Naslov" localSheetId="16">'pS3'!$D$9:$H$12</definedName>
    <definedName name="Naslov" localSheetId="17">'pS4'!$D$9:$H$12</definedName>
    <definedName name="Naslov" localSheetId="18">'pS5'!$D$9:$H$12</definedName>
    <definedName name="Naslov" localSheetId="12">pSu!$D$9:$H$12</definedName>
    <definedName name="nEtazaPk">Index!$C$50</definedName>
    <definedName name="nEtazaPo">Index!$C$42</definedName>
    <definedName name="nEtazaPr">Index!$C$44</definedName>
    <definedName name="nEtazaS1">Index!$C$45</definedName>
    <definedName name="nEtazaS2">Index!$C$46</definedName>
    <definedName name="nEtazaS3">Index!$C$47</definedName>
    <definedName name="nEtazaS4">Index!$C$48</definedName>
    <definedName name="nEtazaS5">Index!$C$49</definedName>
    <definedName name="nEtazaSu">Index!$C$43</definedName>
    <definedName name="nSpratnaVisninaPk">Index!$F$266</definedName>
    <definedName name="nSpratnaVisninaPo">Index!$F$234</definedName>
    <definedName name="nSpratnaVisninaPr">Index!$F$242</definedName>
    <definedName name="nSpratnaVisninaS1">Index!$F$246</definedName>
    <definedName name="nSpratnaVisninaS2">Index!$F$250</definedName>
    <definedName name="nSpratnaVisninaS3">Index!$F$254</definedName>
    <definedName name="nSpratnaVisninaS4">Index!$F$258</definedName>
    <definedName name="nSpratnaVisninaS5">Index!$F$262</definedName>
    <definedName name="nSpratnaVisninaSu">Index!$F$238</definedName>
    <definedName name="nUkupnaBrutoPovrsinaPk">Index!$F$180</definedName>
    <definedName name="nUkupnaBrutoPovrsinaPo">Index!$F$148</definedName>
    <definedName name="nUkupnaBrutoPovrsinaPr">Index!$F$156</definedName>
    <definedName name="nUkupnaBrutoPovrsinaS1">Index!$F$160</definedName>
    <definedName name="nUkupnaBrutoPovrsinaS2">Index!$F$164</definedName>
    <definedName name="nUkupnaBrutoPovrsinaS3">Index!$F$168</definedName>
    <definedName name="nUkupnaBrutoPovrsinaS4">Index!$F$172</definedName>
    <definedName name="nUkupnaBrutoPovrsinaS5">Index!$F$176</definedName>
    <definedName name="nUkupnaBrutoPovrsinaSu">Index!$F$152</definedName>
    <definedName name="nVisinaSlemena">Index!$F$274</definedName>
    <definedName name="nVisinaVenca">Index!$F$270</definedName>
    <definedName name="Objekat">Index!$F$50</definedName>
    <definedName name="ObjekatIzKonteksta">Index!$F$54</definedName>
    <definedName name="OdgovorniProjektantA">Index!$F$88</definedName>
    <definedName name="OdgovorniProjektantSlikaA">Index!$F$292</definedName>
    <definedName name="OdgovorniProjektantSlikaR">Index!$F$297</definedName>
    <definedName name="OdgovornoLiceA">Index!$F$76</definedName>
    <definedName name="pEtazaPk">Index!$C$40</definedName>
    <definedName name="pEtazaPo">Index!$C$32</definedName>
    <definedName name="pEtazaPr">Index!$C$34</definedName>
    <definedName name="pEtazaS1">Index!$C$35</definedName>
    <definedName name="pEtazaS2">Index!$C$36</definedName>
    <definedName name="pEtazaS3">Index!$C$37</definedName>
    <definedName name="pEtazaS4">Index!$C$38</definedName>
    <definedName name="pEtazaS5">Index!$C$39</definedName>
    <definedName name="pEtazaSu">Index!$C$33</definedName>
    <definedName name="Pilot">Index!$F$8</definedName>
    <definedName name="PrikazNaslovaPodnaslovaEtaza">Index!$G$102</definedName>
    <definedName name="_xlnm.Print_Area" localSheetId="1">'11'!$D$9:$D$46</definedName>
    <definedName name="_xlnm.Print_Area" localSheetId="3">'12'!$D$9:$E$35</definedName>
    <definedName name="_xlnm.Print_Area" localSheetId="4">'13'!$D$9:$D$40</definedName>
    <definedName name="_xlnm.Print_Area" localSheetId="5">'14'!$D$9:$D$41</definedName>
    <definedName name="_xlnm.Print_Area" localSheetId="6">'15'!$D$9:$D$53</definedName>
    <definedName name="_xlnm.Print_Area" localSheetId="7">'151'!$D$9:$D$39</definedName>
    <definedName name="_xlnm.Print_Area" localSheetId="8">'16'!$D$9:$D$53</definedName>
    <definedName name="_xlnm.Print_Area" localSheetId="31">'17'!$D$9:$D$53</definedName>
    <definedName name="_xlnm.Print_Area" localSheetId="10">'n161'!$D$9:$E$40</definedName>
    <definedName name="_xlnm.Print_Area" localSheetId="29">nPk!$D$9:$H$25</definedName>
    <definedName name="_xlnm.Print_Area" localSheetId="21">nPo!$D$9:$H$25</definedName>
    <definedName name="_xlnm.Print_Area" localSheetId="23">nPr!$D$9:$H$25</definedName>
    <definedName name="_xlnm.Print_Area" localSheetId="30">nRekapitulacija!$D$9:$G$38</definedName>
    <definedName name="_xlnm.Print_Area" localSheetId="24">'nS1'!$D$9:$H$25</definedName>
    <definedName name="_xlnm.Print_Area" localSheetId="25">'nS2'!$D$9:$H$25</definedName>
    <definedName name="_xlnm.Print_Area" localSheetId="26">'nS3'!$D$9:$H$25</definedName>
    <definedName name="_xlnm.Print_Area" localSheetId="27">'nS4'!$D$9:$H$25</definedName>
    <definedName name="_xlnm.Print_Area" localSheetId="28">'nS5'!$D$9:$H$25</definedName>
    <definedName name="_xlnm.Print_Area" localSheetId="22">nSu!$D$9:$H$25</definedName>
    <definedName name="_xlnm.Print_Area" localSheetId="9">'p161'!$D$9:$E$29</definedName>
    <definedName name="_xlnm.Print_Area" localSheetId="19">pPk!$D$9:$H$25</definedName>
    <definedName name="_xlnm.Print_Area" localSheetId="11">pPo!$D$9:$H$25</definedName>
    <definedName name="_xlnm.Print_Area" localSheetId="13">pPr!$D$9:$H$25</definedName>
    <definedName name="_xlnm.Print_Area" localSheetId="20">pRekapitulacija!$D$9:$G$29</definedName>
    <definedName name="_xlnm.Print_Area" localSheetId="14">'pS1'!$D$9:$H$25</definedName>
    <definedName name="_xlnm.Print_Area" localSheetId="15">'pS2'!$D$9:$H$25</definedName>
    <definedName name="_xlnm.Print_Area" localSheetId="16">'pS3'!$D$9:$H$25</definedName>
    <definedName name="_xlnm.Print_Area" localSheetId="17">'pS4'!$D$9:$H$25</definedName>
    <definedName name="_xlnm.Print_Area" localSheetId="18">'pS5'!$D$9:$H$25</definedName>
    <definedName name="_xlnm.Print_Area" localSheetId="12">pSu!$D$9:$H$25</definedName>
    <definedName name="_xlnm.Print_Area" localSheetId="2">Revident!$D$9:$D$40</definedName>
    <definedName name="ProjektnaOrganizacijaA">Index!$F$72</definedName>
    <definedName name="ProjektnaOrganizacijaR">Index!$F$81</definedName>
    <definedName name="ProjektnaOrganizacijaSlikaA">Index!$F$282</definedName>
    <definedName name="ProjektnaOrganizacijaSlikaR">Index!$F$287</definedName>
    <definedName name="pSpratnaVisninaPk">Index!$F$219</definedName>
    <definedName name="pSpratnaVisninaPo">Index!$F$187</definedName>
    <definedName name="pSpratnaVisninaPr">Index!$F$195</definedName>
    <definedName name="pSpratnaVisninaS1">Index!$F$199</definedName>
    <definedName name="pSpratnaVisninaS2">Index!$F$203</definedName>
    <definedName name="pSpratnaVisninaS3">Index!$F$207</definedName>
    <definedName name="pSpratnaVisninaS4">Index!$F$211</definedName>
    <definedName name="pSpratnaVisninaS5">Index!$F$215</definedName>
    <definedName name="pSpratnaVisninaSu">Index!$F$191</definedName>
    <definedName name="pUkupnaBrutoPovrsinaPk">Index!$F$141</definedName>
    <definedName name="pUkupnaBrutoPovrsinaPo">Index!$F$109</definedName>
    <definedName name="pUkupnaBrutoPovrsinaPr">Index!$F$117</definedName>
    <definedName name="pUkupnaBrutoPovrsinaS1">Index!$F$121</definedName>
    <definedName name="pUkupnaBrutoPovrsinaS2">Index!$F$125</definedName>
    <definedName name="pUkupnaBrutoPovrsinaS3">Index!$F$129</definedName>
    <definedName name="pUkupnaBrutoPovrsinaS4">Index!$F$133</definedName>
    <definedName name="pUkupnaBrutoPovrsinaS5">Index!$F$137</definedName>
    <definedName name="pUkupnaBrutoPovrsinaSu">Index!$F$113</definedName>
    <definedName name="PutanjaBaze">Index!$F$15</definedName>
    <definedName name="pVisinaSlemena">Index!$F$227</definedName>
    <definedName name="pVisinaVenca">Index!$F$223</definedName>
    <definedName name="RevidentA">Index!$F$95</definedName>
    <definedName name="VrstaRadova">Index!$F$61</definedName>
    <definedName name="VrstaRadovaIzKonteksta">Index!$F$65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37" l="1"/>
  <c r="D28" i="48" l="1"/>
  <c r="G22" i="36" l="1"/>
  <c r="G21" i="36"/>
  <c r="G20" i="36"/>
  <c r="G19" i="36"/>
  <c r="G18" i="36"/>
  <c r="G17" i="36"/>
  <c r="G16" i="36"/>
  <c r="G15" i="36"/>
  <c r="G14" i="36"/>
  <c r="F22" i="36"/>
  <c r="F21" i="36"/>
  <c r="F20" i="36"/>
  <c r="F19" i="36"/>
  <c r="F18" i="36"/>
  <c r="F17" i="36"/>
  <c r="F16" i="36"/>
  <c r="F15" i="36"/>
  <c r="F14" i="36"/>
  <c r="E22" i="36"/>
  <c r="E21" i="36"/>
  <c r="E20" i="36"/>
  <c r="E19" i="36"/>
  <c r="E18" i="36"/>
  <c r="E17" i="36"/>
  <c r="E16" i="36"/>
  <c r="E15" i="36"/>
  <c r="E14" i="36"/>
  <c r="E28" i="37"/>
  <c r="E27" i="37"/>
  <c r="E26" i="37"/>
  <c r="E25" i="37"/>
  <c r="E24" i="37"/>
  <c r="E23" i="37"/>
  <c r="E22" i="37"/>
  <c r="E21" i="37"/>
  <c r="E20" i="37"/>
  <c r="E19" i="37"/>
  <c r="E18" i="37"/>
  <c r="E28" i="35"/>
  <c r="E27" i="35"/>
  <c r="E26" i="35"/>
  <c r="E25" i="35"/>
  <c r="E24" i="35"/>
  <c r="E23" i="35"/>
  <c r="E22" i="35"/>
  <c r="E21" i="35"/>
  <c r="E20" i="35"/>
  <c r="E19" i="35"/>
  <c r="E18" i="35"/>
  <c r="E266" i="33"/>
  <c r="E262" i="33"/>
  <c r="E258" i="33"/>
  <c r="E254" i="33"/>
  <c r="E250" i="33"/>
  <c r="E246" i="33"/>
  <c r="E242" i="33"/>
  <c r="E238" i="33"/>
  <c r="E234" i="33"/>
  <c r="E180" i="33"/>
  <c r="E176" i="33"/>
  <c r="E172" i="33"/>
  <c r="E168" i="33"/>
  <c r="E164" i="33"/>
  <c r="E160" i="33"/>
  <c r="E156" i="33"/>
  <c r="E152" i="33"/>
  <c r="E148" i="33"/>
  <c r="D38" i="48" l="1"/>
  <c r="E95" i="33"/>
  <c r="E81" i="33"/>
  <c r="D19" i="48"/>
  <c r="D32" i="48"/>
  <c r="D15" i="48"/>
  <c r="D18" i="38" l="1"/>
  <c r="H24" i="32" l="1"/>
  <c r="H24" i="26"/>
  <c r="H24" i="25"/>
  <c r="H24" i="24"/>
  <c r="H24" i="23"/>
  <c r="H24" i="22"/>
  <c r="H24" i="21"/>
  <c r="H24" i="20"/>
  <c r="H24" i="18"/>
  <c r="H24" i="47"/>
  <c r="H24" i="46"/>
  <c r="H24" i="45"/>
  <c r="H24" i="44"/>
  <c r="H24" i="43"/>
  <c r="H24" i="41"/>
  <c r="H24" i="40"/>
  <c r="D18" i="32"/>
  <c r="D18" i="25"/>
  <c r="D18" i="26"/>
  <c r="D18" i="24"/>
  <c r="D18" i="23"/>
  <c r="D18" i="22"/>
  <c r="D18" i="21"/>
  <c r="D18" i="20"/>
  <c r="D18" i="18"/>
  <c r="D18" i="47"/>
  <c r="D18" i="46"/>
  <c r="D18" i="45"/>
  <c r="D18" i="44"/>
  <c r="D18" i="43"/>
  <c r="D18" i="41"/>
  <c r="D18" i="40"/>
  <c r="D18" i="39"/>
  <c r="F102" i="33"/>
  <c r="D15" i="32"/>
  <c r="D15" i="26"/>
  <c r="D15" i="25"/>
  <c r="D15" i="24"/>
  <c r="D15" i="23"/>
  <c r="D15" i="22"/>
  <c r="D15" i="21"/>
  <c r="D15" i="20"/>
  <c r="D15" i="18"/>
  <c r="H24" i="39"/>
  <c r="H22" i="39"/>
  <c r="H20" i="39"/>
  <c r="D11" i="36"/>
  <c r="D36" i="36"/>
  <c r="D30" i="36"/>
  <c r="D22" i="36"/>
  <c r="D21" i="36"/>
  <c r="D20" i="36"/>
  <c r="D19" i="36"/>
  <c r="D18" i="36"/>
  <c r="D17" i="36"/>
  <c r="D16" i="36"/>
  <c r="D15" i="36"/>
  <c r="D14" i="36"/>
  <c r="F22" i="19"/>
  <c r="F21" i="19"/>
  <c r="F20" i="19"/>
  <c r="F19" i="19"/>
  <c r="F18" i="19"/>
  <c r="F17" i="19"/>
  <c r="F16" i="19"/>
  <c r="F15" i="19"/>
  <c r="E22" i="19"/>
  <c r="E21" i="19"/>
  <c r="E20" i="19"/>
  <c r="E19" i="19"/>
  <c r="E18" i="19"/>
  <c r="E17" i="19"/>
  <c r="E16" i="19"/>
  <c r="E15" i="19"/>
  <c r="D22" i="19"/>
  <c r="D21" i="19"/>
  <c r="D20" i="19"/>
  <c r="D19" i="19"/>
  <c r="D18" i="19"/>
  <c r="D17" i="19"/>
  <c r="D16" i="19"/>
  <c r="D15" i="19"/>
  <c r="D14" i="19"/>
  <c r="G22" i="19"/>
  <c r="G21" i="19"/>
  <c r="G20" i="19"/>
  <c r="G19" i="19"/>
  <c r="G14" i="19"/>
  <c r="G15" i="19"/>
  <c r="G16" i="19"/>
  <c r="G17" i="19"/>
  <c r="G18" i="19"/>
  <c r="E14" i="19"/>
  <c r="F14" i="19"/>
  <c r="H24" i="38"/>
  <c r="H20" i="38"/>
  <c r="D26" i="37"/>
  <c r="D25" i="37"/>
  <c r="D24" i="37"/>
  <c r="D23" i="37"/>
  <c r="D22" i="37"/>
  <c r="D21" i="37"/>
  <c r="D20" i="37"/>
  <c r="D19" i="37"/>
  <c r="D18" i="37"/>
  <c r="D26" i="35"/>
  <c r="D25" i="35"/>
  <c r="D24" i="35"/>
  <c r="D23" i="35"/>
  <c r="D22" i="35"/>
  <c r="D21" i="35"/>
  <c r="D20" i="35"/>
  <c r="D19" i="35"/>
  <c r="D18" i="35"/>
  <c r="D38" i="37"/>
  <c r="D32" i="37"/>
  <c r="D28" i="37"/>
  <c r="D27" i="37"/>
  <c r="D37" i="9"/>
  <c r="D31" i="9"/>
  <c r="D17" i="9"/>
  <c r="H22" i="47"/>
  <c r="H20" i="47"/>
  <c r="H22" i="46"/>
  <c r="H20" i="46"/>
  <c r="H22" i="45"/>
  <c r="H20" i="45"/>
  <c r="H22" i="44"/>
  <c r="H20" i="44"/>
  <c r="H22" i="43"/>
  <c r="H20" i="43"/>
  <c r="H22" i="41"/>
  <c r="H20" i="41"/>
  <c r="H22" i="40"/>
  <c r="H20" i="40"/>
  <c r="H22" i="38"/>
  <c r="D33" i="7"/>
  <c r="D39" i="7"/>
  <c r="D19" i="7"/>
  <c r="D15" i="7"/>
  <c r="D38" i="6"/>
  <c r="D32" i="6"/>
  <c r="D27" i="6"/>
  <c r="D23" i="6"/>
  <c r="G26" i="19" l="1"/>
  <c r="G28" i="36"/>
  <c r="G28" i="19"/>
  <c r="G24" i="36"/>
  <c r="G26" i="36"/>
  <c r="G24" i="19"/>
  <c r="D45" i="2"/>
  <c r="D43" i="2" l="1"/>
  <c r="D39" i="2"/>
  <c r="D31" i="2"/>
  <c r="D25" i="2"/>
  <c r="D23" i="2"/>
  <c r="D17" i="2"/>
  <c r="D15" i="2"/>
  <c r="A29" i="33"/>
  <c r="A28" i="33"/>
  <c r="A27" i="33"/>
  <c r="A26" i="33"/>
  <c r="A25" i="33"/>
  <c r="A24" i="33"/>
  <c r="E8" i="33"/>
  <c r="E15" i="33"/>
  <c r="E24" i="33"/>
  <c r="E28" i="33"/>
  <c r="E32" i="33"/>
  <c r="E39" i="33"/>
  <c r="E43" i="33"/>
  <c r="E50" i="33"/>
  <c r="E54" i="33"/>
  <c r="E61" i="33"/>
  <c r="E65" i="33"/>
  <c r="E72" i="33"/>
  <c r="E76" i="33"/>
  <c r="E88" i="33"/>
  <c r="F231" i="33"/>
  <c r="E274" i="33"/>
  <c r="E270" i="33"/>
  <c r="E227" i="33"/>
  <c r="E223" i="33"/>
  <c r="E219" i="33"/>
  <c r="E215" i="33"/>
  <c r="E211" i="33"/>
  <c r="E207" i="33"/>
  <c r="E203" i="33"/>
  <c r="E199" i="33"/>
  <c r="E195" i="33"/>
  <c r="E191" i="33"/>
  <c r="E187" i="33"/>
  <c r="F145" i="33"/>
  <c r="E141" i="33"/>
  <c r="E137" i="33"/>
  <c r="E133" i="33"/>
  <c r="E129" i="33"/>
  <c r="E125" i="33"/>
  <c r="E121" i="33"/>
  <c r="E117" i="33"/>
  <c r="E113" i="33"/>
  <c r="E109" i="33"/>
  <c r="A30" i="33" s="1"/>
  <c r="E102" i="33" l="1"/>
  <c r="H22" i="32" l="1"/>
  <c r="H20" i="32"/>
  <c r="H22" i="26"/>
  <c r="H20" i="26"/>
  <c r="H22" i="25"/>
  <c r="H20" i="25"/>
  <c r="H22" i="24"/>
  <c r="H20" i="24"/>
  <c r="H22" i="23"/>
  <c r="H20" i="23"/>
  <c r="H22" i="22"/>
  <c r="H20" i="22"/>
  <c r="H22" i="21"/>
  <c r="H20" i="21"/>
  <c r="H22" i="20"/>
  <c r="H20" i="20"/>
  <c r="H22" i="18" l="1"/>
  <c r="H20" i="18"/>
</calcChain>
</file>

<file path=xl/connections.xml><?xml version="1.0" encoding="utf-8"?>
<connections xmlns="http://schemas.openxmlformats.org/spreadsheetml/2006/main">
  <connection id="1" name="proba" type="4" refreshedVersion="0" background="1">
    <webPr xml="1" sourceData="1" url="C:\Users\vukst\Dropbox\STOING (DOO)\Piloti\Projektovanje\proba.xml" htmlTables="1" htmlFormat="all"/>
  </connection>
</connections>
</file>

<file path=xl/sharedStrings.xml><?xml version="1.0" encoding="utf-8"?>
<sst xmlns="http://schemas.openxmlformats.org/spreadsheetml/2006/main" count="497" uniqueCount="192">
  <si>
    <t>Investitor</t>
  </si>
  <si>
    <t>Objekat</t>
  </si>
  <si>
    <t>Vrsta tehničke dokumentacije</t>
  </si>
  <si>
    <t>Naziv i oznaka dela projekta</t>
  </si>
  <si>
    <t>Za gradjenje / izvodjenje radova</t>
  </si>
  <si>
    <t>Projektant</t>
  </si>
  <si>
    <t>Odgovorno lice</t>
  </si>
  <si>
    <t>Broj tehničke dokumentacije</t>
  </si>
  <si>
    <t>Mesto i datum</t>
  </si>
  <si>
    <t>1.1. NASLOVNA STRANA PROJEKTA ARHITEKTURE</t>
  </si>
  <si>
    <t>1. Projekat arhitekture</t>
  </si>
  <si>
    <t>1.2. SADRŽAJ PROJEKTA ARHITEKTURE</t>
  </si>
  <si>
    <t>1.1.</t>
  </si>
  <si>
    <t>Naslovna strana projekta arhitekture</t>
  </si>
  <si>
    <t>1.2.</t>
  </si>
  <si>
    <t>Sadržaj projekta arhitekture</t>
  </si>
  <si>
    <t>1.3.</t>
  </si>
  <si>
    <t>Rešenje o određivanju odgovornog projektanta projekta arhitekture</t>
  </si>
  <si>
    <t>1.4.</t>
  </si>
  <si>
    <t>Izjava odgovornog projektanta projekta arhitekture</t>
  </si>
  <si>
    <t>1.5.</t>
  </si>
  <si>
    <t>Tekstualna dokumentacija</t>
  </si>
  <si>
    <t>1.5.1.</t>
  </si>
  <si>
    <t>Tehnički opis projekta arhitekture</t>
  </si>
  <si>
    <t>1.6.</t>
  </si>
  <si>
    <t>Numerička dokumentacija</t>
  </si>
  <si>
    <t>1.6.1.</t>
  </si>
  <si>
    <t>Tabelarni prikaz površina</t>
  </si>
  <si>
    <t>1.7.</t>
  </si>
  <si>
    <t>Grafička dokumentacija</t>
  </si>
  <si>
    <t>...</t>
  </si>
  <si>
    <t>1.3. REŠENJE O ODREĐIVANJU ODGOVORNOG PROJEKTANTA_x000D_
PROJEKTA ARHITEKTURE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</si>
  <si>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</si>
  <si>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ODGOVORNI PROJEKTANT</t>
  </si>
  <si>
    <t>Ime i prezime, stručni naziv i broj licnce IKS</t>
  </si>
  <si>
    <t>1.4. IZJAVA ODGOVORNOG PROJEKTANTA PROJEKTA ARHITEKTURE</t>
  </si>
  <si>
    <t>IZJAVLJUJEM</t>
  </si>
  <si>
    <t>1. da je projekat izrađen u skladu sa Zakonom o planiranju i izgradnji, propisima, standardima i normativima iz oblasti izgradnje objekata i pravilima struke;</t>
  </si>
  <si>
    <t>2. da su pri izradi projekta poštovane sve propisne i utvrđene mere i preporuke za ispunjenje osnovnih zahteva za objekat i da je projekat izrađen u skladu sa merama i preporukama kojima se dokazuje ispunjenost osnovnih zahteva.</t>
  </si>
  <si>
    <t>Tekstualna
dokumentacija</t>
  </si>
  <si>
    <t>1.5.1. TEHNIČKI OPIS PROJEKTA ARHITEKTURE</t>
  </si>
  <si>
    <t>OPŠTI DEO</t>
  </si>
  <si>
    <t>ARHITEKTONSKO REŠENJE</t>
  </si>
  <si>
    <t>KONSTRUKCIJA</t>
  </si>
  <si>
    <t>Odgovorni projektant</t>
  </si>
  <si>
    <t>Numericka
dokumentacija</t>
  </si>
  <si>
    <t>Graficka
dokumentacija</t>
  </si>
  <si>
    <t>Evidencioni broj</t>
  </si>
  <si>
    <t>1.6.1. TABELARNI PRIKAZ POVRŠINA</t>
  </si>
  <si>
    <t>a</t>
  </si>
  <si>
    <t>Naziv prostorije</t>
  </si>
  <si>
    <t>Obrada zida</t>
  </si>
  <si>
    <t>Obrada poda</t>
  </si>
  <si>
    <t>Neto površina</t>
  </si>
  <si>
    <t>b</t>
  </si>
  <si>
    <t>gr</t>
  </si>
  <si>
    <t>UKUPNA NETO POVRŠINA PODRUMA (Po):</t>
  </si>
  <si>
    <t>UKUPNA NETO POVRŠINA PODRUMA (Po) PO SRS-e:</t>
  </si>
  <si>
    <t>UKUPNA BRUTO POVRŠINA PODRUMA (Po):</t>
  </si>
  <si>
    <t>Naziv etaže</t>
  </si>
  <si>
    <t>Neto površina
po SRS-e</t>
  </si>
  <si>
    <t>Bruto površina</t>
  </si>
  <si>
    <t>Podrum (Po)</t>
  </si>
  <si>
    <t>Suteren (Su)</t>
  </si>
  <si>
    <t>Prizemlje (Pr)</t>
  </si>
  <si>
    <t>Prvi sprat (1)</t>
  </si>
  <si>
    <t>Drugi sprat (2)</t>
  </si>
  <si>
    <t>Treći sprat (3)</t>
  </si>
  <si>
    <t>Četvrti sprat (4)</t>
  </si>
  <si>
    <t>Peti sprat (5)</t>
  </si>
  <si>
    <t>Potkrovlje (Pk)</t>
  </si>
  <si>
    <t>UKUPNA NETO POVRŠINA OBJEKTA:</t>
  </si>
  <si>
    <t>UKUPNA NETO POVRŠINA OBJEKTA PO SRS-e:</t>
  </si>
  <si>
    <t>UKUPNA BRUTO POVRŠINA OBJEKTA:</t>
  </si>
  <si>
    <t>UKUPNA NETO POVRŠINA SURETENA (Su):</t>
  </si>
  <si>
    <t>UKUPNA NETO POVRŠINA SUTERENA (Su) PO SRS-e:</t>
  </si>
  <si>
    <t>UKUPNA BRUTO POVRŠINA SUTERENA (Su):</t>
  </si>
  <si>
    <t>UKUPNA NETO POVRŠINA PRIZEMLJA (Pr):</t>
  </si>
  <si>
    <t>UKUPNA NETO POVRŠINA PRIZEMLJA (Pr) PO SRS-e:</t>
  </si>
  <si>
    <t>UKUPNA BRUTO POVRŠINA PRIZEMLJA (Pr):</t>
  </si>
  <si>
    <t>UKUPNA NETO POVRŠINA PRVOG SPRATA (1):</t>
  </si>
  <si>
    <t>UKUPNA NETO POVRŠINA PRVOG SPRATA (1) PO SRS-e:</t>
  </si>
  <si>
    <t>UKUPNA BRUTO POVRŠINA PRVOG SPRATA (1):</t>
  </si>
  <si>
    <t>UKUPNA NETO POVRŠINA DRUGOG SPRATA (2):</t>
  </si>
  <si>
    <t>UKUPNA NETO POVRŠINA DRUGOG SPRATA (2) PO SRS-e:</t>
  </si>
  <si>
    <t>UKUPNA BRUTO POVRŠINA DRUGOG SPRATA (2):</t>
  </si>
  <si>
    <t>UKUPNA NETO POVRŠINA TREĆEG SPRATA (3):</t>
  </si>
  <si>
    <t>UKUPNA NETO POVRŠINA TREĆEG SPRATA (3) PO SRS-e:</t>
  </si>
  <si>
    <t>UKUPNA BRUTO POVRŠINA TREĆEG SPRATA (3):</t>
  </si>
  <si>
    <t>UKUPNA NETO POVRŠINA ČETVRTOG SPRATA (4):</t>
  </si>
  <si>
    <t>UKUPNA NETO POVRŠINA ČETVRTOG SPRATA (4) PO SRS-e:</t>
  </si>
  <si>
    <t>UKUPNA BRUTO POVRŠINA ČETVRTOG SPRATA (4):</t>
  </si>
  <si>
    <t>UKUPNA NETO POVRŠINA PETOG SPRATA (5):</t>
  </si>
  <si>
    <t>UKUPNA NETO POVRŠINA PETOG SPRATA (5) PO SRS-e:</t>
  </si>
  <si>
    <t>UKUPNA BRUTO POVRŠINA PETOG SPRATA (5):</t>
  </si>
  <si>
    <t>UKUPNA NETO POVRŠINA POTKROVLJA (Pk):</t>
  </si>
  <si>
    <t>UKUPNA NETO POVRŠINA POTKROVLJA (Pk) PO SRS-e:</t>
  </si>
  <si>
    <t>UKUPNA BRUTO POVRŠINA POTKROVLJA (Pk):</t>
  </si>
  <si>
    <t>Redni broj</t>
  </si>
  <si>
    <t>PODEŠAVANJA</t>
  </si>
  <si>
    <t>Pilot</t>
  </si>
  <si>
    <t>Naziv pilota</t>
  </si>
  <si>
    <t>Baza</t>
  </si>
  <si>
    <t>Informacije</t>
  </si>
  <si>
    <t>Putanja baze podataka (.accdb)</t>
  </si>
  <si>
    <t>PODACI</t>
  </si>
  <si>
    <t>Evidencija</t>
  </si>
  <si>
    <t>Datum</t>
  </si>
  <si>
    <t>(primer: 23.11.2017)</t>
  </si>
  <si>
    <t>(primer: 23-1/11/2017)</t>
  </si>
  <si>
    <t>Mesto</t>
  </si>
  <si>
    <t>(primer: Ćuprija 35230)</t>
  </si>
  <si>
    <t>(primer: Vuk Stojanović, JMBG 1234567891234, Ćuprija 35230, Alekse Šantića 3)</t>
  </si>
  <si>
    <t>(primer: Stambena zgrada sa jednim stanom - porodična kuća, spratnosti Pr+2+Pk, Ćuprija 35230, Alekse Šantića 3, k. p. br. 100 k. o. Ćuprija)</t>
  </si>
  <si>
    <t>Objekat iz konteksta</t>
  </si>
  <si>
    <t>(primer: stambene zgrade sa jednim stanom - porodične kuće, spratnosti Pr+2+Pk, Ćuprija 35230, Alekse Šantića 3, k. p. br. 100 k. o. Ćuprija)</t>
  </si>
  <si>
    <t>Vrsta radova</t>
  </si>
  <si>
    <t>(primer: Nova gradnja)</t>
  </si>
  <si>
    <t>Vrsta radova iz konteksta</t>
  </si>
  <si>
    <t>(primer: novu gradnju)</t>
  </si>
  <si>
    <t>(primer: Stoing (DOO), Ćuprija 35230, Alekse Šantića 3)</t>
  </si>
  <si>
    <t>(primer: Vesna Stojanović, Dipl. inž. građ.)</t>
  </si>
  <si>
    <t>Projektna organizacija koja je izradila projekat arhitekture</t>
  </si>
  <si>
    <t>(primer: Zoran Stojanović, Dipl. inž. građ. sa brojem licence 317 A335 04)</t>
  </si>
  <si>
    <t>Odgovorni projektant projekta arhitekture</t>
  </si>
  <si>
    <t>Visina venca (m)</t>
  </si>
  <si>
    <t>Visina slemena (m)</t>
  </si>
  <si>
    <t>POTPISI I PEČATI</t>
  </si>
  <si>
    <t>Investitor iz kontoksta</t>
  </si>
  <si>
    <t>(primer: Vuka Stojanovića, JMBG 1234567891234, Ćuprija 35230, Alekse Šantića 3)</t>
  </si>
  <si>
    <t>Odgovorno lice projektne organizacije koja je izradila projekat arhitekture</t>
  </si>
  <si>
    <t>(primer: 50,00)</t>
  </si>
  <si>
    <t>Podrum (m²)</t>
  </si>
  <si>
    <r>
      <t>Suteren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</si>
  <si>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Prizemlje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</si>
  <si>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Prvi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</si>
  <si>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Drugi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</si>
  <si>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Treći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</si>
  <si>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Četvrti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</si>
  <si>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Peti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</si>
  <si>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(primer: 3,40)</t>
  </si>
  <si>
    <t>(primer: 4,60)</t>
  </si>
  <si>
    <t>h</t>
  </si>
  <si>
    <t>1.6.1. TABELARNI PRIKAZ VISINA</t>
  </si>
  <si>
    <t>1.6.2. TABELARNI PRIKAZ POVRŠINA</t>
  </si>
  <si>
    <t>PRILOZI</t>
  </si>
  <si>
    <t>(primer: novo)</t>
  </si>
  <si>
    <t>Prikaz naslova i podnaslova etaža</t>
  </si>
  <si>
    <t>Etaže</t>
  </si>
  <si>
    <t>Bruto površine etaža - postojeće stanje</t>
  </si>
  <si>
    <t>Visine objekta - postojeće stanje</t>
  </si>
  <si>
    <t>Projektna organizacija</t>
  </si>
  <si>
    <t>Projekat arhitekture</t>
  </si>
  <si>
    <t>(primer: Projekat arhitekture)</t>
  </si>
  <si>
    <t>1.1. Naslovna strana</t>
  </si>
  <si>
    <t>1.2. Sadržaj</t>
  </si>
  <si>
    <t>1.3. Rešenje o određivanju odgovornog projektanta</t>
  </si>
  <si>
    <t>1.4. Izjava odgovornog projektanta</t>
  </si>
  <si>
    <t>1.5.0. Tekstualna dokumentacija</t>
  </si>
  <si>
    <t>1.5.1. Tehnički opis</t>
  </si>
  <si>
    <t>1.6.0. Numerička dokumentacija</t>
  </si>
  <si>
    <t>1.6.1. Tabelarni prikaz visina</t>
  </si>
  <si>
    <t>1.6.2. Tabelarni prikaz površina</t>
  </si>
  <si>
    <t>1.7.0. Grafička dokumentacija</t>
  </si>
  <si>
    <t>1.?. Revident</t>
  </si>
  <si>
    <t>REKAPITULACIJA POSTOJEĆEG STANJA</t>
  </si>
  <si>
    <r>
      <t>Potkrovlje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</si>
  <si>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Potkrovlje (m</t>
    </r>
    <r>
      <rPr>
        <sz val="10"/>
        <color theme="1" tint="0.249977111117893"/>
        <rFont val="Arial"/>
        <family val="2"/>
        <charset val="238"/>
      </rPr>
      <t>)</t>
    </r>
  </si>
  <si>
    <t>Idejno rešenje (IDR)</t>
  </si>
  <si>
    <t>Visina venca - postojećeg stanja:</t>
  </si>
  <si>
    <t>Visina slemena - postojećeg stanja:</t>
  </si>
  <si>
    <t>PODRUM (Po) - POSTOJEĆE STANJE</t>
  </si>
  <si>
    <t>SUTEREN (Su) - POSTOJEĆE STANJE</t>
  </si>
  <si>
    <t>PRIZEMLJE (Pr) - POSTOJEĆE STANJE</t>
  </si>
  <si>
    <t>PRVI SPRAT (1) - POSTOJEĆE STANJE</t>
  </si>
  <si>
    <t>DRUGI SPRAT (2) - POSTOJEĆE STANJE</t>
  </si>
  <si>
    <t>TREĆI SPRAT (3) - POSTOJEĆE STANJE</t>
  </si>
  <si>
    <t>ČETVRTI SPRAT (4) - POSTOJEĆE STANJE</t>
  </si>
  <si>
    <t>PETI SPRAT (5) - POSTOJEĆE STANJE</t>
  </si>
  <si>
    <t>POTKROVLJE (Pk) - POSTOJEĆE STANJE</t>
  </si>
  <si>
    <t>Tabelarni prikaz visina</t>
  </si>
  <si>
    <t>1.6.2.</t>
  </si>
  <si>
    <t>Odgovorni vršioc tehničke kontrole</t>
  </si>
  <si>
    <t>Odgovorni vršioc tehničke kontrole projekta arhitekture</t>
  </si>
  <si>
    <t>Projektne organizacije</t>
  </si>
  <si>
    <t>Projektna organizacija koja je izvršila tehničku kontrolu projekta arhitekture</t>
  </si>
  <si>
    <t>IZJAVA ODGOVORNOG VRŠILACA TEHNIČKE KONTROLE 
PROJEKTA ARHITEKTURE</t>
  </si>
  <si>
    <t>Vršioc tehničke kontrole</t>
  </si>
  <si>
    <t>Odgovorni projektanti</t>
  </si>
  <si>
    <t>Postojeće stanje</t>
  </si>
  <si>
    <t>Novoprojektovano stanje</t>
  </si>
  <si>
    <t>POSTOJEĆE STANJE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</si>
</sst>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58"/>
      <color theme="1"/>
      <name val="Brush Script MT"/>
      <family val="4"/>
    </font>
    <font>
      <b/>
      <sz val="12"/>
      <name val="Arial"/>
      <family val="2"/>
      <charset val="238"/>
    </font>
    <font>
      <sz val="11"/>
      <color theme="1"/>
      <name val="Calibri"/>
      <family val="2"/>
      <scheme val="minor"/>
    </font>
    <font>
      <i/>
      <sz val="8"/>
      <color theme="1" tint="0.499984740745262"/>
      <name val="Arial"/>
      <family val="2"/>
      <charset val="238"/>
    </font>
    <font>
      <i/>
      <sz val="8"/>
      <color theme="1"/>
      <name val="Arial"/>
      <family val="2"/>
      <charset val="238"/>
    </font>
    <font>
      <sz val="9"/>
      <color theme="1" tint="0.249977111117893"/>
      <name val="Forte"/>
      <family val="4"/>
    </font>
    <font>
      <sz val="10"/>
      <color theme="1" tint="0.249977111117893"/>
      <name val="Arial"/>
      <family val="2"/>
      <charset val="238"/>
    </font>
    <font>
      <i/>
      <sz val="8"/>
      <color theme="0" tint="-0.14996795556505021"/>
      <name val="Arial"/>
      <family val="2"/>
      <charset val="238"/>
    </font>
    <font>
      <sz val="12"/>
      <color theme="0" tint="-0.249977111117893"/>
      <name val="Arial"/>
      <family val="2"/>
    </font>
    <font>
      <sz val="12"/>
      <color theme="0" tint="-0.249977111117893"/>
      <name val="Arial"/>
      <family val="2"/>
      <charset val="238"/>
    </font>
    <font>
      <sz val="12"/>
      <color theme="5" tint="-0.249977111117893"/>
      <name val="Arial"/>
      <family val="2"/>
    </font>
    <font>
      <sz val="8"/>
      <color theme="1" tint="0.499984740745262"/>
      <name val="Arial"/>
      <family val="2"/>
      <charset val="238"/>
    </font>
    <font>
      <sz val="12"/>
      <color theme="1" tint="0.499984740745262"/>
      <name val="Arial"/>
      <family val="2"/>
      <charset val="238"/>
    </font>
    <font>
      <sz val="12"/>
      <color theme="1"/>
      <name val="Arial"/>
    </font>
    <font>
      <sz val="12"/>
      <color theme="1"/>
      <name val="Arial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0"/>
      <color theme="1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u/>
      <sz val="10"/>
      <color theme="1" tint="0.249977111117893"/>
      <name val="Arial"/>
      <family val="2"/>
      <charset val="238"/>
    </font>
    <font>
      <b/>
      <u/>
      <sz val="10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u/>
      <sz val="12"/>
      <color theme="10"/>
      <name val="Arial"/>
      <family val="2"/>
      <charset val="238"/>
    </font>
    <font>
      <sz val="10"/>
      <color rgb="FF404040"/>
      <name val="Arial"/>
      <family val="2"/>
      <charset val="238"/>
    </font>
    <font>
      <sz val="9"/>
      <color theme="0" tint="-0.249977111117893"/>
      <name val="Forte"/>
      <family val="4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1" tint="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0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</borders>
  <cellStyleXfs count="6">
    <xf numFmtId="0" fontId="0" fillId="0" borderId="0"/>
    <xf numFmtId="0" fontId="2" fillId="0" borderId="0"/>
    <xf numFmtId="0" fontId="8" fillId="0" borderId="0"/>
    <xf numFmtId="0" fontId="2" fillId="0" borderId="0"/>
    <xf numFmtId="0" fontId="20" fillId="0" borderId="0"/>
    <xf numFmtId="0" fontId="29" fillId="0" borderId="0" applyNumberFormat="0" applyFill="0" applyBorder="0" applyAlignment="0" applyProtection="0"/>
  </cellStyleXfs>
  <cellXfs count="196">
    <xf numFmtId="0" fontId="0" fillId="0" borderId="0" xfId="0"/>
    <xf numFmtId="0" fontId="2" fillId="2" borderId="1" xfId="1" applyFill="1" applyBorder="1"/>
    <xf numFmtId="0" fontId="2" fillId="0" borderId="0" xfId="1"/>
    <xf numFmtId="0" fontId="2" fillId="3" borderId="0" xfId="1" applyFont="1" applyFill="1" applyAlignment="1">
      <alignment horizontal="justify"/>
    </xf>
    <xf numFmtId="0" fontId="2" fillId="4" borderId="0" xfId="1" applyFont="1" applyFill="1" applyAlignment="1">
      <alignment horizontal="justify"/>
    </xf>
    <xf numFmtId="0" fontId="2" fillId="5" borderId="0" xfId="1" applyFont="1" applyFill="1" applyAlignment="1">
      <alignment horizontal="justify"/>
    </xf>
    <xf numFmtId="0" fontId="2" fillId="0" borderId="0" xfId="1" applyFont="1" applyAlignment="1">
      <alignment horizontal="justify"/>
    </xf>
    <xf numFmtId="0" fontId="1" fillId="0" borderId="0" xfId="1" applyFont="1" applyAlignment="1">
      <alignment horizontal="center"/>
    </xf>
    <xf numFmtId="0" fontId="3" fillId="0" borderId="2" xfId="1" applyFont="1" applyBorder="1" applyAlignment="1">
      <alignment horizontal="justify" wrapText="1"/>
    </xf>
    <xf numFmtId="0" fontId="2" fillId="0" borderId="0" xfId="1" applyAlignment="1">
      <alignment horizontal="justify"/>
    </xf>
    <xf numFmtId="0" fontId="4" fillId="0" borderId="0" xfId="1" applyFont="1" applyAlignment="1">
      <alignment horizontal="left" vertical="top"/>
    </xf>
    <xf numFmtId="0" fontId="3" fillId="0" borderId="0" xfId="1" applyFont="1" applyAlignment="1">
      <alignment horizontal="justify" wrapText="1"/>
    </xf>
    <xf numFmtId="0" fontId="3" fillId="0" borderId="0" xfId="1" applyFont="1" applyAlignment="1">
      <alignment horizontal="justify"/>
    </xf>
    <xf numFmtId="0" fontId="4" fillId="0" borderId="3" xfId="1" applyFont="1" applyBorder="1" applyAlignment="1">
      <alignment horizontal="left" vertical="top"/>
    </xf>
    <xf numFmtId="0" fontId="2" fillId="2" borderId="0" xfId="1" applyFont="1" applyFill="1" applyAlignment="1">
      <alignment horizontal="justify"/>
    </xf>
    <xf numFmtId="0" fontId="3" fillId="2" borderId="1" xfId="1" applyFont="1" applyFill="1" applyBorder="1"/>
    <xf numFmtId="0" fontId="3" fillId="0" borderId="0" xfId="1" applyFont="1"/>
    <xf numFmtId="0" fontId="0" fillId="0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1" fillId="0" borderId="0" xfId="0" applyFont="1" applyAlignment="1">
      <alignment horizontal="justify"/>
    </xf>
    <xf numFmtId="0" fontId="0" fillId="4" borderId="0" xfId="0" applyFill="1"/>
    <xf numFmtId="0" fontId="3" fillId="2" borderId="0" xfId="1" applyFont="1" applyFill="1"/>
    <xf numFmtId="0" fontId="1" fillId="0" borderId="0" xfId="1" applyFont="1" applyAlignment="1">
      <alignment horizontal="center" wrapText="1"/>
    </xf>
    <xf numFmtId="0" fontId="2" fillId="0" borderId="0" xfId="1" applyFont="1" applyAlignment="1">
      <alignment horizontal="center"/>
    </xf>
    <xf numFmtId="0" fontId="4" fillId="0" borderId="0" xfId="1" applyFont="1" applyAlignment="1">
      <alignment horizontal="center" vertical="top"/>
    </xf>
    <xf numFmtId="0" fontId="2" fillId="0" borderId="2" xfId="1" applyFont="1" applyBorder="1" applyAlignment="1">
      <alignment horizontal="justify"/>
    </xf>
    <xf numFmtId="0" fontId="7" fillId="0" borderId="0" xfId="1" applyFont="1" applyAlignment="1">
      <alignment horizontal="left"/>
    </xf>
    <xf numFmtId="0" fontId="2" fillId="0" borderId="0" xfId="1" applyFont="1" applyAlignment="1">
      <alignment horizontal="justify" wrapText="1"/>
    </xf>
    <xf numFmtId="0" fontId="2" fillId="5" borderId="0" xfId="1" applyFont="1" applyFill="1" applyAlignment="1">
      <alignment horizontal="center" vertical="center"/>
    </xf>
    <xf numFmtId="0" fontId="3" fillId="0" borderId="0" xfId="0" applyFont="1"/>
    <xf numFmtId="0" fontId="0" fillId="3" borderId="0" xfId="0" applyFont="1" applyFill="1" applyAlignment="1">
      <alignment horizontal="justify"/>
    </xf>
    <xf numFmtId="0" fontId="0" fillId="3" borderId="0" xfId="0" applyFill="1"/>
    <xf numFmtId="0" fontId="0" fillId="5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9" fillId="0" borderId="4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center" vertical="center"/>
    </xf>
    <xf numFmtId="0" fontId="11" fillId="4" borderId="0" xfId="0" applyFont="1" applyFill="1" applyAlignment="1">
      <alignment horizontal="center" vertical="top"/>
    </xf>
    <xf numFmtId="0" fontId="3" fillId="4" borderId="0" xfId="0" applyFont="1" applyFill="1"/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0" fillId="2" borderId="0" xfId="0" applyFont="1" applyFill="1" applyAlignment="1">
      <alignment horizontal="justify"/>
    </xf>
    <xf numFmtId="0" fontId="12" fillId="0" borderId="0" xfId="0" applyFont="1" applyAlignment="1">
      <alignment horizontal="right" vertical="center"/>
    </xf>
    <xf numFmtId="0" fontId="2" fillId="3" borderId="0" xfId="1" applyFill="1"/>
    <xf numFmtId="0" fontId="2" fillId="4" borderId="0" xfId="1" applyFill="1"/>
    <xf numFmtId="0" fontId="13" fillId="6" borderId="6" xfId="1" applyFont="1" applyFill="1" applyBorder="1" applyAlignment="1">
      <alignment horizontal="left" vertical="center"/>
    </xf>
    <xf numFmtId="0" fontId="13" fillId="6" borderId="7" xfId="1" applyFont="1" applyFill="1" applyBorder="1" applyAlignment="1">
      <alignment horizontal="right" vertical="center"/>
    </xf>
    <xf numFmtId="0" fontId="13" fillId="6" borderId="7" xfId="1" applyFont="1" applyFill="1" applyBorder="1" applyAlignment="1">
      <alignment horizontal="right" vertical="center" wrapText="1"/>
    </xf>
    <xf numFmtId="0" fontId="13" fillId="6" borderId="8" xfId="1" applyFont="1" applyFill="1" applyBorder="1" applyAlignment="1">
      <alignment horizontal="right" vertical="center"/>
    </xf>
    <xf numFmtId="0" fontId="3" fillId="0" borderId="7" xfId="1" applyFont="1" applyFill="1" applyBorder="1" applyAlignment="1">
      <alignment horizontal="justify"/>
    </xf>
    <xf numFmtId="4" fontId="3" fillId="0" borderId="7" xfId="1" applyNumberFormat="1" applyFont="1" applyFill="1" applyBorder="1" applyAlignment="1">
      <alignment horizontal="right"/>
    </xf>
    <xf numFmtId="0" fontId="3" fillId="0" borderId="5" xfId="1" applyFont="1" applyFill="1" applyBorder="1" applyAlignment="1">
      <alignment horizontal="justify"/>
    </xf>
    <xf numFmtId="4" fontId="3" fillId="0" borderId="5" xfId="1" applyNumberFormat="1" applyFont="1" applyFill="1" applyBorder="1" applyAlignment="1">
      <alignment horizontal="right"/>
    </xf>
    <xf numFmtId="0" fontId="1" fillId="0" borderId="0" xfId="1" applyFont="1" applyAlignment="1">
      <alignment horizontal="right"/>
    </xf>
    <xf numFmtId="4" fontId="1" fillId="0" borderId="0" xfId="1" applyNumberFormat="1" applyFont="1" applyAlignment="1">
      <alignment horizontal="right"/>
    </xf>
    <xf numFmtId="0" fontId="2" fillId="0" borderId="9" xfId="1" applyFont="1" applyBorder="1" applyAlignment="1">
      <alignment horizontal="justify"/>
    </xf>
    <xf numFmtId="0" fontId="1" fillId="0" borderId="9" xfId="1" applyFont="1" applyBorder="1" applyAlignment="1">
      <alignment horizontal="right"/>
    </xf>
    <xf numFmtId="4" fontId="1" fillId="0" borderId="9" xfId="1" applyNumberFormat="1" applyFont="1" applyBorder="1" applyAlignment="1">
      <alignment horizontal="right"/>
    </xf>
    <xf numFmtId="0" fontId="12" fillId="0" borderId="0" xfId="1" applyFont="1" applyAlignment="1">
      <alignment horizontal="right" vertical="center"/>
    </xf>
    <xf numFmtId="0" fontId="9" fillId="4" borderId="0" xfId="0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center"/>
    </xf>
    <xf numFmtId="0" fontId="0" fillId="0" borderId="0" xfId="0" quotePrefix="1" applyFont="1" applyBorder="1" applyAlignment="1">
      <alignment horizontal="left"/>
    </xf>
    <xf numFmtId="0" fontId="0" fillId="0" borderId="0" xfId="0" applyFont="1" applyBorder="1" applyAlignment="1">
      <alignment horizontal="justify"/>
    </xf>
    <xf numFmtId="4" fontId="0" fillId="0" borderId="0" xfId="0" applyNumberFormat="1" applyFont="1" applyBorder="1" applyAlignment="1">
      <alignment horizontal="right"/>
    </xf>
    <xf numFmtId="0" fontId="17" fillId="4" borderId="0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left" vertical="center"/>
    </xf>
    <xf numFmtId="0" fontId="3" fillId="0" borderId="0" xfId="1" applyFont="1" applyAlignment="1">
      <alignment horizontal="center"/>
    </xf>
    <xf numFmtId="0" fontId="19" fillId="0" borderId="0" xfId="0" applyFont="1" applyBorder="1" applyAlignment="1">
      <alignment horizontal="justify"/>
    </xf>
    <xf numFmtId="4" fontId="19" fillId="0" borderId="0" xfId="0" applyNumberFormat="1" applyFont="1" applyBorder="1" applyAlignment="1">
      <alignment horizontal="right"/>
    </xf>
    <xf numFmtId="0" fontId="19" fillId="0" borderId="0" xfId="0" quotePrefix="1" applyFont="1" applyBorder="1" applyAlignment="1">
      <alignment horizontal="left"/>
    </xf>
    <xf numFmtId="0" fontId="2" fillId="0" borderId="0" xfId="1" applyFont="1" applyAlignment="1">
      <alignment horizontal="justify"/>
    </xf>
    <xf numFmtId="0" fontId="2" fillId="3" borderId="0" xfId="1" applyFill="1" applyProtection="1"/>
    <xf numFmtId="0" fontId="0" fillId="3" borderId="0" xfId="0" applyFill="1" applyProtection="1"/>
    <xf numFmtId="0" fontId="2" fillId="0" borderId="0" xfId="1" applyProtection="1"/>
    <xf numFmtId="0" fontId="21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5" fillId="0" borderId="0" xfId="1" applyFont="1" applyAlignment="1" applyProtection="1">
      <alignment horizontal="left" vertical="center"/>
    </xf>
    <xf numFmtId="0" fontId="0" fillId="0" borderId="0" xfId="0" applyProtection="1"/>
    <xf numFmtId="0" fontId="2" fillId="0" borderId="10" xfId="1" applyBorder="1" applyProtection="1"/>
    <xf numFmtId="0" fontId="0" fillId="0" borderId="11" xfId="0" applyBorder="1" applyProtection="1"/>
    <xf numFmtId="0" fontId="2" fillId="0" borderId="12" xfId="1" applyBorder="1" applyProtection="1"/>
    <xf numFmtId="0" fontId="2" fillId="0" borderId="13" xfId="1" applyBorder="1" applyProtection="1"/>
    <xf numFmtId="0" fontId="12" fillId="0" borderId="0" xfId="0" applyFont="1" applyBorder="1" applyAlignment="1" applyProtection="1">
      <alignment horizontal="left" vertical="center"/>
    </xf>
    <xf numFmtId="0" fontId="2" fillId="0" borderId="14" xfId="1" applyBorder="1" applyProtection="1"/>
    <xf numFmtId="0" fontId="2" fillId="0" borderId="15" xfId="1" applyBorder="1" applyProtection="1"/>
    <xf numFmtId="0" fontId="16" fillId="0" borderId="0" xfId="0" applyFont="1" applyFill="1" applyBorder="1" applyAlignment="1" applyProtection="1">
      <alignment horizontal="center"/>
    </xf>
    <xf numFmtId="0" fontId="22" fillId="0" borderId="16" xfId="0" applyNumberFormat="1" applyFont="1" applyBorder="1" applyAlignment="1" applyProtection="1">
      <alignment horizontal="justify"/>
    </xf>
    <xf numFmtId="0" fontId="16" fillId="0" borderId="14" xfId="0" applyFont="1" applyFill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 vertical="top"/>
    </xf>
    <xf numFmtId="0" fontId="2" fillId="0" borderId="17" xfId="1" applyBorder="1" applyProtection="1"/>
    <xf numFmtId="0" fontId="0" fillId="0" borderId="18" xfId="0" applyBorder="1" applyProtection="1"/>
    <xf numFmtId="0" fontId="2" fillId="0" borderId="19" xfId="1" applyBorder="1" applyProtection="1"/>
    <xf numFmtId="0" fontId="5" fillId="3" borderId="0" xfId="1" applyFont="1" applyFill="1" applyAlignment="1" applyProtection="1">
      <alignment horizontal="left" vertical="center"/>
    </xf>
    <xf numFmtId="0" fontId="2" fillId="0" borderId="0" xfId="1" applyBorder="1" applyProtection="1"/>
    <xf numFmtId="0" fontId="0" fillId="0" borderId="0" xfId="0" applyBorder="1" applyProtection="1"/>
    <xf numFmtId="0" fontId="23" fillId="0" borderId="0" xfId="0" applyFont="1" applyBorder="1" applyAlignment="1" applyProtection="1">
      <alignment horizontal="justify" vertical="top"/>
    </xf>
    <xf numFmtId="0" fontId="2" fillId="0" borderId="20" xfId="1" applyBorder="1" applyProtection="1"/>
    <xf numFmtId="0" fontId="0" fillId="0" borderId="21" xfId="0" applyBorder="1" applyProtection="1"/>
    <xf numFmtId="0" fontId="2" fillId="0" borderId="22" xfId="1" applyBorder="1" applyProtection="1"/>
    <xf numFmtId="0" fontId="0" fillId="0" borderId="15" xfId="0" applyBorder="1" applyProtection="1"/>
    <xf numFmtId="0" fontId="2" fillId="0" borderId="23" xfId="1" applyBorder="1" applyProtection="1"/>
    <xf numFmtId="0" fontId="2" fillId="0" borderId="24" xfId="1" applyBorder="1" applyProtection="1"/>
    <xf numFmtId="0" fontId="2" fillId="0" borderId="11" xfId="1" applyBorder="1" applyProtection="1"/>
    <xf numFmtId="0" fontId="2" fillId="0" borderId="21" xfId="1" applyBorder="1" applyProtection="1"/>
    <xf numFmtId="4" fontId="22" fillId="0" borderId="16" xfId="0" applyNumberFormat="1" applyFont="1" applyBorder="1" applyAlignment="1" applyProtection="1">
      <alignment horizontal="justify"/>
      <protection locked="0"/>
    </xf>
    <xf numFmtId="0" fontId="0" fillId="0" borderId="23" xfId="0" applyFill="1" applyBorder="1" applyProtection="1"/>
    <xf numFmtId="0" fontId="0" fillId="0" borderId="18" xfId="0" applyFill="1" applyBorder="1" applyProtection="1"/>
    <xf numFmtId="0" fontId="2" fillId="4" borderId="0" xfId="1" applyFill="1" applyProtection="1"/>
    <xf numFmtId="14" fontId="24" fillId="0" borderId="16" xfId="0" applyNumberFormat="1" applyFont="1" applyBorder="1" applyAlignment="1" applyProtection="1">
      <alignment horizontal="justify"/>
    </xf>
    <xf numFmtId="0" fontId="22" fillId="0" borderId="16" xfId="0" applyFont="1" applyBorder="1" applyAlignment="1" applyProtection="1">
      <alignment horizontal="justify"/>
    </xf>
    <xf numFmtId="0" fontId="0" fillId="0" borderId="0" xfId="0" applyFill="1" applyBorder="1" applyProtection="1"/>
    <xf numFmtId="0" fontId="2" fillId="0" borderId="25" xfId="1" applyBorder="1" applyProtection="1"/>
    <xf numFmtId="0" fontId="3" fillId="0" borderId="0" xfId="3" applyFont="1"/>
    <xf numFmtId="0" fontId="12" fillId="0" borderId="0" xfId="3" applyFont="1" applyAlignment="1">
      <alignment horizontal="right" vertical="center"/>
    </xf>
    <xf numFmtId="0" fontId="2" fillId="2" borderId="0" xfId="3" applyFont="1" applyFill="1" applyAlignment="1">
      <alignment horizontal="justify"/>
    </xf>
    <xf numFmtId="0" fontId="2" fillId="4" borderId="0" xfId="3" applyFill="1"/>
    <xf numFmtId="0" fontId="2" fillId="0" borderId="0" xfId="3" applyFont="1" applyAlignment="1">
      <alignment horizontal="justify"/>
    </xf>
    <xf numFmtId="0" fontId="2" fillId="0" borderId="0" xfId="3" applyFont="1" applyAlignment="1">
      <alignment horizontal="justify"/>
    </xf>
    <xf numFmtId="0" fontId="2" fillId="0" borderId="9" xfId="3" applyFont="1" applyBorder="1" applyAlignment="1">
      <alignment horizontal="justify"/>
    </xf>
    <xf numFmtId="0" fontId="2" fillId="5" borderId="0" xfId="3" applyFont="1" applyFill="1" applyAlignment="1">
      <alignment horizontal="justify"/>
    </xf>
    <xf numFmtId="4" fontId="3" fillId="0" borderId="5" xfId="3" applyNumberFormat="1" applyFont="1" applyFill="1" applyBorder="1" applyAlignment="1">
      <alignment horizontal="right"/>
    </xf>
    <xf numFmtId="0" fontId="3" fillId="0" borderId="5" xfId="3" applyFont="1" applyFill="1" applyBorder="1" applyAlignment="1">
      <alignment horizontal="justify"/>
    </xf>
    <xf numFmtId="4" fontId="3" fillId="0" borderId="7" xfId="3" applyNumberFormat="1" applyFont="1" applyFill="1" applyBorder="1" applyAlignment="1">
      <alignment horizontal="right"/>
    </xf>
    <xf numFmtId="0" fontId="3" fillId="0" borderId="7" xfId="3" applyFont="1" applyFill="1" applyBorder="1" applyAlignment="1">
      <alignment horizontal="justify"/>
    </xf>
    <xf numFmtId="0" fontId="13" fillId="6" borderId="7" xfId="3" applyFont="1" applyFill="1" applyBorder="1" applyAlignment="1">
      <alignment horizontal="right" vertical="center"/>
    </xf>
    <xf numFmtId="0" fontId="13" fillId="6" borderId="6" xfId="3" applyFont="1" applyFill="1" applyBorder="1" applyAlignment="1">
      <alignment horizontal="left" vertical="center"/>
    </xf>
    <xf numFmtId="0" fontId="2" fillId="4" borderId="0" xfId="3" applyFont="1" applyFill="1" applyAlignment="1">
      <alignment horizontal="justify"/>
    </xf>
    <xf numFmtId="0" fontId="2" fillId="3" borderId="0" xfId="3" applyFill="1"/>
    <xf numFmtId="0" fontId="2" fillId="3" borderId="0" xfId="3" applyFont="1" applyFill="1" applyAlignment="1">
      <alignment horizontal="justify"/>
    </xf>
    <xf numFmtId="0" fontId="3" fillId="2" borderId="1" xfId="3" applyFont="1" applyFill="1" applyBorder="1"/>
    <xf numFmtId="0" fontId="12" fillId="3" borderId="0" xfId="1" applyFont="1" applyFill="1" applyAlignment="1" applyProtection="1">
      <alignment horizontal="left" vertical="center"/>
    </xf>
    <xf numFmtId="0" fontId="12" fillId="3" borderId="0" xfId="1" applyFont="1" applyFill="1" applyAlignment="1" applyProtection="1">
      <alignment horizontal="left" vertical="center" indent="1"/>
    </xf>
    <xf numFmtId="1" fontId="24" fillId="0" borderId="26" xfId="0" applyNumberFormat="1" applyFont="1" applyBorder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left" vertical="center"/>
    </xf>
    <xf numFmtId="0" fontId="23" fillId="0" borderId="18" xfId="0" applyFont="1" applyBorder="1" applyAlignment="1" applyProtection="1">
      <alignment horizontal="justify" vertical="top"/>
    </xf>
    <xf numFmtId="0" fontId="5" fillId="0" borderId="0" xfId="1" applyFont="1" applyFill="1" applyBorder="1" applyAlignment="1" applyProtection="1">
      <alignment horizontal="left" vertical="center"/>
    </xf>
    <xf numFmtId="0" fontId="2" fillId="0" borderId="0" xfId="1" applyFill="1" applyBorder="1" applyProtection="1"/>
    <xf numFmtId="0" fontId="2" fillId="0" borderId="27" xfId="1" applyFill="1" applyBorder="1" applyProtection="1"/>
    <xf numFmtId="0" fontId="0" fillId="0" borderId="28" xfId="0" applyFill="1" applyBorder="1" applyProtection="1"/>
    <xf numFmtId="0" fontId="2" fillId="0" borderId="29" xfId="1" applyFill="1" applyBorder="1" applyProtection="1"/>
    <xf numFmtId="0" fontId="2" fillId="0" borderId="25" xfId="1" applyFill="1" applyBorder="1" applyProtection="1"/>
    <xf numFmtId="0" fontId="2" fillId="0" borderId="15" xfId="1" applyFill="1" applyBorder="1" applyProtection="1"/>
    <xf numFmtId="0" fontId="2" fillId="0" borderId="24" xfId="1" applyFill="1" applyBorder="1" applyProtection="1"/>
    <xf numFmtId="0" fontId="0" fillId="0" borderId="27" xfId="0" applyFill="1" applyBorder="1" applyProtection="1"/>
    <xf numFmtId="0" fontId="0" fillId="0" borderId="25" xfId="0" applyBorder="1"/>
    <xf numFmtId="0" fontId="0" fillId="0" borderId="0" xfId="0" applyBorder="1"/>
    <xf numFmtId="0" fontId="0" fillId="0" borderId="15" xfId="0" applyBorder="1"/>
    <xf numFmtId="0" fontId="0" fillId="0" borderId="23" xfId="0" applyBorder="1"/>
    <xf numFmtId="0" fontId="0" fillId="0" borderId="18" xfId="0" applyBorder="1"/>
    <xf numFmtId="0" fontId="0" fillId="0" borderId="24" xfId="0" applyBorder="1"/>
    <xf numFmtId="0" fontId="0" fillId="2" borderId="0" xfId="0" applyFill="1"/>
    <xf numFmtId="0" fontId="2" fillId="0" borderId="30" xfId="1" applyBorder="1" applyProtection="1"/>
    <xf numFmtId="0" fontId="2" fillId="3" borderId="0" xfId="1" applyFill="1" applyBorder="1" applyProtection="1"/>
    <xf numFmtId="0" fontId="0" fillId="3" borderId="0" xfId="0" applyFill="1" applyBorder="1" applyProtection="1"/>
    <xf numFmtId="0" fontId="0" fillId="4" borderId="0" xfId="0" applyFill="1" applyBorder="1" applyProtection="1"/>
    <xf numFmtId="0" fontId="23" fillId="0" borderId="0" xfId="0" applyFont="1" applyFill="1" applyBorder="1" applyAlignment="1" applyProtection="1">
      <alignment horizontal="justify" vertical="top"/>
    </xf>
    <xf numFmtId="0" fontId="2" fillId="2" borderId="1" xfId="1" applyFill="1" applyBorder="1" applyProtection="1"/>
    <xf numFmtId="0" fontId="0" fillId="2" borderId="1" xfId="0" applyFill="1" applyBorder="1" applyProtection="1"/>
    <xf numFmtId="0" fontId="26" fillId="3" borderId="0" xfId="1" applyFont="1" applyFill="1" applyAlignment="1" applyProtection="1">
      <alignment horizontal="left" vertical="center"/>
    </xf>
    <xf numFmtId="1" fontId="12" fillId="3" borderId="31" xfId="0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horizontal="justify"/>
    </xf>
    <xf numFmtId="0" fontId="28" fillId="3" borderId="0" xfId="0" applyFont="1" applyFill="1" applyAlignment="1" applyProtection="1">
      <alignment horizontal="center" vertical="center"/>
    </xf>
    <xf numFmtId="0" fontId="3" fillId="0" borderId="32" xfId="3" applyFont="1" applyFill="1" applyBorder="1" applyAlignment="1">
      <alignment horizontal="justify"/>
    </xf>
    <xf numFmtId="0" fontId="0" fillId="5" borderId="0" xfId="1" applyFont="1" applyFill="1" applyAlignment="1">
      <alignment horizontal="justify"/>
    </xf>
    <xf numFmtId="0" fontId="30" fillId="4" borderId="0" xfId="5" applyFont="1" applyFill="1" applyAlignment="1">
      <alignment horizontal="center"/>
    </xf>
    <xf numFmtId="0" fontId="31" fillId="5" borderId="0" xfId="1" applyFont="1" applyFill="1" applyAlignment="1">
      <alignment horizontal="center" vertical="center"/>
    </xf>
    <xf numFmtId="0" fontId="31" fillId="4" borderId="0" xfId="0" applyFont="1" applyFill="1" applyAlignment="1">
      <alignment horizontal="center" vertical="center"/>
    </xf>
    <xf numFmtId="0" fontId="31" fillId="4" borderId="0" xfId="0" applyFont="1" applyFill="1" applyAlignment="1">
      <alignment horizontal="center" vertical="top"/>
    </xf>
    <xf numFmtId="0" fontId="30" fillId="4" borderId="0" xfId="5" applyFont="1" applyFill="1" applyBorder="1" applyAlignment="1">
      <alignment horizontal="center" vertical="top"/>
    </xf>
    <xf numFmtId="0" fontId="0" fillId="0" borderId="0" xfId="0" applyFont="1" applyBorder="1" applyAlignment="1">
      <alignment horizontal="left"/>
    </xf>
    <xf numFmtId="0" fontId="2" fillId="0" borderId="0" xfId="3" applyFont="1" applyAlignment="1">
      <alignment horizontal="justify"/>
    </xf>
    <xf numFmtId="0" fontId="26" fillId="3" borderId="0" xfId="1" applyFont="1" applyFill="1" applyAlignment="1" applyProtection="1">
      <alignment horizontal="left" vertical="center" indent="1"/>
    </xf>
    <xf numFmtId="0" fontId="12" fillId="3" borderId="0" xfId="1" applyFont="1" applyFill="1" applyAlignment="1" applyProtection="1">
      <alignment horizontal="left" vertical="center" indent="2"/>
    </xf>
    <xf numFmtId="0" fontId="1" fillId="0" borderId="0" xfId="3" applyFont="1" applyAlignment="1">
      <alignment horizontal="justify"/>
    </xf>
    <xf numFmtId="0" fontId="14" fillId="2" borderId="1" xfId="0" applyFont="1" applyFill="1" applyBorder="1" applyAlignment="1">
      <alignment horizontal="left" vertical="center"/>
    </xf>
    <xf numFmtId="0" fontId="14" fillId="2" borderId="1" xfId="1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15" fillId="2" borderId="1" xfId="3" applyFont="1" applyFill="1" applyBorder="1" applyAlignment="1">
      <alignment horizontal="left" vertical="center"/>
    </xf>
    <xf numFmtId="0" fontId="1" fillId="0" borderId="0" xfId="3" applyFont="1" applyAlignment="1">
      <alignment horizontal="center"/>
    </xf>
    <xf numFmtId="0" fontId="9" fillId="0" borderId="9" xfId="3" applyFont="1" applyBorder="1" applyAlignment="1">
      <alignment horizontal="left" vertical="top"/>
    </xf>
    <xf numFmtId="0" fontId="2" fillId="0" borderId="0" xfId="3" applyFont="1" applyAlignment="1">
      <alignment horizontal="justify"/>
    </xf>
    <xf numFmtId="0" fontId="9" fillId="0" borderId="0" xfId="3" applyFont="1" applyBorder="1" applyAlignment="1">
      <alignment horizontal="left" vertical="top"/>
    </xf>
    <xf numFmtId="0" fontId="2" fillId="0" borderId="0" xfId="3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Alignment="1">
      <alignment horizontal="left"/>
    </xf>
    <xf numFmtId="0" fontId="15" fillId="2" borderId="1" xfId="1" applyFont="1" applyFill="1" applyBorder="1" applyAlignment="1">
      <alignment horizontal="left" vertical="center"/>
    </xf>
    <xf numFmtId="0" fontId="9" fillId="0" borderId="9" xfId="1" applyFont="1" applyBorder="1" applyAlignment="1">
      <alignment horizontal="left" vertical="top"/>
    </xf>
    <xf numFmtId="0" fontId="2" fillId="0" borderId="0" xfId="1" applyFont="1" applyAlignment="1">
      <alignment horizontal="justify"/>
    </xf>
    <xf numFmtId="0" fontId="9" fillId="0" borderId="0" xfId="1" applyFont="1" applyBorder="1" applyAlignment="1">
      <alignment horizontal="left" vertical="top"/>
    </xf>
    <xf numFmtId="0" fontId="2" fillId="0" borderId="0" xfId="1" applyFont="1" applyAlignment="1">
      <alignment horizontal="left"/>
    </xf>
  </cellXfs>
  <cellStyles count="6">
    <cellStyle name="Hyperlink" xfId="5" builtinId="8"/>
    <cellStyle name="Normal" xfId="0" builtinId="0"/>
    <cellStyle name="Normal 2" xfId="1"/>
    <cellStyle name="Normal 2 2" xfId="3"/>
    <cellStyle name="Normal 3" xfId="2"/>
    <cellStyle name="Normal 3 2" xfId="4"/>
  </cellStyles>
  <dxfs count="155"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numFmt numFmtId="4" formatCode="#,##0.0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C0C0C0"/>
        </patternFill>
      </fill>
      <alignment horizontal="justify" vertical="bottom" textRotation="0" wrapText="0" indent="0" justifyLastLine="0" shrinkToFit="0" readingOrder="0"/>
    </dxf>
    <dxf>
      <font>
        <b val="0"/>
        <i val="0"/>
        <color theme="0" tint="-0.14996795556505021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 style="thin">
          <color theme="0" tint="-0.499984740745262"/>
        </bottom>
        <vertical/>
        <horizontal style="thin">
          <color theme="0" tint="-0.499984740745262"/>
        </horizontal>
      </border>
    </dxf>
  </dxfs>
  <tableStyles count="2" defaultTableStyle="TableStyleMedium2" defaultPivotStyle="PivotStyleLight16">
    <tableStyle name="Graficka dokumentacija" pivot="0" count="0"/>
    <tableStyle name="Mehanizam2" pivot="0" count="2">
      <tableStyleElement type="wholeTable" dxfId="154"/>
      <tableStyleElement type="headerRow" dxfId="1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utanjaBaze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2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29337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279</xdr:row>
      <xdr:rowOff>0</xdr:rowOff>
    </xdr:from>
    <xdr:to>
      <xdr:col>7</xdr:col>
      <xdr:colOff>0</xdr:colOff>
      <xdr:row>279</xdr:row>
      <xdr:rowOff>152381</xdr:rowOff>
    </xdr:to>
    <xdr:pic macro="[0]!OdaberiSlikuProjektnaOrganizacijaA">
      <xdr:nvPicPr>
        <xdr:cNvPr id="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0645675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289</xdr:row>
      <xdr:rowOff>0</xdr:rowOff>
    </xdr:from>
    <xdr:ext cx="152381" cy="152381"/>
    <xdr:pic macro="[0]!OdaberiSlikuOdgovornogProjektantaA">
      <xdr:nvPicPr>
        <xdr:cNvPr id="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25577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2495551</xdr:colOff>
      <xdr:row>2</xdr:row>
      <xdr:rowOff>0</xdr:rowOff>
    </xdr:from>
    <xdr:to>
      <xdr:col>2</xdr:col>
      <xdr:colOff>0</xdr:colOff>
      <xdr:row>4</xdr:row>
      <xdr:rowOff>600</xdr:rowOff>
    </xdr:to>
    <xdr:sp macro="[0]!PDF" textlink="">
      <xdr:nvSpPr>
        <xdr:cNvPr id="16" name="PDF"/>
        <xdr:cNvSpPr/>
      </xdr:nvSpPr>
      <xdr:spPr>
        <a:xfrm>
          <a:off x="2686051" y="581025"/>
          <a:ext cx="380999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1924050</xdr:colOff>
      <xdr:row>2</xdr:row>
      <xdr:rowOff>0</xdr:rowOff>
    </xdr:from>
    <xdr:to>
      <xdr:col>1</xdr:col>
      <xdr:colOff>2305050</xdr:colOff>
      <xdr:row>4</xdr:row>
      <xdr:rowOff>600</xdr:rowOff>
    </xdr:to>
    <xdr:sp macro="[0]!RastezanjeRedova" textlink="">
      <xdr:nvSpPr>
        <xdr:cNvPr id="17" name="Red"/>
        <xdr:cNvSpPr/>
      </xdr:nvSpPr>
      <xdr:spPr>
        <a:xfrm>
          <a:off x="2114550" y="581025"/>
          <a:ext cx="381000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60" name="Zaglavlje"/>
        <xdr:cNvGrpSpPr/>
      </xdr:nvGrpSpPr>
      <xdr:grpSpPr>
        <a:xfrm>
          <a:off x="0" y="0"/>
          <a:ext cx="10191750" cy="390525"/>
          <a:chOff x="0" y="0"/>
          <a:chExt cx="10010775" cy="390525"/>
        </a:xfrm>
      </xdr:grpSpPr>
      <xdr:sp macro="" textlink="">
        <xdr:nvSpPr>
          <xdr:cNvPr id="6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62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  <xdr:sp macro="" textlink="">
        <xdr:nvSpPr>
          <xdr:cNvPr id="63" name="Gore">
            <a:hlinkClick xmlns:r="http://schemas.openxmlformats.org/officeDocument/2006/relationships" r:id="rId3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oneCellAnchor>
    <xdr:from>
      <xdr:col>6</xdr:col>
      <xdr:colOff>38119</xdr:colOff>
      <xdr:row>284</xdr:row>
      <xdr:rowOff>0</xdr:rowOff>
    </xdr:from>
    <xdr:ext cx="152381" cy="152381"/>
    <xdr:pic macro="[0]!OdaberiSlikuProjektnaOrganizacijaR">
      <xdr:nvPicPr>
        <xdr:cNvPr id="1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4540150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294</xdr:row>
      <xdr:rowOff>0</xdr:rowOff>
    </xdr:from>
    <xdr:ext cx="152381" cy="152381"/>
    <xdr:pic macro="[0]!OdaberiSlikuOdgovornogProjektantaR">
      <xdr:nvPicPr>
        <xdr:cNvPr id="19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9150250"/>
          <a:ext cx="152381" cy="152381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7</xdr:row>
      <xdr:rowOff>19050</xdr:rowOff>
    </xdr:from>
    <xdr:to>
      <xdr:col>1</xdr:col>
      <xdr:colOff>9506</xdr:colOff>
      <xdr:row>7</xdr:row>
      <xdr:rowOff>171431</xdr:rowOff>
    </xdr:to>
    <xdr:pic macro="[0]!PrikaziFrmPrilozi">
      <xdr:nvPicPr>
        <xdr:cNvPr id="13" name="Ured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62100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31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32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33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34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35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36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37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45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4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3" name="Naslov"/>
          <xdr:cNvSpPr/>
        </xdr:nvSpPr>
        <xdr:spPr>
          <a:xfrm>
            <a:off x="387890" y="0"/>
            <a:ext cx="724163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32</xdr:row>
          <xdr:rowOff>9525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ProjektnaOrganizacijaSlikaA" spid="_x0000_s206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4781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9525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206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305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R" spid="_x0000_s307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6324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189902</xdr:rowOff>
    </xdr:from>
    <xdr:to>
      <xdr:col>6</xdr:col>
      <xdr:colOff>0</xdr:colOff>
      <xdr:row>5</xdr:row>
      <xdr:rowOff>0</xdr:rowOff>
    </xdr:to>
    <xdr:grpSp>
      <xdr:nvGrpSpPr>
        <xdr:cNvPr id="10" name="Navigacija"/>
        <xdr:cNvGrpSpPr/>
      </xdr:nvGrpSpPr>
      <xdr:grpSpPr>
        <a:xfrm>
          <a:off x="381000" y="570902"/>
          <a:ext cx="6257925" cy="581623"/>
          <a:chOff x="381000" y="570902"/>
          <a:chExt cx="62579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2579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245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GrafickiPrilogDodaj" textlink="">
        <xdr:nvSpPr>
          <xdr:cNvPr id="9" name="Dodaj"/>
          <xdr:cNvSpPr/>
        </xdr:nvSpPr>
        <xdr:spPr>
          <a:xfrm>
            <a:off x="5153025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104776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512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7086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615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88657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38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819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95312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66675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1127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35305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1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3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1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3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11" name="Zaglavlje"/>
        <xdr:cNvGrpSpPr/>
      </xdr:nvGrpSpPr>
      <xdr:grpSpPr>
        <a:xfrm>
          <a:off x="0" y="0"/>
          <a:ext cx="6686550" cy="390525"/>
          <a:chOff x="0" y="0"/>
          <a:chExt cx="6686550" cy="390525"/>
        </a:xfrm>
      </xdr:grpSpPr>
      <xdr:sp macro="" textlink="">
        <xdr:nvSpPr>
          <xdr:cNvPr id="1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3" name="Naslov"/>
          <xdr:cNvSpPr/>
        </xdr:nvSpPr>
        <xdr:spPr>
          <a:xfrm>
            <a:off x="387891" y="0"/>
            <a:ext cx="6298659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7</xdr:col>
          <xdr:colOff>47625</xdr:colOff>
          <xdr:row>36</xdr:row>
          <xdr:rowOff>161925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3175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8674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7" name="GrafickiPrilozi" displayName="GrafickiPrilozi" ref="C33:F34" insertRow="1" totalsRowShown="0">
  <autoFilter ref="C33:F34">
    <filterColumn colId="0" hiddenButton="1"/>
    <filterColumn colId="1" hiddenButton="1"/>
    <filterColumn colId="2" hiddenButton="1"/>
    <filterColumn colId="3" hiddenButton="1"/>
  </autoFilter>
  <tableColumns count="4">
    <tableColumn id="1" name="a" dataDxfId="152" dataCellStyle="Normal 2"/>
    <tableColumn id="2" name="1.7." dataDxfId="151">
      <calculatedColumnFormula>"1.7."&amp;ROW(A34)-33 &amp;"."</calculatedColumnFormula>
    </tableColumn>
    <tableColumn id="3" name="Grafička dokumentacija" dataDxfId="150"/>
    <tableColumn id="4" name="b" dataDxfId="149" dataCellStyle="Hyperlink"/>
  </tableColumns>
  <tableStyleInfo name="Graficka dokumentacija" showFirstColumn="0" showLastColumn="0" showRowStripes="1" showColumnStripes="0"/>
</table>
</file>

<file path=xl/tables/table2.xml><?xml version="1.0" encoding="utf-8"?>
<table xmlns="http://schemas.openxmlformats.org/spreadsheetml/2006/main" id="2" name="pPo" displayName="pPo" ref="C17:I18" headerRowDxfId="148">
  <autoFilter ref="C17:I18"/>
  <tableColumns count="7">
    <tableColumn id="7" name="a" dataDxfId="147"/>
    <tableColumn id="1" name="Redni broj" totalsRowLabel="Total" dataDxfId="146">
      <calculatedColumnFormula>ROW(A18)-17 &amp;"."</calculatedColumnFormula>
    </tableColumn>
    <tableColumn id="2" name="Naziv prostorije" dataDxfId="145"/>
    <tableColumn id="3" name="Obrada zida" dataDxfId="144"/>
    <tableColumn id="4" name="Obrada poda" dataDxfId="143"/>
    <tableColumn id="5" name="Neto površina" totalsRowFunction="sum" dataDxfId="142" totalsRowDxfId="141"/>
    <tableColumn id="6" name="b" dataDxfId="140" dataCellStyle="Hyperlink"/>
  </tableColumns>
  <tableStyleInfo name="Mehanizam2" showFirstColumn="0" showLastColumn="0" showRowStripes="1" showColumnStripes="0"/>
</table>
</file>

<file path=xl/tables/table3.xml><?xml version="1.0" encoding="utf-8"?>
<table xmlns="http://schemas.openxmlformats.org/spreadsheetml/2006/main" id="3" name="pSu" displayName="pSu" ref="C17:I18" headerRowDxfId="139">
  <autoFilter ref="C17:I18"/>
  <tableColumns count="7">
    <tableColumn id="7" name="a" dataDxfId="138"/>
    <tableColumn id="1" name="Redni broj" totalsRowLabel="Total" dataDxfId="137">
      <calculatedColumnFormula>ROW(A18)-17 &amp;"."</calculatedColumnFormula>
    </tableColumn>
    <tableColumn id="2" name="Naziv prostorije" dataDxfId="136"/>
    <tableColumn id="3" name="Obrada zida" dataDxfId="135"/>
    <tableColumn id="4" name="Obrada poda" dataDxfId="134"/>
    <tableColumn id="5" name="Neto površina" totalsRowFunction="sum" dataDxfId="133"/>
    <tableColumn id="6" name="b" dataDxfId="132"/>
  </tableColumns>
  <tableStyleInfo name="Mehanizam2" showFirstColumn="0" showLastColumn="0" showRowStripes="1" showColumnStripes="0"/>
</table>
</file>

<file path=xl/tables/table4.xml><?xml version="1.0" encoding="utf-8"?>
<table xmlns="http://schemas.openxmlformats.org/spreadsheetml/2006/main" id="4" name="pPr" displayName="pPr" ref="C17:I18" headerRowDxfId="131">
  <autoFilter ref="C17:I18"/>
  <tableColumns count="7">
    <tableColumn id="7" name="a" dataDxfId="130"/>
    <tableColumn id="1" name="Redni broj" totalsRowLabel="Total" dataDxfId="129">
      <calculatedColumnFormula>ROW(A18)-17 &amp;"."</calculatedColumnFormula>
    </tableColumn>
    <tableColumn id="2" name="Naziv prostorije" dataDxfId="128"/>
    <tableColumn id="3" name="Obrada zida" dataDxfId="127"/>
    <tableColumn id="4" name="Obrada poda" dataDxfId="126"/>
    <tableColumn id="5" name="Neto površina" totalsRowFunction="sum" dataDxfId="125"/>
    <tableColumn id="6" name="b" dataDxfId="124"/>
  </tableColumns>
  <tableStyleInfo name="Mehanizam2" showFirstColumn="0" showLastColumn="0" showRowStripes="1" showColumnStripes="0"/>
</table>
</file>

<file path=xl/tables/table5.xml><?xml version="1.0" encoding="utf-8"?>
<table xmlns="http://schemas.openxmlformats.org/spreadsheetml/2006/main" id="5" name="pSprat1" displayName="pSprat1" ref="C17:I18" headerRowDxfId="123">
  <autoFilter ref="C17:I18"/>
  <tableColumns count="7">
    <tableColumn id="7" name="a" dataDxfId="122"/>
    <tableColumn id="1" name="Redni broj" totalsRowLabel="Total" dataDxfId="121">
      <calculatedColumnFormula>ROW(A18)-17 &amp;"."</calculatedColumnFormula>
    </tableColumn>
    <tableColumn id="2" name="Naziv prostorije" dataDxfId="120"/>
    <tableColumn id="3" name="Obrada zida" dataDxfId="119"/>
    <tableColumn id="4" name="Obrada poda" dataDxfId="118"/>
    <tableColumn id="5" name="Neto površina" totalsRowFunction="sum" dataDxfId="117"/>
    <tableColumn id="6" name="b" dataDxfId="116"/>
  </tableColumns>
  <tableStyleInfo name="Mehanizam2" showFirstColumn="0" showLastColumn="0" showRowStripes="1" showColumnStripes="0"/>
</table>
</file>

<file path=xl/tables/table6.xml><?xml version="1.0" encoding="utf-8"?>
<table xmlns="http://schemas.openxmlformats.org/spreadsheetml/2006/main" id="15" name="pSprat2" displayName="pSprat2" ref="C17:I18" headerRowDxfId="115">
  <autoFilter ref="C17:I18"/>
  <tableColumns count="7">
    <tableColumn id="7" name="a" dataDxfId="114"/>
    <tableColumn id="1" name="Redni broj" totalsRowLabel="Total" dataDxfId="113">
      <calculatedColumnFormula>ROW(A18)-17 &amp;"."</calculatedColumnFormula>
    </tableColumn>
    <tableColumn id="2" name="Naziv prostorije" dataDxfId="112"/>
    <tableColumn id="3" name="Obrada zida" dataDxfId="111"/>
    <tableColumn id="4" name="Obrada poda" dataDxfId="110"/>
    <tableColumn id="5" name="Neto površina" totalsRowFunction="sum" dataDxfId="109"/>
    <tableColumn id="6" name="b" dataDxfId="108"/>
  </tableColumns>
  <tableStyleInfo name="Mehanizam2" showFirstColumn="0" showLastColumn="0" showRowStripes="1" showColumnStripes="0"/>
</table>
</file>

<file path=xl/tables/table7.xml><?xml version="1.0" encoding="utf-8"?>
<table xmlns="http://schemas.openxmlformats.org/spreadsheetml/2006/main" id="16" name="pSprat3" displayName="pSprat3" ref="C17:I18" headerRowDxfId="107">
  <autoFilter ref="C17:I18"/>
  <tableColumns count="7">
    <tableColumn id="7" name="a" dataDxfId="106"/>
    <tableColumn id="1" name="Redni broj" totalsRowLabel="Total" dataDxfId="105">
      <calculatedColumnFormula>ROW(A18)-17 &amp;"."</calculatedColumnFormula>
    </tableColumn>
    <tableColumn id="2" name="Naziv prostorije" dataDxfId="104"/>
    <tableColumn id="3" name="Obrada zida" dataDxfId="103"/>
    <tableColumn id="4" name="Obrada poda" dataDxfId="102"/>
    <tableColumn id="5" name="Neto površina" totalsRowFunction="sum" dataDxfId="101"/>
    <tableColumn id="6" name="b" dataDxfId="100"/>
  </tableColumns>
  <tableStyleInfo name="Mehanizam2" showFirstColumn="0" showLastColumn="0" showRowStripes="1" showColumnStripes="0"/>
</table>
</file>

<file path=xl/tables/table8.xml><?xml version="1.0" encoding="utf-8"?>
<table xmlns="http://schemas.openxmlformats.org/spreadsheetml/2006/main" id="17" name="pSprat4" displayName="pSprat4" ref="C17:I18" headerRowDxfId="99">
  <autoFilter ref="C17:I18"/>
  <tableColumns count="7">
    <tableColumn id="7" name="a" dataDxfId="98"/>
    <tableColumn id="1" name="Redni broj" totalsRowLabel="Total" dataDxfId="97">
      <calculatedColumnFormula>ROW(A18)-17 &amp;"."</calculatedColumnFormula>
    </tableColumn>
    <tableColumn id="2" name="Naziv prostorije" dataDxfId="96"/>
    <tableColumn id="3" name="Obrada zida" dataDxfId="95"/>
    <tableColumn id="4" name="Obrada poda" dataDxfId="94"/>
    <tableColumn id="5" name="Neto površina" totalsRowFunction="sum" dataDxfId="93"/>
    <tableColumn id="6" name="b" dataDxfId="92"/>
  </tableColumns>
  <tableStyleInfo name="Mehanizam2" showFirstColumn="0" showLastColumn="0" showRowStripes="1" showColumnStripes="0"/>
</table>
</file>

<file path=xl/tables/table9.xml><?xml version="1.0" encoding="utf-8"?>
<table xmlns="http://schemas.openxmlformats.org/spreadsheetml/2006/main" id="18" name="pSprat5" displayName="pSprat5" ref="C17:I18" headerRowDxfId="91" dataDxfId="90">
  <autoFilter ref="C17:I18"/>
  <tableColumns count="7">
    <tableColumn id="7" name="a" dataDxfId="89"/>
    <tableColumn id="1" name="Redni broj" totalsRowLabel="Total" dataDxfId="88">
      <calculatedColumnFormula>ROW(A18)-17 &amp;"."</calculatedColumnFormula>
    </tableColumn>
    <tableColumn id="2" name="Naziv prostorije" dataDxfId="87"/>
    <tableColumn id="3" name="Obrada zida" dataDxfId="86"/>
    <tableColumn id="4" name="Obrada poda" dataDxfId="85"/>
    <tableColumn id="5" name="Neto površina" totalsRowFunction="sum" dataDxfId="84"/>
    <tableColumn id="6" name="b" dataDxfId="83"/>
  </tableColumns>
  <tableStyleInfo name="Mehanizam2" showFirstColumn="0" showLastColumn="0" showRowStripes="1" showColumnStripes="0"/>
</table>
</file>

<file path=xl/tables/table10.xml><?xml version="1.0" encoding="utf-8"?>
<table xmlns="http://schemas.openxmlformats.org/spreadsheetml/2006/main" id="19" name="pPk" displayName="pPk" ref="C17:I18" headerRowDxfId="82" dataDxfId="81">
  <autoFilter ref="C17:I18"/>
  <tableColumns count="7">
    <tableColumn id="7" name="a" dataDxfId="80"/>
    <tableColumn id="1" name="Redni broj" totalsRowLabel="Total" dataDxfId="79">
      <calculatedColumnFormula>ROW(A18)-17 &amp;"."</calculatedColumnFormula>
    </tableColumn>
    <tableColumn id="2" name="Naziv prostorije" dataDxfId="78"/>
    <tableColumn id="3" name="Obrada zida" dataDxfId="77"/>
    <tableColumn id="4" name="Obrada poda" dataDxfId="76"/>
    <tableColumn id="5" name="Neto površina" totalsRowFunction="sum" dataDxfId="75"/>
    <tableColumn id="6" name="b" dataDxfId="74"/>
  </tableColumns>
  <tableStyleInfo name="Mehanizam2" showFirstColumn="0" showLastColumn="0" showRowStripes="1" showColumnStripes="0"/>
</table>
</file>

<file path=xl/tables/table11.xml><?xml version="1.0" encoding="utf-8"?>
<table xmlns="http://schemas.openxmlformats.org/spreadsheetml/2006/main" id="1" name="nPo" displayName="nPo" ref="C17:I18" headerRowDxfId="73">
  <autoFilter ref="C17:I18"/>
  <tableColumns count="7">
    <tableColumn id="7" name="a" dataDxfId="72"/>
    <tableColumn id="1" name="Redni broj" totalsRowLabel="Total" dataDxfId="71">
      <calculatedColumnFormula>ROW(A18)-17 &amp;"."</calculatedColumnFormula>
    </tableColumn>
    <tableColumn id="2" name="Naziv prostorije" dataDxfId="70"/>
    <tableColumn id="3" name="Obrada zida" dataDxfId="69"/>
    <tableColumn id="4" name="Obrada poda" dataDxfId="68"/>
    <tableColumn id="5" name="Neto površina" totalsRowFunction="sum" dataDxfId="67"/>
    <tableColumn id="6" name="b" dataDxfId="66"/>
  </tableColumns>
  <tableStyleInfo name="Mehanizam2" showFirstColumn="0" showLastColumn="0" showRowStripes="1" showColumnStripes="0"/>
</table>
</file>

<file path=xl/tables/table12.xml><?xml version="1.0" encoding="utf-8"?>
<table xmlns="http://schemas.openxmlformats.org/spreadsheetml/2006/main" id="8" name="nSu" displayName="nSu" ref="C17:I18" headerRowDxfId="65">
  <autoFilter ref="C17:I18"/>
  <tableColumns count="7">
    <tableColumn id="7" name="a" dataDxfId="64"/>
    <tableColumn id="1" name="Redni broj" totalsRowLabel="Total" dataDxfId="63">
      <calculatedColumnFormula>ROW(A18)-17 &amp;"."</calculatedColumnFormula>
    </tableColumn>
    <tableColumn id="2" name="Naziv prostorije" dataDxfId="62"/>
    <tableColumn id="3" name="Obrada zida" dataDxfId="61"/>
    <tableColumn id="4" name="Obrada poda" dataDxfId="60"/>
    <tableColumn id="5" name="Neto površina" totalsRowFunction="sum" dataDxfId="59"/>
    <tableColumn id="6" name="b" dataDxfId="58"/>
  </tableColumns>
  <tableStyleInfo name="Mehanizam2" showFirstColumn="0" showLastColumn="0" showRowStripes="1" showColumnStripes="0"/>
</table>
</file>

<file path=xl/tables/table13.xml><?xml version="1.0" encoding="utf-8"?>
<table xmlns="http://schemas.openxmlformats.org/spreadsheetml/2006/main" id="9" name="nPr" displayName="nPr" ref="C17:I18" headerRowDxfId="57">
  <autoFilter ref="C17:I18"/>
  <tableColumns count="7">
    <tableColumn id="7" name="a" dataDxfId="56"/>
    <tableColumn id="1" name="Redni broj" totalsRowLabel="Total" dataDxfId="55">
      <calculatedColumnFormula>ROW(A18)-17 &amp;"."</calculatedColumnFormula>
    </tableColumn>
    <tableColumn id="2" name="Naziv prostorije" dataDxfId="54"/>
    <tableColumn id="3" name="Obrada zida" dataDxfId="53"/>
    <tableColumn id="4" name="Obrada poda" dataDxfId="52"/>
    <tableColumn id="5" name="Neto površina" totalsRowFunction="sum" dataDxfId="51"/>
    <tableColumn id="6" name="b" dataDxfId="50"/>
  </tableColumns>
  <tableStyleInfo name="Mehanizam2" showFirstColumn="0" showLastColumn="0" showRowStripes="1" showColumnStripes="0"/>
</table>
</file>

<file path=xl/tables/table14.xml><?xml version="1.0" encoding="utf-8"?>
<table xmlns="http://schemas.openxmlformats.org/spreadsheetml/2006/main" id="10" name="nSprat1" displayName="nSprat1" ref="C17:I18" headerRowDxfId="49">
  <autoFilter ref="C17:I18"/>
  <tableColumns count="7">
    <tableColumn id="7" name="a" dataDxfId="48"/>
    <tableColumn id="1" name="Redni broj" totalsRowLabel="Total" dataDxfId="47">
      <calculatedColumnFormula>ROW(A18)-17 &amp;"."</calculatedColumnFormula>
    </tableColumn>
    <tableColumn id="2" name="Naziv prostorije" dataDxfId="46"/>
    <tableColumn id="3" name="Obrada zida" dataDxfId="45"/>
    <tableColumn id="4" name="Obrada poda" dataDxfId="44"/>
    <tableColumn id="5" name="Neto površina" totalsRowFunction="sum" dataDxfId="43"/>
    <tableColumn id="6" name="b" dataDxfId="42"/>
  </tableColumns>
  <tableStyleInfo name="Mehanizam2" showFirstColumn="0" showLastColumn="0" showRowStripes="1" showColumnStripes="0"/>
</table>
</file>

<file path=xl/tables/table15.xml><?xml version="1.0" encoding="utf-8"?>
<table xmlns="http://schemas.openxmlformats.org/spreadsheetml/2006/main" id="11" name="nSprat2" displayName="nSprat2" ref="C17:I18" headerRowDxfId="41">
  <autoFilter ref="C17:I18"/>
  <tableColumns count="7">
    <tableColumn id="7" name="a" dataDxfId="40"/>
    <tableColumn id="1" name="Redni broj" totalsRowLabel="Total" dataDxfId="39">
      <calculatedColumnFormula>ROW(A18)-17 &amp;"."</calculatedColumnFormula>
    </tableColumn>
    <tableColumn id="2" name="Naziv prostorije" dataDxfId="38"/>
    <tableColumn id="3" name="Obrada zida" dataDxfId="37"/>
    <tableColumn id="4" name="Obrada poda" dataDxfId="36"/>
    <tableColumn id="5" name="Neto površina" totalsRowFunction="sum" dataDxfId="35"/>
    <tableColumn id="6" name="b" dataDxfId="34"/>
  </tableColumns>
  <tableStyleInfo name="Mehanizam2" showFirstColumn="0" showLastColumn="0" showRowStripes="1" showColumnStripes="0"/>
</table>
</file>

<file path=xl/tables/table16.xml><?xml version="1.0" encoding="utf-8"?>
<table xmlns="http://schemas.openxmlformats.org/spreadsheetml/2006/main" id="12" name="nSprat3" displayName="nSprat3" ref="C17:I18" headerRowDxfId="33">
  <autoFilter ref="C17:I18"/>
  <tableColumns count="7">
    <tableColumn id="7" name="a" dataDxfId="32"/>
    <tableColumn id="1" name="Redni broj" totalsRowLabel="Total" dataDxfId="31">
      <calculatedColumnFormula>ROW(A18)-17 &amp;"."</calculatedColumnFormula>
    </tableColumn>
    <tableColumn id="2" name="Naziv prostorije" dataDxfId="30"/>
    <tableColumn id="3" name="Obrada zida" dataDxfId="29"/>
    <tableColumn id="4" name="Obrada poda" dataDxfId="28"/>
    <tableColumn id="5" name="Neto površina" totalsRowFunction="sum" dataDxfId="27"/>
    <tableColumn id="6" name="b" dataDxfId="26"/>
  </tableColumns>
  <tableStyleInfo name="Mehanizam2" showFirstColumn="0" showLastColumn="0" showRowStripes="1" showColumnStripes="0"/>
</table>
</file>

<file path=xl/tables/table17.xml><?xml version="1.0" encoding="utf-8"?>
<table xmlns="http://schemas.openxmlformats.org/spreadsheetml/2006/main" id="13" name="nSprat4" displayName="nSprat4" ref="C17:I18" headerRowDxfId="25">
  <autoFilter ref="C17:I18"/>
  <tableColumns count="7">
    <tableColumn id="7" name="a" dataDxfId="24"/>
    <tableColumn id="1" name="Redni broj" totalsRowLabel="Total" dataDxfId="23">
      <calculatedColumnFormula>ROW(A18)-17 &amp;"."</calculatedColumnFormula>
    </tableColumn>
    <tableColumn id="2" name="Naziv prostorije" dataDxfId="22"/>
    <tableColumn id="3" name="Obrada zida" dataDxfId="21"/>
    <tableColumn id="4" name="Obrada poda" dataDxfId="20"/>
    <tableColumn id="5" name="Neto površina" totalsRowFunction="sum" dataDxfId="19"/>
    <tableColumn id="6" name="b" dataDxfId="18"/>
  </tableColumns>
  <tableStyleInfo name="Mehanizam2" showFirstColumn="0" showLastColumn="0" showRowStripes="1" showColumnStripes="0"/>
</table>
</file>

<file path=xl/tables/table18.xml><?xml version="1.0" encoding="utf-8"?>
<table xmlns="http://schemas.openxmlformats.org/spreadsheetml/2006/main" id="14" name="nSprat5" displayName="nSprat5" ref="C17:I18" headerRowDxfId="17" dataDxfId="16">
  <autoFilter ref="C17:I18"/>
  <tableColumns count="7">
    <tableColumn id="7" name="a" dataDxfId="15"/>
    <tableColumn id="1" name="Redni broj" totalsRowLabel="Total" dataDxfId="14">
      <calculatedColumnFormula>ROW(A18)-17 &amp;"."</calculatedColumnFormula>
    </tableColumn>
    <tableColumn id="2" name="Naziv prostorije" dataDxfId="13"/>
    <tableColumn id="3" name="Obrada zida" dataDxfId="12"/>
    <tableColumn id="4" name="Obrada poda" dataDxfId="11"/>
    <tableColumn id="5" name="Neto površina" totalsRowFunction="sum" dataDxfId="10"/>
    <tableColumn id="6" name="b" dataDxfId="9"/>
  </tableColumns>
  <tableStyleInfo name="Mehanizam2" showFirstColumn="0" showLastColumn="0" showRowStripes="1" showColumnStripes="0"/>
</table>
</file>

<file path=xl/tables/table19.xml><?xml version="1.0" encoding="utf-8"?>
<table xmlns="http://schemas.openxmlformats.org/spreadsheetml/2006/main" id="20" name="nPk" displayName="nPk" ref="C17:I18" headerRowDxfId="8" dataDxfId="7">
  <autoFilter ref="C17:I18"/>
  <tableColumns count="7">
    <tableColumn id="7" name="a" dataDxfId="6"/>
    <tableColumn id="1" name="Redni broj" totalsRowLabel="Total" dataDxfId="5">
      <calculatedColumnFormula>ROW(A18)-17 &amp;"."</calculatedColumnFormula>
    </tableColumn>
    <tableColumn id="2" name="Naziv prostorije" dataDxfId="4"/>
    <tableColumn id="3" name="Obrada zida" dataDxfId="3"/>
    <tableColumn id="4" name="Obrada poda" dataDxfId="2"/>
    <tableColumn id="5" name="Neto površina" totalsRowFunction="sum" dataDxfId="1"/>
    <tableColumn id="6" name="b" dataDxfId="0"/>
  </tableColumns>
  <tableStyleInfo name="Mehaniza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6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vmlDrawing" Target="../drawings/vmlDrawing8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vmlDrawing" Target="../drawings/vmlDrawing1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vmlDrawing" Target="../drawings/vmlDrawing15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table" Target="../tables/table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table" Target="../tables/table1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table" Target="../tables/table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table" Target="../tables/table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table" Target="../tables/table1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vmlDrawing" Target="../drawings/vmlDrawing36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 tint="0.249977111117893"/>
  </sheetPr>
  <dimension ref="A1:I300"/>
  <sheetViews>
    <sheetView showGridLines="0" showRowColHeaders="0" tabSelected="1" workbookViewId="0">
      <pane ySplit="1" topLeftCell="A2" activePane="bottomLeft" state="frozen"/>
      <selection pane="bottomLeft" activeCell="F15" sqref="F15"/>
    </sheetView>
  </sheetViews>
  <sheetFormatPr defaultColWidth="2.21875" defaultRowHeight="15" x14ac:dyDescent="0.2"/>
  <cols>
    <col min="1" max="1" width="2.21875" style="77" customWidth="1"/>
    <col min="2" max="2" width="33.5546875" style="77" bestFit="1" customWidth="1"/>
    <col min="3" max="5" width="2.21875" style="77" customWidth="1"/>
    <col min="6" max="6" width="69.77734375" style="77" customWidth="1"/>
    <col min="7" max="9" width="2.21875" style="77" customWidth="1"/>
    <col min="10" max="16384" width="2.21875" style="81"/>
  </cols>
  <sheetData>
    <row r="1" spans="1:9" s="161" customFormat="1" ht="30" customHeight="1" thickBot="1" x14ac:dyDescent="0.25">
      <c r="A1" s="160"/>
      <c r="B1" s="160"/>
      <c r="C1" s="160"/>
      <c r="D1" s="160"/>
      <c r="E1" s="160"/>
      <c r="F1" s="160"/>
      <c r="G1" s="160"/>
      <c r="H1" s="160"/>
      <c r="I1" s="160"/>
    </row>
    <row r="2" spans="1:9" ht="15.75" thickTop="1" x14ac:dyDescent="0.2">
      <c r="A2" s="156"/>
      <c r="B2" s="156"/>
      <c r="C2" s="157"/>
      <c r="D2" s="97"/>
      <c r="E2" s="97"/>
      <c r="F2" s="98"/>
      <c r="G2" s="97"/>
      <c r="H2" s="97"/>
      <c r="I2" s="158"/>
    </row>
    <row r="3" spans="1:9" x14ac:dyDescent="0.2">
      <c r="A3" s="156"/>
      <c r="B3" s="96" t="s">
        <v>99</v>
      </c>
      <c r="C3" s="157"/>
      <c r="F3" s="78" t="s">
        <v>99</v>
      </c>
      <c r="I3" s="79"/>
    </row>
    <row r="4" spans="1:9" x14ac:dyDescent="0.2">
      <c r="A4" s="156"/>
      <c r="B4" s="156"/>
      <c r="C4" s="157"/>
      <c r="F4" s="78"/>
      <c r="I4" s="79"/>
    </row>
    <row r="5" spans="1:9" ht="15.75" thickBot="1" x14ac:dyDescent="0.25">
      <c r="A5" s="156"/>
      <c r="B5" s="134" t="s">
        <v>100</v>
      </c>
      <c r="C5" s="157"/>
      <c r="E5" s="80" t="s">
        <v>100</v>
      </c>
      <c r="F5" s="81"/>
      <c r="I5" s="79"/>
    </row>
    <row r="6" spans="1:9" x14ac:dyDescent="0.2">
      <c r="A6" s="156"/>
      <c r="B6" s="134" t="s">
        <v>102</v>
      </c>
      <c r="C6" s="157"/>
      <c r="E6" s="82"/>
      <c r="F6" s="83"/>
      <c r="G6" s="84"/>
      <c r="I6" s="79"/>
    </row>
    <row r="7" spans="1:9" x14ac:dyDescent="0.2">
      <c r="A7" s="156"/>
      <c r="B7" s="156"/>
      <c r="C7" s="157"/>
      <c r="E7" s="85"/>
      <c r="F7" s="86" t="s">
        <v>101</v>
      </c>
      <c r="G7" s="87"/>
      <c r="I7" s="79"/>
    </row>
    <row r="8" spans="1:9" x14ac:dyDescent="0.2">
      <c r="A8" s="76"/>
      <c r="B8" s="96" t="s">
        <v>145</v>
      </c>
      <c r="C8" s="76"/>
      <c r="D8" s="88"/>
      <c r="E8" s="89" t="str">
        <f>IF(Pilot=0,"*","")</f>
        <v/>
      </c>
      <c r="F8" s="90" t="s">
        <v>152</v>
      </c>
      <c r="G8" s="91"/>
      <c r="I8" s="79"/>
    </row>
    <row r="9" spans="1:9" x14ac:dyDescent="0.2">
      <c r="A9" s="76"/>
      <c r="B9" s="76"/>
      <c r="C9" s="76"/>
      <c r="E9" s="85"/>
      <c r="F9" s="92" t="s">
        <v>153</v>
      </c>
      <c r="G9" s="87"/>
      <c r="I9" s="79"/>
    </row>
    <row r="10" spans="1:9" ht="15.75" thickBot="1" x14ac:dyDescent="0.25">
      <c r="A10" s="76"/>
      <c r="B10" s="134" t="s">
        <v>154</v>
      </c>
      <c r="C10" s="76"/>
      <c r="E10" s="93"/>
      <c r="F10" s="94"/>
      <c r="G10" s="95"/>
      <c r="I10" s="79"/>
    </row>
    <row r="11" spans="1:9" x14ac:dyDescent="0.2">
      <c r="A11" s="76"/>
      <c r="B11" s="134" t="s">
        <v>164</v>
      </c>
      <c r="C11" s="76"/>
      <c r="F11" s="78"/>
      <c r="I11" s="79"/>
    </row>
    <row r="12" spans="1:9" ht="15.75" thickBot="1" x14ac:dyDescent="0.25">
      <c r="A12" s="76"/>
      <c r="B12" s="134" t="s">
        <v>155</v>
      </c>
      <c r="C12" s="76"/>
      <c r="E12" s="80" t="s">
        <v>102</v>
      </c>
      <c r="F12" s="81"/>
      <c r="I12" s="79"/>
    </row>
    <row r="13" spans="1:9" x14ac:dyDescent="0.2">
      <c r="A13" s="76"/>
      <c r="B13" s="134" t="s">
        <v>156</v>
      </c>
      <c r="C13" s="76"/>
      <c r="E13" s="82"/>
      <c r="F13" s="83"/>
      <c r="G13" s="84"/>
      <c r="I13" s="79"/>
    </row>
    <row r="14" spans="1:9" x14ac:dyDescent="0.2">
      <c r="A14" s="76"/>
      <c r="B14" s="134" t="s">
        <v>157</v>
      </c>
      <c r="C14" s="76"/>
      <c r="E14" s="85"/>
      <c r="F14" s="86" t="s">
        <v>103</v>
      </c>
      <c r="G14" s="87"/>
      <c r="I14" s="79"/>
    </row>
    <row r="15" spans="1:9" x14ac:dyDescent="0.2">
      <c r="A15" s="76"/>
      <c r="B15" s="96" t="s">
        <v>158</v>
      </c>
      <c r="C15" s="76"/>
      <c r="D15" s="88"/>
      <c r="E15" s="89" t="str">
        <f>IF(PutanjaBaze=0,"*","")</f>
        <v>*</v>
      </c>
      <c r="F15" s="90"/>
      <c r="G15" s="91"/>
      <c r="I15" s="79"/>
    </row>
    <row r="16" spans="1:9" x14ac:dyDescent="0.2">
      <c r="A16" s="76"/>
      <c r="B16" s="135" t="s">
        <v>159</v>
      </c>
      <c r="C16" s="76"/>
      <c r="E16" s="85"/>
      <c r="F16" s="92" t="s">
        <v>104</v>
      </c>
      <c r="G16" s="87"/>
      <c r="I16" s="79"/>
    </row>
    <row r="17" spans="1:9" ht="15.75" thickBot="1" x14ac:dyDescent="0.25">
      <c r="A17" s="76"/>
      <c r="B17" s="96" t="s">
        <v>160</v>
      </c>
      <c r="C17" s="76"/>
      <c r="E17" s="93"/>
      <c r="F17" s="94"/>
      <c r="G17" s="95"/>
      <c r="I17" s="79"/>
    </row>
    <row r="18" spans="1:9" x14ac:dyDescent="0.2">
      <c r="A18" s="76"/>
      <c r="B18" s="135" t="s">
        <v>161</v>
      </c>
      <c r="C18" s="76"/>
      <c r="F18" s="81"/>
      <c r="I18" s="79"/>
    </row>
    <row r="19" spans="1:9" x14ac:dyDescent="0.2">
      <c r="A19" s="76"/>
      <c r="B19" s="135" t="s">
        <v>162</v>
      </c>
      <c r="C19" s="76"/>
      <c r="E19" s="97"/>
      <c r="F19" s="78" t="s">
        <v>105</v>
      </c>
      <c r="G19" s="97"/>
      <c r="I19" s="79"/>
    </row>
    <row r="20" spans="1:9" x14ac:dyDescent="0.2">
      <c r="A20" s="76"/>
      <c r="B20" s="96" t="s">
        <v>163</v>
      </c>
      <c r="C20" s="76"/>
      <c r="E20" s="97"/>
      <c r="F20" s="98"/>
      <c r="G20" s="97"/>
      <c r="I20" s="79"/>
    </row>
    <row r="21" spans="1:9" ht="15.75" thickBot="1" x14ac:dyDescent="0.25">
      <c r="A21" s="76"/>
      <c r="B21" s="76"/>
      <c r="C21" s="75"/>
      <c r="E21" s="80" t="s">
        <v>106</v>
      </c>
      <c r="F21" s="81"/>
      <c r="I21" s="79"/>
    </row>
    <row r="22" spans="1:9" x14ac:dyDescent="0.2">
      <c r="A22" s="76"/>
      <c r="B22" s="96" t="s">
        <v>105</v>
      </c>
      <c r="C22" s="75"/>
      <c r="E22" s="82"/>
      <c r="F22" s="83"/>
      <c r="G22" s="84"/>
      <c r="I22" s="79"/>
    </row>
    <row r="23" spans="1:9" x14ac:dyDescent="0.2">
      <c r="A23" s="76"/>
      <c r="B23" s="76"/>
      <c r="C23" s="75"/>
      <c r="E23" s="85"/>
      <c r="F23" s="86" t="s">
        <v>107</v>
      </c>
      <c r="G23" s="87"/>
      <c r="I23" s="79"/>
    </row>
    <row r="24" spans="1:9" x14ac:dyDescent="0.2">
      <c r="A24" s="165" t="str">
        <f>IF(OR(Datum=0,EvidencioniBroj=0,Mesto=0),"","P")</f>
        <v/>
      </c>
      <c r="B24" s="134" t="s">
        <v>106</v>
      </c>
      <c r="C24" s="75"/>
      <c r="D24" s="88"/>
      <c r="E24" s="89" t="str">
        <f>IF(Datum=0,"*","")</f>
        <v>*</v>
      </c>
      <c r="F24" s="112"/>
      <c r="G24" s="91"/>
      <c r="I24" s="79"/>
    </row>
    <row r="25" spans="1:9" x14ac:dyDescent="0.2">
      <c r="A25" s="165" t="str">
        <f>IF(OR(Investitor=0,InvestitorIzKonteksta=0),"","P")</f>
        <v/>
      </c>
      <c r="B25" s="134" t="s">
        <v>0</v>
      </c>
      <c r="C25" s="76"/>
      <c r="E25" s="85"/>
      <c r="F25" s="99" t="s">
        <v>108</v>
      </c>
      <c r="G25" s="87"/>
      <c r="I25" s="79"/>
    </row>
    <row r="26" spans="1:9" x14ac:dyDescent="0.2">
      <c r="A26" s="165" t="str">
        <f>IF(OR(Objekat=0,ObjekatIzKonteksta=0),"","P")</f>
        <v/>
      </c>
      <c r="B26" s="134" t="s">
        <v>1</v>
      </c>
      <c r="C26" s="76"/>
      <c r="E26" s="85"/>
      <c r="F26" s="98"/>
      <c r="G26" s="87"/>
      <c r="I26" s="79"/>
    </row>
    <row r="27" spans="1:9" x14ac:dyDescent="0.2">
      <c r="A27" s="165" t="str">
        <f>IF(OR(VrstaRadova=0,VrstaRadovaIzKonteksta=0),"","P")</f>
        <v/>
      </c>
      <c r="B27" s="134" t="s">
        <v>116</v>
      </c>
      <c r="C27" s="76"/>
      <c r="E27" s="85"/>
      <c r="F27" s="86" t="s">
        <v>47</v>
      </c>
      <c r="G27" s="87"/>
      <c r="I27" s="79"/>
    </row>
    <row r="28" spans="1:9" x14ac:dyDescent="0.2">
      <c r="A28" s="165" t="str">
        <f>IF(OR(ProjektnaOrganizacijaA=0,OdgovornoLiceA=0),"","P")</f>
        <v/>
      </c>
      <c r="B28" s="134" t="s">
        <v>184</v>
      </c>
      <c r="C28" s="76"/>
      <c r="D28" s="88"/>
      <c r="E28" s="89" t="str">
        <f>IF(EvidencioniBroj=0,"*","")</f>
        <v>*</v>
      </c>
      <c r="F28" s="90"/>
      <c r="G28" s="91"/>
      <c r="I28" s="79"/>
    </row>
    <row r="29" spans="1:9" x14ac:dyDescent="0.2">
      <c r="A29" s="165" t="str">
        <f>IF(OdgovorniProjektantA=0,"","P")</f>
        <v/>
      </c>
      <c r="B29" s="134" t="s">
        <v>44</v>
      </c>
      <c r="C29" s="76"/>
      <c r="D29" s="88"/>
      <c r="E29" s="97"/>
      <c r="F29" s="99" t="s">
        <v>109</v>
      </c>
      <c r="G29" s="87"/>
      <c r="I29" s="79"/>
    </row>
    <row r="30" spans="1:9" x14ac:dyDescent="0.2">
      <c r="A30" s="165" t="str">
        <f>IF(AND(pEtazaPo=0,pEtazaSu=0,pEtazaPr=0,pEtazaS1=0,pEtazaS2=0,pEtazaS3=0,pEtazaS4=0,pEtazaS5=0,pEtazaPk=0),"",IF(OR(E102="*",E109="*",E113="*",E117="*",E121="*",E125="*",E129="*",E133="*",E137="*",E141="*",E148="*",E152="*",E156="*",E160="*",E164="*",E168="*",E172="*",E176="*",E180="*",E187="*",E191="*",E195="*",E199="*",E203="*",E207="*",E211="*",E215="*",E219="*",E223="*",E227="*",E234="*",E238="*",E242="*",E246="*",E250="*",E254="*",E258="*",E262="*",E266="*",E270="*",E274="*"),"","P"))</f>
        <v/>
      </c>
      <c r="B30" s="162" t="s">
        <v>148</v>
      </c>
      <c r="C30" s="76"/>
      <c r="D30" s="88"/>
      <c r="E30" s="97"/>
      <c r="F30" s="98"/>
      <c r="G30" s="87"/>
      <c r="I30" s="79"/>
    </row>
    <row r="31" spans="1:9" x14ac:dyDescent="0.2">
      <c r="A31" s="165"/>
      <c r="B31" s="175" t="s">
        <v>189</v>
      </c>
      <c r="C31" s="76"/>
      <c r="D31" s="88"/>
      <c r="E31" s="97"/>
      <c r="F31" s="86" t="s">
        <v>110</v>
      </c>
      <c r="G31" s="87"/>
      <c r="I31" s="79"/>
    </row>
    <row r="32" spans="1:9" x14ac:dyDescent="0.2">
      <c r="A32" s="76"/>
      <c r="B32" s="176" t="s">
        <v>62</v>
      </c>
      <c r="C32" s="163">
        <v>0</v>
      </c>
      <c r="D32" s="88"/>
      <c r="E32" s="89" t="str">
        <f>IF(Mesto=0,"*","")</f>
        <v>*</v>
      </c>
      <c r="F32" s="90"/>
      <c r="G32" s="91"/>
      <c r="I32" s="79"/>
    </row>
    <row r="33" spans="1:9" x14ac:dyDescent="0.2">
      <c r="A33" s="76"/>
      <c r="B33" s="176" t="s">
        <v>63</v>
      </c>
      <c r="C33" s="163">
        <v>0</v>
      </c>
      <c r="E33" s="85"/>
      <c r="F33" s="99" t="s">
        <v>111</v>
      </c>
      <c r="G33" s="87"/>
      <c r="I33" s="79"/>
    </row>
    <row r="34" spans="1:9" ht="15.75" thickBot="1" x14ac:dyDescent="0.25">
      <c r="A34" s="76"/>
      <c r="B34" s="176" t="s">
        <v>64</v>
      </c>
      <c r="C34" s="163">
        <v>0</v>
      </c>
      <c r="E34" s="100"/>
      <c r="F34" s="101"/>
      <c r="G34" s="102"/>
      <c r="I34" s="79"/>
    </row>
    <row r="35" spans="1:9" x14ac:dyDescent="0.2">
      <c r="A35" s="76"/>
      <c r="B35" s="176" t="s">
        <v>65</v>
      </c>
      <c r="C35" s="163">
        <v>0</v>
      </c>
      <c r="F35" s="81"/>
      <c r="I35" s="79"/>
    </row>
    <row r="36" spans="1:9" ht="15.75" thickBot="1" x14ac:dyDescent="0.25">
      <c r="A36" s="76"/>
      <c r="B36" s="176" t="s">
        <v>66</v>
      </c>
      <c r="C36" s="163">
        <v>0</v>
      </c>
      <c r="E36" s="80" t="s">
        <v>0</v>
      </c>
      <c r="F36" s="81"/>
      <c r="I36" s="79"/>
    </row>
    <row r="37" spans="1:9" x14ac:dyDescent="0.2">
      <c r="A37" s="76"/>
      <c r="B37" s="176" t="s">
        <v>67</v>
      </c>
      <c r="C37" s="163">
        <v>0</v>
      </c>
      <c r="E37" s="82"/>
      <c r="F37" s="83"/>
      <c r="G37" s="84"/>
      <c r="I37" s="79"/>
    </row>
    <row r="38" spans="1:9" x14ac:dyDescent="0.2">
      <c r="A38" s="76"/>
      <c r="B38" s="176" t="s">
        <v>68</v>
      </c>
      <c r="C38" s="163">
        <v>0</v>
      </c>
      <c r="E38" s="85"/>
      <c r="F38" s="86" t="s">
        <v>0</v>
      </c>
      <c r="G38" s="87"/>
      <c r="I38" s="79"/>
    </row>
    <row r="39" spans="1:9" x14ac:dyDescent="0.2">
      <c r="A39" s="76"/>
      <c r="B39" s="176" t="s">
        <v>69</v>
      </c>
      <c r="C39" s="163">
        <v>0</v>
      </c>
      <c r="D39" s="87"/>
      <c r="E39" s="89" t="str">
        <f>IF(Investitor=0,"*","")</f>
        <v>*</v>
      </c>
      <c r="F39" s="113"/>
      <c r="G39" s="91"/>
      <c r="I39" s="79"/>
    </row>
    <row r="40" spans="1:9" x14ac:dyDescent="0.2">
      <c r="A40" s="76"/>
      <c r="B40" s="176" t="s">
        <v>70</v>
      </c>
      <c r="C40" s="163">
        <v>0</v>
      </c>
      <c r="E40" s="85"/>
      <c r="F40" s="99" t="s">
        <v>112</v>
      </c>
      <c r="G40" s="87"/>
      <c r="I40" s="79"/>
    </row>
    <row r="41" spans="1:9" x14ac:dyDescent="0.2">
      <c r="A41" s="165"/>
      <c r="B41" s="175" t="s">
        <v>190</v>
      </c>
      <c r="C41" s="76"/>
      <c r="D41" s="88"/>
      <c r="E41" s="81"/>
      <c r="F41" s="81"/>
      <c r="G41" s="103"/>
      <c r="I41" s="79"/>
    </row>
    <row r="42" spans="1:9" x14ac:dyDescent="0.2">
      <c r="A42" s="76"/>
      <c r="B42" s="176" t="s">
        <v>62</v>
      </c>
      <c r="C42" s="163">
        <v>0</v>
      </c>
      <c r="E42" s="85"/>
      <c r="F42" s="86" t="s">
        <v>128</v>
      </c>
      <c r="G42" s="87"/>
      <c r="I42" s="79"/>
    </row>
    <row r="43" spans="1:9" x14ac:dyDescent="0.2">
      <c r="A43" s="76"/>
      <c r="B43" s="176" t="s">
        <v>63</v>
      </c>
      <c r="C43" s="163">
        <v>0</v>
      </c>
      <c r="D43" s="87"/>
      <c r="E43" s="89" t="str">
        <f>IF(InvestitorIzKonteksta=0,"*","")</f>
        <v>*</v>
      </c>
      <c r="F43" s="113"/>
      <c r="G43" s="91"/>
      <c r="I43" s="79"/>
    </row>
    <row r="44" spans="1:9" x14ac:dyDescent="0.2">
      <c r="A44" s="76"/>
      <c r="B44" s="176" t="s">
        <v>64</v>
      </c>
      <c r="C44" s="163">
        <v>0</v>
      </c>
      <c r="E44" s="85"/>
      <c r="F44" s="99" t="s">
        <v>129</v>
      </c>
      <c r="G44" s="87"/>
      <c r="I44" s="79"/>
    </row>
    <row r="45" spans="1:9" ht="15.75" thickBot="1" x14ac:dyDescent="0.25">
      <c r="A45" s="76"/>
      <c r="B45" s="176" t="s">
        <v>65</v>
      </c>
      <c r="C45" s="163">
        <v>0</v>
      </c>
      <c r="D45" s="88"/>
      <c r="E45" s="104"/>
      <c r="F45" s="94"/>
      <c r="G45" s="105"/>
      <c r="I45" s="79"/>
    </row>
    <row r="46" spans="1:9" x14ac:dyDescent="0.2">
      <c r="A46" s="76"/>
      <c r="B46" s="176" t="s">
        <v>66</v>
      </c>
      <c r="C46" s="163">
        <v>0</v>
      </c>
      <c r="F46" s="81"/>
      <c r="I46" s="79"/>
    </row>
    <row r="47" spans="1:9" ht="15.75" thickBot="1" x14ac:dyDescent="0.25">
      <c r="A47" s="76"/>
      <c r="B47" s="176" t="s">
        <v>67</v>
      </c>
      <c r="C47" s="163">
        <v>0</v>
      </c>
      <c r="E47" s="80" t="s">
        <v>1</v>
      </c>
      <c r="F47" s="81"/>
      <c r="I47" s="79"/>
    </row>
    <row r="48" spans="1:9" x14ac:dyDescent="0.2">
      <c r="A48" s="76"/>
      <c r="B48" s="176" t="s">
        <v>68</v>
      </c>
      <c r="C48" s="163">
        <v>0</v>
      </c>
      <c r="E48" s="82"/>
      <c r="F48" s="83"/>
      <c r="G48" s="84"/>
      <c r="I48" s="79"/>
    </row>
    <row r="49" spans="1:9" x14ac:dyDescent="0.2">
      <c r="A49" s="76"/>
      <c r="B49" s="176" t="s">
        <v>69</v>
      </c>
      <c r="C49" s="163">
        <v>0</v>
      </c>
      <c r="D49" s="87"/>
      <c r="E49" s="97"/>
      <c r="F49" s="86" t="s">
        <v>1</v>
      </c>
      <c r="G49" s="87"/>
      <c r="I49" s="79"/>
    </row>
    <row r="50" spans="1:9" x14ac:dyDescent="0.2">
      <c r="A50" s="76"/>
      <c r="B50" s="176" t="s">
        <v>70</v>
      </c>
      <c r="C50" s="163">
        <v>0</v>
      </c>
      <c r="D50" s="87"/>
      <c r="E50" s="89" t="str">
        <f>IF(Objekat=0,"*","")</f>
        <v>*</v>
      </c>
      <c r="F50" s="113"/>
      <c r="G50" s="91"/>
      <c r="I50" s="79"/>
    </row>
    <row r="51" spans="1:9" ht="22.5" x14ac:dyDescent="0.2">
      <c r="A51" s="76"/>
      <c r="B51" s="76"/>
      <c r="C51" s="76"/>
      <c r="D51" s="87"/>
      <c r="E51" s="97"/>
      <c r="F51" s="99" t="s">
        <v>113</v>
      </c>
      <c r="G51" s="87"/>
      <c r="I51" s="79"/>
    </row>
    <row r="52" spans="1:9" x14ac:dyDescent="0.2">
      <c r="A52" s="76"/>
      <c r="B52" s="96" t="s">
        <v>105</v>
      </c>
      <c r="C52" s="76"/>
      <c r="D52" s="87"/>
      <c r="E52" s="97"/>
      <c r="F52" s="98"/>
      <c r="G52" s="87"/>
      <c r="I52" s="79"/>
    </row>
    <row r="53" spans="1:9" x14ac:dyDescent="0.2">
      <c r="A53" s="76"/>
      <c r="B53" s="76"/>
      <c r="C53" s="76"/>
      <c r="D53" s="87"/>
      <c r="E53" s="97"/>
      <c r="F53" s="86" t="s">
        <v>114</v>
      </c>
      <c r="G53" s="87"/>
      <c r="I53" s="79"/>
    </row>
    <row r="54" spans="1:9" x14ac:dyDescent="0.2">
      <c r="A54" s="76"/>
      <c r="B54" s="134" t="s">
        <v>151</v>
      </c>
      <c r="C54" s="76"/>
      <c r="D54" s="87"/>
      <c r="E54" s="89" t="str">
        <f>IF(ObjekatIzKonteksta=0,"*","")</f>
        <v>*</v>
      </c>
      <c r="F54" s="113"/>
      <c r="G54" s="91"/>
      <c r="I54" s="79"/>
    </row>
    <row r="55" spans="1:9" ht="22.5" x14ac:dyDescent="0.2">
      <c r="A55" s="76"/>
      <c r="B55" s="134" t="s">
        <v>188</v>
      </c>
      <c r="C55" s="76"/>
      <c r="D55" s="87"/>
      <c r="E55" s="97"/>
      <c r="F55" s="99" t="s">
        <v>115</v>
      </c>
      <c r="G55" s="87"/>
      <c r="I55" s="79"/>
    </row>
    <row r="56" spans="1:9" ht="15.75" thickBot="1" x14ac:dyDescent="0.25">
      <c r="A56" s="76"/>
      <c r="B56" s="134"/>
      <c r="C56" s="76"/>
      <c r="D56" s="97"/>
      <c r="E56" s="100"/>
      <c r="F56" s="101"/>
      <c r="G56" s="102"/>
      <c r="I56" s="79"/>
    </row>
    <row r="57" spans="1:9" x14ac:dyDescent="0.2">
      <c r="A57" s="76"/>
      <c r="B57" s="76"/>
      <c r="C57" s="76"/>
      <c r="F57" s="81"/>
      <c r="I57" s="79"/>
    </row>
    <row r="58" spans="1:9" ht="15.75" thickBot="1" x14ac:dyDescent="0.25">
      <c r="A58" s="76"/>
      <c r="B58" s="76"/>
      <c r="C58" s="75"/>
      <c r="E58" s="80" t="s">
        <v>116</v>
      </c>
      <c r="F58" s="81"/>
      <c r="I58" s="79"/>
    </row>
    <row r="59" spans="1:9" x14ac:dyDescent="0.2">
      <c r="A59" s="76"/>
      <c r="B59" s="76"/>
      <c r="C59" s="75"/>
      <c r="D59" s="87"/>
      <c r="E59" s="106"/>
      <c r="F59" s="83"/>
      <c r="G59" s="84"/>
      <c r="I59" s="79"/>
    </row>
    <row r="60" spans="1:9" x14ac:dyDescent="0.2">
      <c r="A60" s="76"/>
      <c r="B60" s="76"/>
      <c r="C60" s="75"/>
      <c r="D60" s="87"/>
      <c r="E60" s="97"/>
      <c r="F60" s="86" t="s">
        <v>116</v>
      </c>
      <c r="G60" s="87"/>
      <c r="I60" s="79"/>
    </row>
    <row r="61" spans="1:9" x14ac:dyDescent="0.2">
      <c r="A61" s="76"/>
      <c r="B61" s="76"/>
      <c r="C61" s="75"/>
      <c r="D61" s="87"/>
      <c r="E61" s="89" t="str">
        <f>IF(VrstaRadova=0,"*","")</f>
        <v>*</v>
      </c>
      <c r="F61" s="113"/>
      <c r="G61" s="91"/>
      <c r="I61" s="79"/>
    </row>
    <row r="62" spans="1:9" x14ac:dyDescent="0.2">
      <c r="A62" s="76"/>
      <c r="B62" s="76"/>
      <c r="C62" s="75"/>
      <c r="D62" s="87"/>
      <c r="E62" s="97"/>
      <c r="F62" s="99" t="s">
        <v>117</v>
      </c>
      <c r="G62" s="87"/>
      <c r="I62" s="79"/>
    </row>
    <row r="63" spans="1:9" x14ac:dyDescent="0.2">
      <c r="A63" s="76"/>
      <c r="B63" s="76"/>
      <c r="C63" s="75"/>
      <c r="D63" s="87"/>
      <c r="E63" s="97"/>
      <c r="F63" s="98"/>
      <c r="G63" s="87"/>
      <c r="I63" s="79"/>
    </row>
    <row r="64" spans="1:9" x14ac:dyDescent="0.2">
      <c r="A64" s="76"/>
      <c r="B64" s="76"/>
      <c r="C64" s="75"/>
      <c r="D64" s="87"/>
      <c r="E64" s="97"/>
      <c r="F64" s="86" t="s">
        <v>118</v>
      </c>
      <c r="G64" s="87"/>
      <c r="I64" s="79"/>
    </row>
    <row r="65" spans="1:9" x14ac:dyDescent="0.2">
      <c r="A65" s="76"/>
      <c r="B65" s="76"/>
      <c r="C65" s="75"/>
      <c r="D65" s="87"/>
      <c r="E65" s="89" t="str">
        <f>IF(VrstaRadovaIzKonteksta=0,"*","")</f>
        <v>*</v>
      </c>
      <c r="F65" s="113"/>
      <c r="G65" s="91"/>
      <c r="I65" s="79"/>
    </row>
    <row r="66" spans="1:9" x14ac:dyDescent="0.2">
      <c r="A66" s="76"/>
      <c r="B66" s="76"/>
      <c r="C66" s="76"/>
      <c r="D66" s="87"/>
      <c r="E66" s="97"/>
      <c r="F66" s="99" t="s">
        <v>119</v>
      </c>
      <c r="G66" s="87"/>
      <c r="I66" s="79"/>
    </row>
    <row r="67" spans="1:9" ht="15.75" thickBot="1" x14ac:dyDescent="0.25">
      <c r="A67" s="75"/>
      <c r="B67" s="75"/>
      <c r="C67" s="76"/>
      <c r="D67" s="87"/>
      <c r="E67" s="107"/>
      <c r="F67" s="101"/>
      <c r="G67" s="102"/>
      <c r="I67" s="79"/>
    </row>
    <row r="68" spans="1:9" x14ac:dyDescent="0.2">
      <c r="A68" s="75"/>
      <c r="B68" s="75"/>
      <c r="C68" s="76"/>
      <c r="F68" s="81"/>
      <c r="I68" s="79"/>
    </row>
    <row r="69" spans="1:9" ht="15.75" thickBot="1" x14ac:dyDescent="0.25">
      <c r="A69" s="75"/>
      <c r="B69" s="75"/>
      <c r="C69" s="76"/>
      <c r="E69" s="80" t="s">
        <v>184</v>
      </c>
      <c r="F69" s="81"/>
      <c r="I69" s="79"/>
    </row>
    <row r="70" spans="1:9" x14ac:dyDescent="0.2">
      <c r="A70" s="75"/>
      <c r="B70" s="75"/>
      <c r="C70" s="76"/>
      <c r="E70" s="82"/>
      <c r="F70" s="83"/>
      <c r="G70" s="84"/>
      <c r="I70" s="79"/>
    </row>
    <row r="71" spans="1:9" x14ac:dyDescent="0.2">
      <c r="A71" s="75"/>
      <c r="B71" s="75"/>
      <c r="C71" s="76"/>
      <c r="D71" s="87"/>
      <c r="E71" s="97"/>
      <c r="F71" s="86" t="s">
        <v>122</v>
      </c>
      <c r="G71" s="87"/>
      <c r="I71" s="79"/>
    </row>
    <row r="72" spans="1:9" x14ac:dyDescent="0.2">
      <c r="A72" s="75"/>
      <c r="B72" s="75"/>
      <c r="C72" s="76"/>
      <c r="D72" s="87"/>
      <c r="E72" s="89" t="str">
        <f>IF(ProjektnaOrganizacijaA=0,"*","")</f>
        <v>*</v>
      </c>
      <c r="F72" s="113"/>
      <c r="G72" s="91"/>
      <c r="I72" s="79"/>
    </row>
    <row r="73" spans="1:9" x14ac:dyDescent="0.2">
      <c r="A73" s="75"/>
      <c r="B73" s="75"/>
      <c r="C73" s="76"/>
      <c r="D73" s="87"/>
      <c r="E73" s="97"/>
      <c r="F73" s="99" t="s">
        <v>120</v>
      </c>
      <c r="G73" s="87"/>
      <c r="I73" s="79"/>
    </row>
    <row r="74" spans="1:9" x14ac:dyDescent="0.2">
      <c r="A74" s="75"/>
      <c r="B74" s="75"/>
      <c r="C74" s="76"/>
      <c r="D74" s="87"/>
      <c r="E74" s="97"/>
      <c r="F74" s="98"/>
      <c r="G74" s="87"/>
      <c r="I74" s="79"/>
    </row>
    <row r="75" spans="1:9" x14ac:dyDescent="0.2">
      <c r="A75" s="75"/>
      <c r="B75" s="75"/>
      <c r="C75" s="76"/>
      <c r="D75" s="87"/>
      <c r="E75" s="97"/>
      <c r="F75" s="86" t="s">
        <v>130</v>
      </c>
      <c r="G75" s="87"/>
      <c r="I75" s="79"/>
    </row>
    <row r="76" spans="1:9" x14ac:dyDescent="0.2">
      <c r="A76" s="75"/>
      <c r="B76" s="75"/>
      <c r="C76" s="76"/>
      <c r="D76" s="87"/>
      <c r="E76" s="89" t="str">
        <f>IF(OdgovornoLiceA=0,"*","")</f>
        <v>*</v>
      </c>
      <c r="F76" s="113"/>
      <c r="G76" s="91"/>
      <c r="I76" s="79"/>
    </row>
    <row r="77" spans="1:9" x14ac:dyDescent="0.2">
      <c r="A77" s="75"/>
      <c r="B77" s="75"/>
      <c r="C77" s="76"/>
      <c r="D77" s="87"/>
      <c r="E77" s="97"/>
      <c r="F77" s="99" t="s">
        <v>121</v>
      </c>
      <c r="G77" s="87"/>
      <c r="I77" s="79"/>
    </row>
    <row r="78" spans="1:9" ht="15.75" thickBot="1" x14ac:dyDescent="0.25">
      <c r="A78" s="75"/>
      <c r="B78" s="75"/>
      <c r="C78" s="76"/>
      <c r="D78" s="87"/>
      <c r="E78" s="107"/>
      <c r="F78" s="101"/>
      <c r="G78" s="102"/>
      <c r="I78" s="79"/>
    </row>
    <row r="79" spans="1:9" x14ac:dyDescent="0.2">
      <c r="A79" s="75"/>
      <c r="B79" s="75"/>
      <c r="C79" s="76"/>
      <c r="E79" s="82"/>
      <c r="F79" s="83"/>
      <c r="G79" s="84"/>
      <c r="I79" s="79"/>
    </row>
    <row r="80" spans="1:9" x14ac:dyDescent="0.2">
      <c r="A80" s="75"/>
      <c r="B80" s="75"/>
      <c r="C80" s="76"/>
      <c r="D80" s="87"/>
      <c r="E80" s="97"/>
      <c r="F80" s="86" t="s">
        <v>185</v>
      </c>
      <c r="G80" s="87"/>
      <c r="I80" s="79"/>
    </row>
    <row r="81" spans="1:9" x14ac:dyDescent="0.2">
      <c r="A81" s="75"/>
      <c r="B81" s="75"/>
      <c r="C81" s="76"/>
      <c r="D81" s="87"/>
      <c r="E81" s="89" t="str">
        <f>IF(ProjektnaOrganizacijaR=0,"*","")</f>
        <v>*</v>
      </c>
      <c r="F81" s="113"/>
      <c r="G81" s="91"/>
      <c r="I81" s="79"/>
    </row>
    <row r="82" spans="1:9" x14ac:dyDescent="0.2">
      <c r="A82" s="75"/>
      <c r="B82" s="75"/>
      <c r="C82" s="76"/>
      <c r="D82" s="87"/>
      <c r="E82" s="97"/>
      <c r="F82" s="99" t="s">
        <v>120</v>
      </c>
      <c r="G82" s="87"/>
      <c r="I82" s="79"/>
    </row>
    <row r="83" spans="1:9" ht="15.75" thickBot="1" x14ac:dyDescent="0.25">
      <c r="A83" s="75"/>
      <c r="B83" s="75"/>
      <c r="C83" s="76"/>
      <c r="D83" s="87"/>
      <c r="E83" s="107"/>
      <c r="F83" s="101"/>
      <c r="G83" s="102"/>
      <c r="I83" s="79"/>
    </row>
    <row r="84" spans="1:9" x14ac:dyDescent="0.2">
      <c r="A84" s="75"/>
      <c r="B84" s="75"/>
      <c r="C84" s="76"/>
      <c r="E84" s="97"/>
      <c r="F84" s="98"/>
      <c r="G84" s="97"/>
      <c r="I84" s="79"/>
    </row>
    <row r="85" spans="1:9" ht="15.75" thickBot="1" x14ac:dyDescent="0.25">
      <c r="A85" s="75"/>
      <c r="B85" s="75"/>
      <c r="C85" s="76"/>
      <c r="E85" s="80" t="s">
        <v>44</v>
      </c>
      <c r="F85" s="81"/>
      <c r="I85" s="79"/>
    </row>
    <row r="86" spans="1:9" x14ac:dyDescent="0.2">
      <c r="A86" s="75"/>
      <c r="B86" s="75"/>
      <c r="C86" s="76"/>
      <c r="D86" s="87"/>
      <c r="E86" s="106"/>
      <c r="F86" s="83"/>
      <c r="G86" s="84"/>
      <c r="I86" s="79"/>
    </row>
    <row r="87" spans="1:9" x14ac:dyDescent="0.2">
      <c r="A87" s="75"/>
      <c r="B87" s="75"/>
      <c r="C87" s="76"/>
      <c r="D87" s="87"/>
      <c r="E87" s="97"/>
      <c r="F87" s="86" t="s">
        <v>124</v>
      </c>
      <c r="G87" s="87"/>
      <c r="I87" s="79"/>
    </row>
    <row r="88" spans="1:9" x14ac:dyDescent="0.2">
      <c r="A88" s="75"/>
      <c r="B88" s="75"/>
      <c r="C88" s="76"/>
      <c r="D88" s="87"/>
      <c r="E88" s="89" t="str">
        <f>IF(OdgovorniProjektantA=0,"*","")</f>
        <v>*</v>
      </c>
      <c r="F88" s="113"/>
      <c r="G88" s="91"/>
      <c r="I88" s="79"/>
    </row>
    <row r="89" spans="1:9" x14ac:dyDescent="0.2">
      <c r="A89" s="75"/>
      <c r="B89" s="75"/>
      <c r="C89" s="76"/>
      <c r="D89" s="87"/>
      <c r="E89" s="97"/>
      <c r="F89" s="99" t="s">
        <v>123</v>
      </c>
      <c r="G89" s="87"/>
      <c r="I89" s="79"/>
    </row>
    <row r="90" spans="1:9" ht="15.75" thickBot="1" x14ac:dyDescent="0.25">
      <c r="A90" s="75"/>
      <c r="B90" s="75"/>
      <c r="C90" s="76"/>
      <c r="D90" s="87"/>
      <c r="E90" s="107"/>
      <c r="F90" s="101"/>
      <c r="G90" s="102"/>
      <c r="I90" s="79"/>
    </row>
    <row r="91" spans="1:9" x14ac:dyDescent="0.2">
      <c r="A91" s="75"/>
      <c r="B91" s="75"/>
      <c r="C91" s="76"/>
      <c r="F91" s="81"/>
      <c r="I91" s="79"/>
    </row>
    <row r="92" spans="1:9" ht="15.75" thickBot="1" x14ac:dyDescent="0.25">
      <c r="A92" s="75"/>
      <c r="B92" s="75"/>
      <c r="C92" s="76"/>
      <c r="E92" s="80" t="s">
        <v>182</v>
      </c>
      <c r="F92" s="81"/>
      <c r="I92" s="79"/>
    </row>
    <row r="93" spans="1:9" x14ac:dyDescent="0.2">
      <c r="A93" s="75"/>
      <c r="B93" s="75"/>
      <c r="C93" s="76"/>
      <c r="D93" s="87"/>
      <c r="E93" s="106"/>
      <c r="F93" s="83"/>
      <c r="G93" s="84"/>
      <c r="I93" s="79"/>
    </row>
    <row r="94" spans="1:9" x14ac:dyDescent="0.2">
      <c r="A94" s="75"/>
      <c r="B94" s="75"/>
      <c r="C94" s="76"/>
      <c r="D94" s="87"/>
      <c r="E94" s="97"/>
      <c r="F94" s="86" t="s">
        <v>183</v>
      </c>
      <c r="G94" s="87"/>
      <c r="I94" s="79"/>
    </row>
    <row r="95" spans="1:9" x14ac:dyDescent="0.2">
      <c r="A95" s="75"/>
      <c r="B95" s="75"/>
      <c r="C95" s="76"/>
      <c r="D95" s="87"/>
      <c r="E95" s="89" t="str">
        <f>IF(RevidentA=0,"*","")</f>
        <v>*</v>
      </c>
      <c r="F95" s="113"/>
      <c r="G95" s="91"/>
      <c r="I95" s="79"/>
    </row>
    <row r="96" spans="1:9" x14ac:dyDescent="0.2">
      <c r="A96" s="75"/>
      <c r="B96" s="75"/>
      <c r="C96" s="76"/>
      <c r="D96" s="87"/>
      <c r="E96" s="97"/>
      <c r="F96" s="99" t="s">
        <v>123</v>
      </c>
      <c r="G96" s="87"/>
      <c r="I96" s="79"/>
    </row>
    <row r="97" spans="1:9" ht="15.75" thickBot="1" x14ac:dyDescent="0.25">
      <c r="A97" s="75"/>
      <c r="B97" s="75"/>
      <c r="C97" s="76"/>
      <c r="D97" s="87"/>
      <c r="E97" s="107"/>
      <c r="F97" s="101"/>
      <c r="G97" s="102"/>
      <c r="I97" s="79"/>
    </row>
    <row r="98" spans="1:9" x14ac:dyDescent="0.2">
      <c r="A98" s="75"/>
      <c r="B98" s="75"/>
      <c r="C98" s="76"/>
      <c r="F98" s="81"/>
      <c r="I98" s="79"/>
    </row>
    <row r="99" spans="1:9" ht="15.75" thickBot="1" x14ac:dyDescent="0.25">
      <c r="A99" s="75"/>
      <c r="B99" s="75"/>
      <c r="C99" s="76"/>
      <c r="E99" s="80" t="s">
        <v>148</v>
      </c>
      <c r="F99" s="81"/>
      <c r="I99" s="79"/>
    </row>
    <row r="100" spans="1:9" x14ac:dyDescent="0.2">
      <c r="A100" s="75"/>
      <c r="B100" s="75"/>
      <c r="C100" s="76"/>
      <c r="D100" s="87"/>
      <c r="E100" s="106"/>
      <c r="F100" s="83"/>
      <c r="G100" s="84"/>
      <c r="I100" s="79"/>
    </row>
    <row r="101" spans="1:9" x14ac:dyDescent="0.2">
      <c r="A101" s="75"/>
      <c r="B101" s="75"/>
      <c r="C101" s="76"/>
      <c r="D101" s="87"/>
      <c r="E101" s="97"/>
      <c r="F101" s="86" t="s">
        <v>147</v>
      </c>
      <c r="G101" s="87"/>
      <c r="I101" s="79"/>
    </row>
    <row r="102" spans="1:9" x14ac:dyDescent="0.2">
      <c r="A102" s="75"/>
      <c r="B102" s="75"/>
      <c r="C102" s="76"/>
      <c r="D102" s="87"/>
      <c r="E102" s="89" t="str">
        <f>IF(F102=0,"*","")</f>
        <v/>
      </c>
      <c r="F102" s="113" t="str">
        <f>IF(PrikazNaslovaPodnaslovaEtaza=0,"Nova gradnja","Dogradnja, rekonstrukcija")</f>
        <v>Nova gradnja</v>
      </c>
      <c r="G102" s="136">
        <v>0</v>
      </c>
      <c r="I102" s="79"/>
    </row>
    <row r="103" spans="1:9" x14ac:dyDescent="0.2">
      <c r="A103" s="75"/>
      <c r="B103" s="75"/>
      <c r="C103" s="76"/>
      <c r="D103" s="87"/>
      <c r="E103" s="97"/>
      <c r="F103" s="99" t="s">
        <v>146</v>
      </c>
      <c r="G103" s="87"/>
      <c r="I103" s="79"/>
    </row>
    <row r="104" spans="1:9" ht="15.75" thickBot="1" x14ac:dyDescent="0.25">
      <c r="A104" s="75"/>
      <c r="B104" s="75"/>
      <c r="C104" s="76"/>
      <c r="D104" s="87"/>
      <c r="E104" s="107"/>
      <c r="F104" s="101"/>
      <c r="G104" s="102"/>
      <c r="I104" s="79"/>
    </row>
    <row r="105" spans="1:9" x14ac:dyDescent="0.2">
      <c r="A105" s="75"/>
      <c r="B105" s="75"/>
      <c r="C105" s="76"/>
      <c r="D105" s="88"/>
      <c r="E105" s="106"/>
      <c r="F105" s="83"/>
      <c r="G105" s="155"/>
      <c r="I105" s="79"/>
    </row>
    <row r="106" spans="1:9" x14ac:dyDescent="0.2">
      <c r="A106" s="75"/>
      <c r="B106" s="75"/>
      <c r="C106" s="76"/>
      <c r="D106" s="88"/>
      <c r="E106" s="97"/>
      <c r="F106" s="137" t="s">
        <v>149</v>
      </c>
      <c r="G106" s="150"/>
      <c r="I106" s="79"/>
    </row>
    <row r="107" spans="1:9" x14ac:dyDescent="0.2">
      <c r="A107" s="75"/>
      <c r="B107" s="75"/>
      <c r="C107" s="76"/>
      <c r="D107" s="88"/>
      <c r="E107" s="97"/>
      <c r="F107" s="98"/>
      <c r="G107" s="150"/>
      <c r="I107" s="79"/>
    </row>
    <row r="108" spans="1:9" x14ac:dyDescent="0.2">
      <c r="A108" s="75"/>
      <c r="B108" s="75"/>
      <c r="C108" s="76"/>
      <c r="D108" s="88"/>
      <c r="E108"/>
      <c r="F108" s="86" t="s">
        <v>132</v>
      </c>
      <c r="G108" s="150"/>
      <c r="I108" s="79"/>
    </row>
    <row r="109" spans="1:9" x14ac:dyDescent="0.2">
      <c r="A109" s="75"/>
      <c r="B109" s="75"/>
      <c r="C109" s="76"/>
      <c r="D109" s="88"/>
      <c r="E109" s="89" t="str">
        <f>IF(pEtazaPo=0,"",IF(PrikazNaslovaPodnaslovaEtaza=0,"",IF(pUkupnaBrutoPovrsinaPo=0,"*","")))</f>
        <v/>
      </c>
      <c r="F109" s="108"/>
      <c r="G109" s="150"/>
      <c r="I109" s="79"/>
    </row>
    <row r="110" spans="1:9" x14ac:dyDescent="0.2">
      <c r="A110" s="75"/>
      <c r="B110" s="75"/>
      <c r="C110" s="76"/>
      <c r="D110" s="88"/>
      <c r="E110" s="97"/>
      <c r="F110" s="99" t="s">
        <v>131</v>
      </c>
      <c r="G110" s="150"/>
      <c r="I110" s="79"/>
    </row>
    <row r="111" spans="1:9" x14ac:dyDescent="0.2">
      <c r="A111" s="75"/>
      <c r="B111" s="75"/>
      <c r="C111" s="76"/>
      <c r="D111" s="88"/>
      <c r="E111" s="115"/>
      <c r="F111" s="98"/>
      <c r="G111" s="150"/>
      <c r="I111" s="79"/>
    </row>
    <row r="112" spans="1:9" x14ac:dyDescent="0.2">
      <c r="A112" s="75"/>
      <c r="B112" s="75"/>
      <c r="C112" s="76"/>
      <c r="D112" s="88"/>
      <c r="E112"/>
      <c r="F112" s="86" t="s">
        <v>133</v>
      </c>
      <c r="G112" s="150"/>
      <c r="I112" s="79"/>
    </row>
    <row r="113" spans="1:9" x14ac:dyDescent="0.2">
      <c r="A113" s="75"/>
      <c r="B113" s="75"/>
      <c r="C113" s="76"/>
      <c r="D113" s="88"/>
      <c r="E113" s="89" t="str">
        <f>IF(pEtazaSu=0,"",IF(PrikazNaslovaPodnaslovaEtaza=0,"",IF(pUkupnaBrutoPovrsinaSu=0,"*","")))</f>
        <v/>
      </c>
      <c r="F113" s="108"/>
      <c r="G113" s="150"/>
      <c r="I113" s="79"/>
    </row>
    <row r="114" spans="1:9" x14ac:dyDescent="0.2">
      <c r="A114" s="75"/>
      <c r="B114" s="75"/>
      <c r="C114" s="76"/>
      <c r="D114" s="88"/>
      <c r="E114" s="97"/>
      <c r="F114" s="99" t="s">
        <v>131</v>
      </c>
      <c r="G114" s="150"/>
      <c r="I114" s="79"/>
    </row>
    <row r="115" spans="1:9" x14ac:dyDescent="0.2">
      <c r="A115" s="75"/>
      <c r="B115" s="75"/>
      <c r="C115" s="76"/>
      <c r="D115" s="88"/>
      <c r="F115" s="81"/>
      <c r="G115" s="150"/>
      <c r="I115" s="79"/>
    </row>
    <row r="116" spans="1:9" x14ac:dyDescent="0.2">
      <c r="A116" s="75"/>
      <c r="B116" s="75"/>
      <c r="C116" s="76"/>
      <c r="D116" s="88"/>
      <c r="E116" s="97"/>
      <c r="F116" s="86" t="s">
        <v>134</v>
      </c>
      <c r="G116" s="150"/>
      <c r="I116" s="79"/>
    </row>
    <row r="117" spans="1:9" x14ac:dyDescent="0.2">
      <c r="A117" s="75"/>
      <c r="B117" s="75"/>
      <c r="C117" s="76"/>
      <c r="D117" s="88"/>
      <c r="E117" s="89" t="str">
        <f>IF(pEtazaPr=0,"",IF(PrikazNaslovaPodnaslovaEtaza=0,"",IF(pUkupnaBrutoPovrsinaPr=0,"*","")))</f>
        <v/>
      </c>
      <c r="F117" s="108"/>
      <c r="G117" s="150"/>
      <c r="I117" s="79"/>
    </row>
    <row r="118" spans="1:9" x14ac:dyDescent="0.2">
      <c r="A118" s="75"/>
      <c r="B118" s="75"/>
      <c r="C118" s="76"/>
      <c r="D118" s="88"/>
      <c r="E118" s="97"/>
      <c r="F118" s="99" t="s">
        <v>131</v>
      </c>
      <c r="G118" s="150"/>
      <c r="I118" s="79"/>
    </row>
    <row r="119" spans="1:9" x14ac:dyDescent="0.2">
      <c r="A119" s="75"/>
      <c r="B119" s="75"/>
      <c r="C119" s="76"/>
      <c r="D119" s="88"/>
      <c r="F119" s="81"/>
      <c r="G119" s="150"/>
      <c r="I119" s="79"/>
    </row>
    <row r="120" spans="1:9" x14ac:dyDescent="0.2">
      <c r="A120" s="75"/>
      <c r="B120" s="75"/>
      <c r="C120" s="76"/>
      <c r="D120" s="88"/>
      <c r="E120" s="97"/>
      <c r="F120" s="86" t="s">
        <v>135</v>
      </c>
      <c r="G120" s="150"/>
      <c r="I120" s="79"/>
    </row>
    <row r="121" spans="1:9" x14ac:dyDescent="0.2">
      <c r="A121" s="75"/>
      <c r="B121" s="75"/>
      <c r="C121" s="76"/>
      <c r="D121" s="88"/>
      <c r="E121" s="89" t="str">
        <f>IF(pEtazaS1=0,"",IF(PrikazNaslovaPodnaslovaEtaza=0,"",IF(pUkupnaBrutoPovrsinaS1=0,"*","")))</f>
        <v/>
      </c>
      <c r="F121" s="108"/>
      <c r="G121" s="150"/>
      <c r="I121" s="79"/>
    </row>
    <row r="122" spans="1:9" x14ac:dyDescent="0.2">
      <c r="A122" s="75"/>
      <c r="B122" s="75"/>
      <c r="C122" s="76"/>
      <c r="D122" s="88"/>
      <c r="E122" s="97"/>
      <c r="F122" s="99" t="s">
        <v>131</v>
      </c>
      <c r="G122" s="150"/>
      <c r="I122" s="79"/>
    </row>
    <row r="123" spans="1:9" x14ac:dyDescent="0.2">
      <c r="A123" s="75"/>
      <c r="B123" s="75"/>
      <c r="C123" s="76"/>
      <c r="D123" s="88"/>
      <c r="F123" s="81"/>
      <c r="G123" s="150"/>
      <c r="I123" s="79"/>
    </row>
    <row r="124" spans="1:9" x14ac:dyDescent="0.2">
      <c r="A124" s="75"/>
      <c r="B124" s="75"/>
      <c r="C124" s="76"/>
      <c r="D124" s="88"/>
      <c r="E124" s="97"/>
      <c r="F124" s="86" t="s">
        <v>136</v>
      </c>
      <c r="G124" s="150"/>
      <c r="I124" s="79"/>
    </row>
    <row r="125" spans="1:9" x14ac:dyDescent="0.2">
      <c r="A125" s="75"/>
      <c r="B125" s="75"/>
      <c r="C125" s="76"/>
      <c r="D125" s="88"/>
      <c r="E125" s="89" t="str">
        <f>IF(pEtazaS2=0,"",IF(PrikazNaslovaPodnaslovaEtaza=0,"",IF(pUkupnaBrutoPovrsinaS2=0,"*","")))</f>
        <v/>
      </c>
      <c r="F125" s="108"/>
      <c r="G125" s="150"/>
      <c r="I125" s="79"/>
    </row>
    <row r="126" spans="1:9" x14ac:dyDescent="0.2">
      <c r="A126" s="75"/>
      <c r="B126" s="75"/>
      <c r="C126" s="76"/>
      <c r="D126" s="88"/>
      <c r="E126" s="97"/>
      <c r="F126" s="99" t="s">
        <v>131</v>
      </c>
      <c r="G126" s="150"/>
      <c r="I126" s="79"/>
    </row>
    <row r="127" spans="1:9" x14ac:dyDescent="0.2">
      <c r="A127" s="75"/>
      <c r="B127" s="75"/>
      <c r="C127" s="76"/>
      <c r="D127" s="88"/>
      <c r="F127" s="81"/>
      <c r="G127" s="150"/>
      <c r="I127" s="79"/>
    </row>
    <row r="128" spans="1:9" x14ac:dyDescent="0.2">
      <c r="A128" s="75"/>
      <c r="B128" s="75"/>
      <c r="C128" s="76"/>
      <c r="D128" s="88"/>
      <c r="E128" s="97"/>
      <c r="F128" s="86" t="s">
        <v>137</v>
      </c>
      <c r="G128" s="150"/>
      <c r="I128" s="79"/>
    </row>
    <row r="129" spans="1:9" x14ac:dyDescent="0.2">
      <c r="A129" s="75"/>
      <c r="B129" s="75"/>
      <c r="C129" s="76"/>
      <c r="D129" s="88"/>
      <c r="E129" s="89" t="str">
        <f>IF(pEtazaS3=0,"",IF(PrikazNaslovaPodnaslovaEtaza=0,"",IF(pUkupnaBrutoPovrsinaS3=0,"*","")))</f>
        <v/>
      </c>
      <c r="F129" s="108"/>
      <c r="G129" s="150"/>
      <c r="I129" s="79"/>
    </row>
    <row r="130" spans="1:9" x14ac:dyDescent="0.2">
      <c r="A130" s="75"/>
      <c r="B130" s="75"/>
      <c r="C130" s="76"/>
      <c r="D130" s="88"/>
      <c r="E130" s="97"/>
      <c r="F130" s="99" t="s">
        <v>131</v>
      </c>
      <c r="G130" s="150"/>
      <c r="I130" s="79"/>
    </row>
    <row r="131" spans="1:9" x14ac:dyDescent="0.2">
      <c r="A131" s="75"/>
      <c r="B131" s="75"/>
      <c r="C131" s="76"/>
      <c r="D131" s="88"/>
      <c r="F131" s="81"/>
      <c r="G131" s="150"/>
      <c r="I131" s="79"/>
    </row>
    <row r="132" spans="1:9" x14ac:dyDescent="0.2">
      <c r="A132" s="75"/>
      <c r="B132" s="75"/>
      <c r="C132" s="76"/>
      <c r="D132" s="88"/>
      <c r="E132" s="97"/>
      <c r="F132" s="86" t="s">
        <v>138</v>
      </c>
      <c r="G132" s="150"/>
      <c r="I132" s="79"/>
    </row>
    <row r="133" spans="1:9" x14ac:dyDescent="0.2">
      <c r="A133" s="75"/>
      <c r="B133" s="75"/>
      <c r="C133" s="76"/>
      <c r="D133" s="88"/>
      <c r="E133" s="89" t="str">
        <f>IF(pEtazaS4=0,"",IF(PrikazNaslovaPodnaslovaEtaza=0,"",IF(pUkupnaBrutoPovrsinaS4=0,"*","")))</f>
        <v/>
      </c>
      <c r="F133" s="108"/>
      <c r="G133" s="150"/>
      <c r="I133" s="79"/>
    </row>
    <row r="134" spans="1:9" x14ac:dyDescent="0.2">
      <c r="A134" s="75"/>
      <c r="B134" s="75"/>
      <c r="C134" s="76"/>
      <c r="D134" s="88"/>
      <c r="E134" s="97"/>
      <c r="F134" s="99" t="s">
        <v>131</v>
      </c>
      <c r="G134" s="150"/>
      <c r="I134" s="79"/>
    </row>
    <row r="135" spans="1:9" x14ac:dyDescent="0.2">
      <c r="A135" s="75"/>
      <c r="B135" s="75"/>
      <c r="C135" s="76"/>
      <c r="D135" s="88"/>
      <c r="E135" s="97"/>
      <c r="F135" s="99"/>
      <c r="G135" s="150"/>
      <c r="I135" s="79"/>
    </row>
    <row r="136" spans="1:9" x14ac:dyDescent="0.2">
      <c r="A136" s="75"/>
      <c r="B136" s="75"/>
      <c r="C136" s="76"/>
      <c r="D136" s="88"/>
      <c r="E136" s="97"/>
      <c r="F136" s="86" t="s">
        <v>139</v>
      </c>
      <c r="G136" s="150"/>
      <c r="I136" s="79"/>
    </row>
    <row r="137" spans="1:9" x14ac:dyDescent="0.2">
      <c r="A137" s="75"/>
      <c r="B137" s="75"/>
      <c r="C137" s="76"/>
      <c r="D137" s="88"/>
      <c r="E137" s="89" t="str">
        <f>IF(pEtazaS5=0,"",IF(PrikazNaslovaPodnaslovaEtaza=0,"",IF(pUkupnaBrutoPovrsinaS1=0,"*","")))</f>
        <v/>
      </c>
      <c r="F137" s="108"/>
      <c r="G137" s="150"/>
      <c r="I137" s="79"/>
    </row>
    <row r="138" spans="1:9" x14ac:dyDescent="0.2">
      <c r="A138" s="75"/>
      <c r="B138" s="75"/>
      <c r="C138" s="76"/>
      <c r="D138" s="88"/>
      <c r="E138" s="97"/>
      <c r="F138" s="99" t="s">
        <v>131</v>
      </c>
      <c r="G138" s="150"/>
      <c r="I138" s="79"/>
    </row>
    <row r="139" spans="1:9" x14ac:dyDescent="0.2">
      <c r="A139" s="75"/>
      <c r="B139" s="75"/>
      <c r="C139" s="76"/>
      <c r="D139" s="88"/>
      <c r="E139" s="97"/>
      <c r="F139" s="99"/>
      <c r="G139" s="150"/>
      <c r="I139" s="79"/>
    </row>
    <row r="140" spans="1:9" x14ac:dyDescent="0.2">
      <c r="A140" s="75"/>
      <c r="B140" s="75"/>
      <c r="C140" s="76"/>
      <c r="D140" s="88"/>
      <c r="E140" s="97"/>
      <c r="F140" s="86" t="s">
        <v>166</v>
      </c>
      <c r="G140" s="150"/>
      <c r="I140" s="79"/>
    </row>
    <row r="141" spans="1:9" x14ac:dyDescent="0.2">
      <c r="A141" s="75"/>
      <c r="B141" s="75"/>
      <c r="C141" s="76"/>
      <c r="D141" s="88"/>
      <c r="E141" s="89" t="str">
        <f>IF(pEtazaPk=0,"",IF(PrikazNaslovaPodnaslovaEtaza=0,"",IF(pUkupnaBrutoPovrsinaPk=0,"*","")))</f>
        <v/>
      </c>
      <c r="F141" s="108"/>
      <c r="G141" s="150"/>
      <c r="I141" s="79"/>
    </row>
    <row r="142" spans="1:9" x14ac:dyDescent="0.2">
      <c r="A142" s="75"/>
      <c r="B142" s="75"/>
      <c r="C142" s="76"/>
      <c r="D142" s="88"/>
      <c r="E142" s="97"/>
      <c r="F142" s="99" t="s">
        <v>131</v>
      </c>
      <c r="G142" s="150"/>
      <c r="I142" s="79"/>
    </row>
    <row r="143" spans="1:9" ht="15.75" thickBot="1" x14ac:dyDescent="0.25">
      <c r="A143" s="75"/>
      <c r="B143" s="75"/>
      <c r="C143" s="76"/>
      <c r="D143" s="88"/>
      <c r="E143" s="97"/>
      <c r="F143" s="99"/>
      <c r="G143" s="150"/>
      <c r="I143" s="79"/>
    </row>
    <row r="144" spans="1:9" x14ac:dyDescent="0.2">
      <c r="A144" s="75"/>
      <c r="B144" s="75"/>
      <c r="C144" s="76"/>
      <c r="D144" s="88"/>
      <c r="E144" s="106"/>
      <c r="F144" s="83"/>
      <c r="G144" s="150"/>
      <c r="I144" s="79"/>
    </row>
    <row r="145" spans="1:9" x14ac:dyDescent="0.2">
      <c r="A145" s="75"/>
      <c r="B145" s="75"/>
      <c r="C145" s="76"/>
      <c r="D145" s="88"/>
      <c r="E145" s="97"/>
      <c r="F145" s="137" t="str">
        <f>IF(PrikazNaslovaPodnaslovaEtaza=0,"Bruto površine etaža","Bruto površine etaža - novoprojektovanog stanja")</f>
        <v>Bruto površine etaža</v>
      </c>
      <c r="G145" s="150"/>
      <c r="I145" s="79"/>
    </row>
    <row r="146" spans="1:9" x14ac:dyDescent="0.2">
      <c r="A146" s="75"/>
      <c r="B146" s="75"/>
      <c r="C146" s="76"/>
      <c r="D146" s="88"/>
      <c r="E146" s="97"/>
      <c r="F146" s="98"/>
      <c r="G146" s="150"/>
      <c r="I146" s="79"/>
    </row>
    <row r="147" spans="1:9" x14ac:dyDescent="0.2">
      <c r="A147" s="75"/>
      <c r="B147" s="75"/>
      <c r="C147" s="76"/>
      <c r="D147" s="88"/>
      <c r="E147"/>
      <c r="F147" s="86" t="s">
        <v>132</v>
      </c>
      <c r="G147" s="150"/>
      <c r="I147" s="79"/>
    </row>
    <row r="148" spans="1:9" x14ac:dyDescent="0.2">
      <c r="A148" s="75"/>
      <c r="B148" s="75"/>
      <c r="C148" s="76"/>
      <c r="D148" s="88"/>
      <c r="E148" s="89" t="str">
        <f>IF(nEtazaPo=0,"",IF(nUkupnaBrutoPovrsinaPo=0,"*",""))</f>
        <v/>
      </c>
      <c r="F148" s="108"/>
      <c r="G148" s="150"/>
      <c r="I148" s="79"/>
    </row>
    <row r="149" spans="1:9" x14ac:dyDescent="0.2">
      <c r="A149" s="75"/>
      <c r="B149" s="75"/>
      <c r="C149" s="76"/>
      <c r="D149" s="88"/>
      <c r="E149" s="97"/>
      <c r="F149" s="99" t="s">
        <v>131</v>
      </c>
      <c r="G149" s="150"/>
      <c r="I149" s="79"/>
    </row>
    <row r="150" spans="1:9" x14ac:dyDescent="0.2">
      <c r="A150" s="75"/>
      <c r="B150" s="75"/>
      <c r="C150" s="76"/>
      <c r="D150" s="88"/>
      <c r="E150" s="115"/>
      <c r="F150" s="98"/>
      <c r="G150" s="150"/>
      <c r="I150" s="79"/>
    </row>
    <row r="151" spans="1:9" x14ac:dyDescent="0.2">
      <c r="A151" s="75"/>
      <c r="B151" s="75"/>
      <c r="C151" s="76"/>
      <c r="D151" s="88"/>
      <c r="E151"/>
      <c r="F151" s="86" t="s">
        <v>133</v>
      </c>
      <c r="G151" s="150"/>
      <c r="I151" s="79"/>
    </row>
    <row r="152" spans="1:9" x14ac:dyDescent="0.2">
      <c r="A152" s="75"/>
      <c r="B152" s="75"/>
      <c r="C152" s="76"/>
      <c r="D152" s="88"/>
      <c r="E152" s="89" t="str">
        <f>IF(nEtazaSu=0,"",IF(nUkupnaBrutoPovrsinaSu=0,"*",""))</f>
        <v/>
      </c>
      <c r="F152" s="108"/>
      <c r="G152" s="150"/>
      <c r="I152" s="79"/>
    </row>
    <row r="153" spans="1:9" x14ac:dyDescent="0.2">
      <c r="A153" s="75"/>
      <c r="B153" s="75"/>
      <c r="C153" s="76"/>
      <c r="D153" s="88"/>
      <c r="E153" s="97"/>
      <c r="F153" s="99" t="s">
        <v>131</v>
      </c>
      <c r="G153" s="150"/>
      <c r="I153" s="79"/>
    </row>
    <row r="154" spans="1:9" x14ac:dyDescent="0.2">
      <c r="A154" s="75"/>
      <c r="B154" s="75"/>
      <c r="C154" s="76"/>
      <c r="D154" s="88"/>
      <c r="F154" s="81"/>
      <c r="G154" s="150"/>
      <c r="I154" s="79"/>
    </row>
    <row r="155" spans="1:9" x14ac:dyDescent="0.2">
      <c r="A155" s="75"/>
      <c r="B155" s="75"/>
      <c r="C155" s="76"/>
      <c r="D155" s="88"/>
      <c r="E155" s="97"/>
      <c r="F155" s="86" t="s">
        <v>134</v>
      </c>
      <c r="G155" s="150"/>
      <c r="I155" s="79"/>
    </row>
    <row r="156" spans="1:9" x14ac:dyDescent="0.2">
      <c r="A156" s="75"/>
      <c r="B156" s="75"/>
      <c r="C156" s="76"/>
      <c r="D156" s="88"/>
      <c r="E156" s="89" t="str">
        <f>IF(nEtazaPr=0,"",IF(nUkupnaBrutoPovrsinaPr=0,"*",""))</f>
        <v/>
      </c>
      <c r="F156" s="108"/>
      <c r="G156" s="150"/>
      <c r="I156" s="79"/>
    </row>
    <row r="157" spans="1:9" x14ac:dyDescent="0.2">
      <c r="A157" s="75"/>
      <c r="B157" s="75"/>
      <c r="C157" s="76"/>
      <c r="D157" s="88"/>
      <c r="E157" s="97"/>
      <c r="F157" s="99" t="s">
        <v>131</v>
      </c>
      <c r="G157" s="150"/>
      <c r="I157" s="79"/>
    </row>
    <row r="158" spans="1:9" x14ac:dyDescent="0.2">
      <c r="A158" s="75"/>
      <c r="B158" s="75"/>
      <c r="C158" s="76"/>
      <c r="D158" s="88"/>
      <c r="F158" s="81"/>
      <c r="G158" s="150"/>
      <c r="I158" s="79"/>
    </row>
    <row r="159" spans="1:9" x14ac:dyDescent="0.2">
      <c r="A159" s="75"/>
      <c r="B159" s="75"/>
      <c r="C159" s="76"/>
      <c r="D159" s="88"/>
      <c r="E159" s="97"/>
      <c r="F159" s="86" t="s">
        <v>135</v>
      </c>
      <c r="G159" s="150"/>
      <c r="I159" s="79"/>
    </row>
    <row r="160" spans="1:9" x14ac:dyDescent="0.2">
      <c r="A160" s="75"/>
      <c r="B160" s="75"/>
      <c r="C160" s="76"/>
      <c r="D160" s="88"/>
      <c r="E160" s="89" t="str">
        <f>IF(nEtazaS1=0,"",IF(nUkupnaBrutoPovrsinaS1=0,"*",""))</f>
        <v/>
      </c>
      <c r="F160" s="108"/>
      <c r="G160" s="150"/>
      <c r="I160" s="79"/>
    </row>
    <row r="161" spans="1:9" x14ac:dyDescent="0.2">
      <c r="A161" s="75"/>
      <c r="B161" s="75"/>
      <c r="C161" s="76"/>
      <c r="D161" s="88"/>
      <c r="E161" s="97"/>
      <c r="F161" s="99" t="s">
        <v>131</v>
      </c>
      <c r="G161" s="150"/>
      <c r="I161" s="79"/>
    </row>
    <row r="162" spans="1:9" x14ac:dyDescent="0.2">
      <c r="A162" s="75"/>
      <c r="B162" s="75"/>
      <c r="C162" s="76"/>
      <c r="D162" s="88"/>
      <c r="F162" s="81"/>
      <c r="G162" s="150"/>
      <c r="I162" s="79"/>
    </row>
    <row r="163" spans="1:9" x14ac:dyDescent="0.2">
      <c r="A163" s="75"/>
      <c r="B163" s="75"/>
      <c r="C163" s="76"/>
      <c r="D163" s="88"/>
      <c r="E163" s="97"/>
      <c r="F163" s="86" t="s">
        <v>136</v>
      </c>
      <c r="G163" s="150"/>
      <c r="I163" s="79"/>
    </row>
    <row r="164" spans="1:9" x14ac:dyDescent="0.2">
      <c r="A164" s="75"/>
      <c r="B164" s="75"/>
      <c r="C164" s="76"/>
      <c r="D164" s="88"/>
      <c r="E164" s="89" t="str">
        <f>IF(nEtazaS2=0,"",IF(nUkupnaBrutoPovrsinaS2=0,"*",""))</f>
        <v/>
      </c>
      <c r="F164" s="108"/>
      <c r="G164" s="150"/>
      <c r="I164" s="79"/>
    </row>
    <row r="165" spans="1:9" x14ac:dyDescent="0.2">
      <c r="A165" s="75"/>
      <c r="B165" s="75"/>
      <c r="C165" s="76"/>
      <c r="D165" s="88"/>
      <c r="E165" s="97"/>
      <c r="F165" s="99" t="s">
        <v>131</v>
      </c>
      <c r="G165" s="150"/>
      <c r="I165" s="79"/>
    </row>
    <row r="166" spans="1:9" x14ac:dyDescent="0.2">
      <c r="A166" s="75"/>
      <c r="B166" s="75"/>
      <c r="C166" s="76"/>
      <c r="D166" s="88"/>
      <c r="F166" s="81"/>
      <c r="G166" s="150"/>
      <c r="I166" s="79"/>
    </row>
    <row r="167" spans="1:9" x14ac:dyDescent="0.2">
      <c r="A167" s="75"/>
      <c r="B167" s="75"/>
      <c r="C167" s="76"/>
      <c r="D167" s="88"/>
      <c r="E167" s="97"/>
      <c r="F167" s="86" t="s">
        <v>137</v>
      </c>
      <c r="G167" s="150"/>
      <c r="I167" s="79"/>
    </row>
    <row r="168" spans="1:9" x14ac:dyDescent="0.2">
      <c r="A168" s="75"/>
      <c r="B168" s="75"/>
      <c r="C168" s="76"/>
      <c r="D168" s="88"/>
      <c r="E168" s="89" t="str">
        <f>IF(nEtazaS3=0,"",IF(nUkupnaBrutoPovrsinaS3=0,"*",""))</f>
        <v/>
      </c>
      <c r="F168" s="108"/>
      <c r="G168" s="150"/>
      <c r="I168" s="79"/>
    </row>
    <row r="169" spans="1:9" x14ac:dyDescent="0.2">
      <c r="A169" s="75"/>
      <c r="B169" s="75"/>
      <c r="C169" s="76"/>
      <c r="D169" s="88"/>
      <c r="E169" s="97"/>
      <c r="F169" s="99" t="s">
        <v>131</v>
      </c>
      <c r="G169" s="150"/>
      <c r="I169" s="79"/>
    </row>
    <row r="170" spans="1:9" x14ac:dyDescent="0.2">
      <c r="A170" s="75"/>
      <c r="B170" s="75"/>
      <c r="C170" s="76"/>
      <c r="D170" s="88"/>
      <c r="F170" s="81"/>
      <c r="G170" s="150"/>
      <c r="I170" s="79"/>
    </row>
    <row r="171" spans="1:9" x14ac:dyDescent="0.2">
      <c r="A171" s="75"/>
      <c r="B171" s="75"/>
      <c r="C171" s="76"/>
      <c r="D171" s="88"/>
      <c r="E171" s="97"/>
      <c r="F171" s="86" t="s">
        <v>138</v>
      </c>
      <c r="G171" s="150"/>
      <c r="I171" s="79"/>
    </row>
    <row r="172" spans="1:9" x14ac:dyDescent="0.2">
      <c r="A172" s="75"/>
      <c r="B172" s="75"/>
      <c r="C172" s="76"/>
      <c r="D172" s="88"/>
      <c r="E172" s="89" t="str">
        <f>IF(nEtazaS4=0,"",IF(nUkupnaBrutoPovrsinaS4=0,"*",""))</f>
        <v/>
      </c>
      <c r="F172" s="108"/>
      <c r="G172" s="150"/>
      <c r="I172" s="79"/>
    </row>
    <row r="173" spans="1:9" x14ac:dyDescent="0.2">
      <c r="A173" s="75"/>
      <c r="B173" s="75"/>
      <c r="C173" s="76"/>
      <c r="D173" s="88"/>
      <c r="E173" s="97"/>
      <c r="F173" s="99" t="s">
        <v>131</v>
      </c>
      <c r="G173" s="150"/>
      <c r="I173" s="79"/>
    </row>
    <row r="174" spans="1:9" x14ac:dyDescent="0.2">
      <c r="A174" s="75"/>
      <c r="B174" s="75"/>
      <c r="C174" s="76"/>
      <c r="D174" s="88"/>
      <c r="E174" s="97"/>
      <c r="F174" s="99"/>
      <c r="G174" s="150"/>
      <c r="I174" s="79"/>
    </row>
    <row r="175" spans="1:9" x14ac:dyDescent="0.2">
      <c r="A175" s="75"/>
      <c r="B175" s="75"/>
      <c r="C175" s="76"/>
      <c r="D175" s="88"/>
      <c r="E175" s="97"/>
      <c r="F175" s="86" t="s">
        <v>139</v>
      </c>
      <c r="G175" s="150"/>
      <c r="I175" s="79"/>
    </row>
    <row r="176" spans="1:9" x14ac:dyDescent="0.2">
      <c r="A176" s="75"/>
      <c r="B176" s="75"/>
      <c r="C176" s="76"/>
      <c r="D176" s="88"/>
      <c r="E176" s="89" t="str">
        <f>IF(nEtazaS5=0,"",IF(nUkupnaBrutoPovrsinaS1=0,"*",""))</f>
        <v/>
      </c>
      <c r="F176" s="108"/>
      <c r="G176" s="150"/>
      <c r="I176" s="79"/>
    </row>
    <row r="177" spans="1:9" x14ac:dyDescent="0.2">
      <c r="A177" s="75"/>
      <c r="B177" s="75"/>
      <c r="C177" s="76"/>
      <c r="D177" s="88"/>
      <c r="E177" s="97"/>
      <c r="F177" s="99" t="s">
        <v>131</v>
      </c>
      <c r="G177" s="150"/>
      <c r="I177" s="79"/>
    </row>
    <row r="178" spans="1:9" x14ac:dyDescent="0.2">
      <c r="A178" s="75"/>
      <c r="B178" s="75"/>
      <c r="C178" s="76"/>
      <c r="D178" s="88"/>
      <c r="E178" s="97"/>
      <c r="F178" s="99"/>
      <c r="G178" s="150"/>
      <c r="I178" s="79"/>
    </row>
    <row r="179" spans="1:9" x14ac:dyDescent="0.2">
      <c r="A179" s="75"/>
      <c r="B179" s="75"/>
      <c r="C179" s="76"/>
      <c r="D179" s="88"/>
      <c r="E179" s="97"/>
      <c r="F179" s="86" t="s">
        <v>166</v>
      </c>
      <c r="G179" s="150"/>
      <c r="I179" s="79"/>
    </row>
    <row r="180" spans="1:9" x14ac:dyDescent="0.2">
      <c r="A180" s="75"/>
      <c r="B180" s="75"/>
      <c r="C180" s="76"/>
      <c r="D180" s="88"/>
      <c r="E180" s="89" t="str">
        <f>IF(nEtazaPk=0,"",IF(nUkupnaBrutoPovrsinaPk=0,"*",""))</f>
        <v/>
      </c>
      <c r="F180" s="108"/>
      <c r="G180" s="150"/>
      <c r="I180" s="79"/>
    </row>
    <row r="181" spans="1:9" x14ac:dyDescent="0.2">
      <c r="A181" s="75"/>
      <c r="B181" s="75"/>
      <c r="C181" s="76"/>
      <c r="D181" s="88"/>
      <c r="E181" s="97"/>
      <c r="F181" s="99" t="s">
        <v>131</v>
      </c>
      <c r="G181" s="150"/>
      <c r="I181" s="79"/>
    </row>
    <row r="182" spans="1:9" ht="15.75" thickBot="1" x14ac:dyDescent="0.25">
      <c r="A182" s="75"/>
      <c r="B182" s="75"/>
      <c r="C182" s="76"/>
      <c r="D182" s="88"/>
      <c r="E182" s="97"/>
      <c r="F182" s="99"/>
      <c r="G182" s="150"/>
      <c r="I182" s="79"/>
    </row>
    <row r="183" spans="1:9" x14ac:dyDescent="0.2">
      <c r="A183" s="75"/>
      <c r="B183" s="75"/>
      <c r="C183" s="76"/>
      <c r="D183" s="88"/>
      <c r="E183" s="106"/>
      <c r="F183" s="83"/>
      <c r="G183" s="150"/>
      <c r="I183" s="79"/>
    </row>
    <row r="184" spans="1:9" x14ac:dyDescent="0.2">
      <c r="A184" s="75"/>
      <c r="B184" s="75"/>
      <c r="C184" s="76"/>
      <c r="D184" s="88"/>
      <c r="E184" s="97"/>
      <c r="F184" s="137" t="s">
        <v>150</v>
      </c>
      <c r="G184" s="150"/>
      <c r="I184" s="79"/>
    </row>
    <row r="185" spans="1:9" x14ac:dyDescent="0.2">
      <c r="A185" s="75"/>
      <c r="B185" s="75"/>
      <c r="C185" s="76"/>
      <c r="D185" s="88"/>
      <c r="E185" s="97"/>
      <c r="F185" s="98"/>
      <c r="G185" s="150"/>
      <c r="I185" s="79"/>
    </row>
    <row r="186" spans="1:9" x14ac:dyDescent="0.2">
      <c r="A186" s="75"/>
      <c r="B186" s="75"/>
      <c r="C186" s="76"/>
      <c r="D186" s="88"/>
      <c r="E186"/>
      <c r="F186" s="86" t="s">
        <v>132</v>
      </c>
      <c r="G186" s="150"/>
      <c r="I186" s="79"/>
    </row>
    <row r="187" spans="1:9" x14ac:dyDescent="0.2">
      <c r="A187" s="75"/>
      <c r="B187" s="75"/>
      <c r="C187" s="76"/>
      <c r="D187" s="88"/>
      <c r="E187" s="89" t="str">
        <f>IF(pEtazaPo=0,"",IF(PrikazNaslovaPodnaslovaEtaza=0,"",IF(pSpratnaVisninaPo=0,"*","")))</f>
        <v/>
      </c>
      <c r="F187" s="108"/>
      <c r="G187" s="150"/>
      <c r="I187" s="79"/>
    </row>
    <row r="188" spans="1:9" x14ac:dyDescent="0.2">
      <c r="A188" s="75"/>
      <c r="B188" s="75"/>
      <c r="C188" s="76"/>
      <c r="D188" s="88"/>
      <c r="E188" s="97"/>
      <c r="F188" s="99" t="s">
        <v>131</v>
      </c>
      <c r="G188" s="150"/>
      <c r="I188" s="79"/>
    </row>
    <row r="189" spans="1:9" x14ac:dyDescent="0.2">
      <c r="A189" s="75"/>
      <c r="B189" s="75"/>
      <c r="C189" s="76"/>
      <c r="D189" s="88"/>
      <c r="E189" s="115"/>
      <c r="F189" s="98"/>
      <c r="G189" s="150"/>
      <c r="I189" s="79"/>
    </row>
    <row r="190" spans="1:9" x14ac:dyDescent="0.2">
      <c r="A190" s="75"/>
      <c r="B190" s="75"/>
      <c r="C190" s="76"/>
      <c r="D190" s="88"/>
      <c r="E190"/>
      <c r="F190" s="86" t="s">
        <v>133</v>
      </c>
      <c r="G190" s="150"/>
      <c r="I190" s="79"/>
    </row>
    <row r="191" spans="1:9" x14ac:dyDescent="0.2">
      <c r="A191" s="75"/>
      <c r="B191" s="75"/>
      <c r="C191" s="76"/>
      <c r="D191" s="88"/>
      <c r="E191" s="89" t="str">
        <f>IF(pEtazaSu=0,"",IF(PrikazNaslovaPodnaslovaEtaza=0,"",IF(pSpratnaVisninaSu=0,"*","")))</f>
        <v/>
      </c>
      <c r="F191" s="108"/>
      <c r="G191" s="150"/>
      <c r="I191" s="79"/>
    </row>
    <row r="192" spans="1:9" x14ac:dyDescent="0.2">
      <c r="A192" s="75"/>
      <c r="B192" s="75"/>
      <c r="C192" s="76"/>
      <c r="D192" s="88"/>
      <c r="E192" s="97"/>
      <c r="F192" s="99" t="s">
        <v>131</v>
      </c>
      <c r="G192" s="150"/>
      <c r="I192" s="79"/>
    </row>
    <row r="193" spans="1:9" x14ac:dyDescent="0.2">
      <c r="A193" s="75"/>
      <c r="B193" s="75"/>
      <c r="C193" s="76"/>
      <c r="D193" s="88"/>
      <c r="F193" s="81"/>
      <c r="G193" s="150"/>
      <c r="I193" s="79"/>
    </row>
    <row r="194" spans="1:9" x14ac:dyDescent="0.2">
      <c r="A194" s="75"/>
      <c r="B194" s="75"/>
      <c r="C194" s="76"/>
      <c r="D194" s="88"/>
      <c r="E194" s="97"/>
      <c r="F194" s="86" t="s">
        <v>134</v>
      </c>
      <c r="G194" s="150"/>
      <c r="I194" s="79"/>
    </row>
    <row r="195" spans="1:9" x14ac:dyDescent="0.2">
      <c r="A195" s="75"/>
      <c r="B195" s="75"/>
      <c r="C195" s="76"/>
      <c r="D195" s="88"/>
      <c r="E195" s="89" t="str">
        <f>IF(pEtazaPr=0,"",IF(PrikazNaslovaPodnaslovaEtaza=0,"",IF(pSpratnaVisninaPr=0,"*","")))</f>
        <v/>
      </c>
      <c r="F195" s="108"/>
      <c r="G195" s="150"/>
      <c r="I195" s="79"/>
    </row>
    <row r="196" spans="1:9" x14ac:dyDescent="0.2">
      <c r="A196" s="75"/>
      <c r="B196" s="75"/>
      <c r="C196" s="76"/>
      <c r="D196" s="88"/>
      <c r="E196" s="97"/>
      <c r="F196" s="99" t="s">
        <v>131</v>
      </c>
      <c r="G196" s="150"/>
      <c r="I196" s="79"/>
    </row>
    <row r="197" spans="1:9" x14ac:dyDescent="0.2">
      <c r="A197" s="75"/>
      <c r="B197" s="75"/>
      <c r="C197" s="76"/>
      <c r="D197" s="88"/>
      <c r="F197" s="81"/>
      <c r="G197" s="150"/>
      <c r="I197" s="79"/>
    </row>
    <row r="198" spans="1:9" x14ac:dyDescent="0.2">
      <c r="A198" s="75"/>
      <c r="B198" s="75"/>
      <c r="C198" s="76"/>
      <c r="D198" s="88"/>
      <c r="E198" s="97"/>
      <c r="F198" s="86" t="s">
        <v>135</v>
      </c>
      <c r="G198" s="150"/>
      <c r="I198" s="79"/>
    </row>
    <row r="199" spans="1:9" x14ac:dyDescent="0.2">
      <c r="A199" s="75"/>
      <c r="B199" s="75"/>
      <c r="C199" s="76"/>
      <c r="D199" s="88"/>
      <c r="E199" s="89" t="str">
        <f>IF(pEtazaS1=0,"",IF(PrikazNaslovaPodnaslovaEtaza=0,"",IF(pSpratnaVisninaS1=0,"*","")))</f>
        <v/>
      </c>
      <c r="F199" s="108"/>
      <c r="G199" s="150"/>
      <c r="I199" s="79"/>
    </row>
    <row r="200" spans="1:9" x14ac:dyDescent="0.2">
      <c r="A200" s="75"/>
      <c r="B200" s="75"/>
      <c r="C200" s="76"/>
      <c r="D200" s="88"/>
      <c r="E200" s="97"/>
      <c r="F200" s="99" t="s">
        <v>131</v>
      </c>
      <c r="G200" s="150"/>
      <c r="I200" s="79"/>
    </row>
    <row r="201" spans="1:9" x14ac:dyDescent="0.2">
      <c r="A201" s="75"/>
      <c r="B201" s="75"/>
      <c r="C201" s="76"/>
      <c r="D201" s="88"/>
      <c r="F201" s="81"/>
      <c r="G201" s="150"/>
      <c r="I201" s="79"/>
    </row>
    <row r="202" spans="1:9" x14ac:dyDescent="0.2">
      <c r="A202" s="75"/>
      <c r="B202" s="75"/>
      <c r="C202" s="76"/>
      <c r="D202" s="88"/>
      <c r="E202" s="97"/>
      <c r="F202" s="86" t="s">
        <v>136</v>
      </c>
      <c r="G202" s="150"/>
      <c r="I202" s="79"/>
    </row>
    <row r="203" spans="1:9" x14ac:dyDescent="0.2">
      <c r="A203" s="75"/>
      <c r="B203" s="75"/>
      <c r="C203" s="76"/>
      <c r="D203" s="88"/>
      <c r="E203" s="89" t="str">
        <f>IF(pEtazaS2=0,"",IF(PrikazNaslovaPodnaslovaEtaza=0,"",IF(pSpratnaVisninaS2=0,"*","")))</f>
        <v/>
      </c>
      <c r="F203" s="108"/>
      <c r="G203" s="150"/>
      <c r="I203" s="79"/>
    </row>
    <row r="204" spans="1:9" x14ac:dyDescent="0.2">
      <c r="A204" s="75"/>
      <c r="B204" s="75"/>
      <c r="C204" s="76"/>
      <c r="D204" s="88"/>
      <c r="E204" s="97"/>
      <c r="F204" s="99" t="s">
        <v>131</v>
      </c>
      <c r="G204" s="150"/>
      <c r="I204" s="79"/>
    </row>
    <row r="205" spans="1:9" x14ac:dyDescent="0.2">
      <c r="A205" s="75"/>
      <c r="B205" s="75"/>
      <c r="C205" s="76"/>
      <c r="D205" s="88"/>
      <c r="F205" s="81"/>
      <c r="G205" s="150"/>
      <c r="I205" s="79"/>
    </row>
    <row r="206" spans="1:9" x14ac:dyDescent="0.2">
      <c r="A206" s="75"/>
      <c r="B206" s="75"/>
      <c r="C206" s="76"/>
      <c r="D206" s="88"/>
      <c r="E206" s="97"/>
      <c r="F206" s="86" t="s">
        <v>137</v>
      </c>
      <c r="G206" s="150"/>
      <c r="I206" s="79"/>
    </row>
    <row r="207" spans="1:9" x14ac:dyDescent="0.2">
      <c r="A207" s="75"/>
      <c r="B207" s="75"/>
      <c r="C207" s="76"/>
      <c r="D207" s="88"/>
      <c r="E207" s="89" t="str">
        <f>IF(pEtazaS3=0,"",IF(PrikazNaslovaPodnaslovaEtaza=0,"",IF(pSpratnaVisninaS3=0,"*","")))</f>
        <v/>
      </c>
      <c r="F207" s="108"/>
      <c r="G207" s="150"/>
      <c r="I207" s="79"/>
    </row>
    <row r="208" spans="1:9" x14ac:dyDescent="0.2">
      <c r="A208" s="75"/>
      <c r="B208" s="75"/>
      <c r="C208" s="76"/>
      <c r="D208" s="88"/>
      <c r="E208" s="97"/>
      <c r="F208" s="99" t="s">
        <v>131</v>
      </c>
      <c r="G208" s="150"/>
      <c r="I208" s="79"/>
    </row>
    <row r="209" spans="1:9" x14ac:dyDescent="0.2">
      <c r="A209" s="75"/>
      <c r="B209" s="75"/>
      <c r="C209" s="76"/>
      <c r="D209" s="88"/>
      <c r="F209" s="81"/>
      <c r="G209" s="150"/>
      <c r="I209" s="79"/>
    </row>
    <row r="210" spans="1:9" x14ac:dyDescent="0.2">
      <c r="A210" s="75"/>
      <c r="B210" s="75"/>
      <c r="C210" s="76"/>
      <c r="D210" s="88"/>
      <c r="E210" s="97"/>
      <c r="F210" s="86" t="s">
        <v>138</v>
      </c>
      <c r="G210" s="150"/>
      <c r="I210" s="79"/>
    </row>
    <row r="211" spans="1:9" x14ac:dyDescent="0.2">
      <c r="A211" s="75"/>
      <c r="B211" s="75"/>
      <c r="C211" s="76"/>
      <c r="D211" s="88"/>
      <c r="E211" s="89" t="str">
        <f>IF(pEtazaS4=0,"",IF(PrikazNaslovaPodnaslovaEtaza=0,"",IF(pSpratnaVisninaS4=0,"*","")))</f>
        <v/>
      </c>
      <c r="F211" s="108"/>
      <c r="G211" s="150"/>
      <c r="I211" s="79"/>
    </row>
    <row r="212" spans="1:9" x14ac:dyDescent="0.2">
      <c r="A212" s="75"/>
      <c r="B212" s="75"/>
      <c r="C212" s="76"/>
      <c r="D212" s="88"/>
      <c r="E212" s="97"/>
      <c r="F212" s="99" t="s">
        <v>131</v>
      </c>
      <c r="G212" s="150"/>
      <c r="I212" s="79"/>
    </row>
    <row r="213" spans="1:9" x14ac:dyDescent="0.2">
      <c r="A213" s="75"/>
      <c r="B213" s="75"/>
      <c r="C213" s="76"/>
      <c r="D213" s="88"/>
      <c r="E213" s="97"/>
      <c r="F213" s="99"/>
      <c r="G213" s="150"/>
      <c r="I213" s="79"/>
    </row>
    <row r="214" spans="1:9" x14ac:dyDescent="0.2">
      <c r="A214" s="75"/>
      <c r="B214" s="75"/>
      <c r="C214" s="76"/>
      <c r="D214" s="88"/>
      <c r="E214" s="97"/>
      <c r="F214" s="86" t="s">
        <v>139</v>
      </c>
      <c r="G214" s="150"/>
      <c r="I214" s="79"/>
    </row>
    <row r="215" spans="1:9" x14ac:dyDescent="0.2">
      <c r="A215" s="75"/>
      <c r="B215" s="75"/>
      <c r="C215" s="76"/>
      <c r="D215" s="88"/>
      <c r="E215" s="89" t="str">
        <f>IF(pEtazaS5=0,"",IF(PrikazNaslovaPodnaslovaEtaza=0,"",IF(pSpratnaVisninaS5=0,"*","")))</f>
        <v/>
      </c>
      <c r="F215" s="108"/>
      <c r="G215" s="150"/>
      <c r="I215" s="79"/>
    </row>
    <row r="216" spans="1:9" x14ac:dyDescent="0.2">
      <c r="A216" s="75"/>
      <c r="B216" s="75"/>
      <c r="C216" s="76"/>
      <c r="D216" s="88"/>
      <c r="E216" s="97"/>
      <c r="F216" s="99" t="s">
        <v>131</v>
      </c>
      <c r="G216" s="150"/>
      <c r="I216" s="79"/>
    </row>
    <row r="217" spans="1:9" x14ac:dyDescent="0.2">
      <c r="A217" s="75"/>
      <c r="B217" s="75"/>
      <c r="C217" s="76"/>
      <c r="D217" s="88"/>
      <c r="E217" s="115"/>
      <c r="F217" s="159"/>
      <c r="G217" s="150"/>
      <c r="I217" s="79"/>
    </row>
    <row r="218" spans="1:9" x14ac:dyDescent="0.2">
      <c r="A218" s="75"/>
      <c r="B218" s="75"/>
      <c r="C218" s="76"/>
      <c r="D218" s="88"/>
      <c r="E218" s="97"/>
      <c r="F218" s="86" t="s">
        <v>167</v>
      </c>
      <c r="G218" s="150"/>
      <c r="I218" s="79"/>
    </row>
    <row r="219" spans="1:9" x14ac:dyDescent="0.2">
      <c r="A219" s="75"/>
      <c r="B219" s="75"/>
      <c r="C219" s="76"/>
      <c r="D219" s="88"/>
      <c r="E219" s="89" t="str">
        <f>IF(pEtazaPk=0,"",IF(PrikazNaslovaPodnaslovaEtaza=0,"",IF(pSpratnaVisninaPk=0,"*","")))</f>
        <v/>
      </c>
      <c r="F219" s="108"/>
      <c r="G219" s="150"/>
      <c r="I219" s="79"/>
    </row>
    <row r="220" spans="1:9" x14ac:dyDescent="0.2">
      <c r="A220" s="75"/>
      <c r="B220" s="75"/>
      <c r="C220" s="76"/>
      <c r="D220" s="88"/>
      <c r="E220" s="97"/>
      <c r="F220" s="99" t="s">
        <v>131</v>
      </c>
      <c r="G220" s="150"/>
      <c r="I220" s="79"/>
    </row>
    <row r="221" spans="1:9" x14ac:dyDescent="0.2">
      <c r="A221" s="75"/>
      <c r="B221" s="75"/>
      <c r="C221" s="76"/>
      <c r="D221" s="88"/>
      <c r="E221" s="97"/>
      <c r="F221" s="99"/>
      <c r="G221" s="150"/>
      <c r="I221" s="79"/>
    </row>
    <row r="222" spans="1:9" x14ac:dyDescent="0.2">
      <c r="A222" s="75"/>
      <c r="B222" s="75"/>
      <c r="C222" s="76"/>
      <c r="D222" s="88"/>
      <c r="E222" s="97"/>
      <c r="F222" s="86" t="s">
        <v>125</v>
      </c>
      <c r="G222" s="150"/>
      <c r="I222" s="79"/>
    </row>
    <row r="223" spans="1:9" x14ac:dyDescent="0.2">
      <c r="A223" s="75"/>
      <c r="B223" s="75"/>
      <c r="C223" s="76"/>
      <c r="D223" s="88"/>
      <c r="E223" s="89" t="str">
        <f>IF(PrikazNaslovaPodnaslovaEtaza=0,"",IF(pVisinaVenca=0,"*",""))</f>
        <v/>
      </c>
      <c r="F223" s="108"/>
      <c r="G223" s="150"/>
      <c r="I223" s="79"/>
    </row>
    <row r="224" spans="1:9" x14ac:dyDescent="0.2">
      <c r="A224" s="75"/>
      <c r="B224" s="75"/>
      <c r="C224" s="76"/>
      <c r="D224" s="88"/>
      <c r="E224" s="97"/>
      <c r="F224" s="99" t="s">
        <v>140</v>
      </c>
      <c r="G224" s="150"/>
      <c r="I224" s="79"/>
    </row>
    <row r="225" spans="1:9" x14ac:dyDescent="0.2">
      <c r="A225" s="75"/>
      <c r="B225" s="75"/>
      <c r="C225" s="76"/>
      <c r="D225" s="88"/>
      <c r="F225" s="81"/>
      <c r="G225" s="150"/>
      <c r="I225" s="79"/>
    </row>
    <row r="226" spans="1:9" x14ac:dyDescent="0.2">
      <c r="A226" s="75"/>
      <c r="B226" s="75"/>
      <c r="C226" s="76"/>
      <c r="D226" s="88"/>
      <c r="E226" s="97"/>
      <c r="F226" s="86" t="s">
        <v>126</v>
      </c>
      <c r="G226" s="150"/>
      <c r="I226" s="79"/>
    </row>
    <row r="227" spans="1:9" x14ac:dyDescent="0.2">
      <c r="A227" s="75"/>
      <c r="B227" s="75"/>
      <c r="C227" s="76"/>
      <c r="D227" s="88"/>
      <c r="E227" s="89" t="str">
        <f>IF(PrikazNaslovaPodnaslovaEtaza=0,"",IF(pVisinaSlemena=0,"*",""))</f>
        <v/>
      </c>
      <c r="F227" s="108"/>
      <c r="G227" s="150"/>
      <c r="I227" s="79"/>
    </row>
    <row r="228" spans="1:9" x14ac:dyDescent="0.2">
      <c r="A228" s="75"/>
      <c r="B228" s="75"/>
      <c r="C228" s="76"/>
      <c r="D228" s="88"/>
      <c r="E228" s="97"/>
      <c r="F228" s="99" t="s">
        <v>141</v>
      </c>
      <c r="G228" s="150"/>
      <c r="I228" s="79"/>
    </row>
    <row r="229" spans="1:9" ht="15.75" thickBot="1" x14ac:dyDescent="0.25">
      <c r="A229" s="75"/>
      <c r="B229" s="75"/>
      <c r="C229" s="76"/>
      <c r="D229" s="88"/>
      <c r="E229" s="97"/>
      <c r="F229" s="99"/>
      <c r="G229" s="153"/>
      <c r="I229" s="79"/>
    </row>
    <row r="230" spans="1:9" x14ac:dyDescent="0.2">
      <c r="A230" s="75"/>
      <c r="B230" s="75"/>
      <c r="C230" s="76"/>
      <c r="D230" s="88"/>
      <c r="E230" s="106"/>
      <c r="F230" s="83"/>
      <c r="G230" s="150"/>
      <c r="I230" s="79"/>
    </row>
    <row r="231" spans="1:9" x14ac:dyDescent="0.2">
      <c r="A231" s="75"/>
      <c r="B231" s="75"/>
      <c r="C231" s="76"/>
      <c r="D231" s="88"/>
      <c r="E231" s="97"/>
      <c r="F231" s="137" t="str">
        <f>IF(PrikazNaslovaPodnaslovaEtaza=0,"Visine objekta","Visine objekta - novoprojektovanog stanja")</f>
        <v>Visine objekta</v>
      </c>
      <c r="G231" s="150"/>
      <c r="I231" s="79"/>
    </row>
    <row r="232" spans="1:9" x14ac:dyDescent="0.2">
      <c r="A232" s="75"/>
      <c r="B232" s="75"/>
      <c r="C232" s="76"/>
      <c r="D232" s="88"/>
      <c r="E232" s="97"/>
      <c r="F232" s="98"/>
      <c r="G232" s="150"/>
      <c r="I232" s="79"/>
    </row>
    <row r="233" spans="1:9" x14ac:dyDescent="0.2">
      <c r="A233" s="75"/>
      <c r="B233" s="75"/>
      <c r="C233" s="76"/>
      <c r="D233" s="88"/>
      <c r="E233"/>
      <c r="F233" s="86" t="s">
        <v>132</v>
      </c>
      <c r="G233" s="150"/>
      <c r="I233" s="79"/>
    </row>
    <row r="234" spans="1:9" x14ac:dyDescent="0.2">
      <c r="A234" s="75"/>
      <c r="B234" s="75"/>
      <c r="C234" s="76"/>
      <c r="D234" s="88"/>
      <c r="E234" s="89" t="str">
        <f>IF(nEtazaPo=0,"",IF(nSpratnaVisninaPo=0,"*",""))</f>
        <v/>
      </c>
      <c r="F234" s="108"/>
      <c r="G234" s="150"/>
      <c r="I234" s="79"/>
    </row>
    <row r="235" spans="1:9" x14ac:dyDescent="0.2">
      <c r="A235" s="75"/>
      <c r="B235" s="75"/>
      <c r="C235" s="76"/>
      <c r="D235" s="88"/>
      <c r="E235" s="97"/>
      <c r="F235" s="99" t="s">
        <v>131</v>
      </c>
      <c r="G235" s="150"/>
      <c r="I235" s="79"/>
    </row>
    <row r="236" spans="1:9" x14ac:dyDescent="0.2">
      <c r="A236" s="75"/>
      <c r="B236" s="75"/>
      <c r="C236" s="76"/>
      <c r="D236" s="88"/>
      <c r="E236" s="115"/>
      <c r="F236" s="98"/>
      <c r="G236" s="150"/>
      <c r="I236" s="79"/>
    </row>
    <row r="237" spans="1:9" x14ac:dyDescent="0.2">
      <c r="A237" s="75"/>
      <c r="B237" s="75"/>
      <c r="C237" s="76"/>
      <c r="D237" s="88"/>
      <c r="E237"/>
      <c r="F237" s="86" t="s">
        <v>133</v>
      </c>
      <c r="G237" s="150"/>
      <c r="I237" s="79"/>
    </row>
    <row r="238" spans="1:9" x14ac:dyDescent="0.2">
      <c r="A238" s="75"/>
      <c r="B238" s="75"/>
      <c r="C238" s="76"/>
      <c r="D238" s="88"/>
      <c r="E238" s="89" t="str">
        <f>IF(nEtazaSu=0,"",IF(nSpratnaVisninaSu=0,"*",""))</f>
        <v/>
      </c>
      <c r="F238" s="108"/>
      <c r="G238" s="150"/>
      <c r="I238" s="79"/>
    </row>
    <row r="239" spans="1:9" x14ac:dyDescent="0.2">
      <c r="A239" s="75"/>
      <c r="B239" s="75"/>
      <c r="C239" s="76"/>
      <c r="D239" s="88"/>
      <c r="E239" s="97"/>
      <c r="F239" s="99" t="s">
        <v>131</v>
      </c>
      <c r="G239" s="150"/>
      <c r="I239" s="79"/>
    </row>
    <row r="240" spans="1:9" x14ac:dyDescent="0.2">
      <c r="A240" s="75"/>
      <c r="B240" s="75"/>
      <c r="C240" s="76"/>
      <c r="D240" s="88"/>
      <c r="F240" s="81"/>
      <c r="G240" s="150"/>
      <c r="I240" s="79"/>
    </row>
    <row r="241" spans="1:9" x14ac:dyDescent="0.2">
      <c r="A241" s="75"/>
      <c r="B241" s="75"/>
      <c r="C241" s="76"/>
      <c r="D241" s="88"/>
      <c r="E241" s="97"/>
      <c r="F241" s="86" t="s">
        <v>134</v>
      </c>
      <c r="G241" s="150"/>
      <c r="I241" s="79"/>
    </row>
    <row r="242" spans="1:9" x14ac:dyDescent="0.2">
      <c r="A242" s="75"/>
      <c r="B242" s="75"/>
      <c r="C242" s="76"/>
      <c r="D242" s="88"/>
      <c r="E242" s="89" t="str">
        <f>IF(nEtazaPr=0,"",IF(nSpratnaVisninaPr=0,"*",""))</f>
        <v/>
      </c>
      <c r="F242" s="108"/>
      <c r="G242" s="150"/>
      <c r="I242" s="79"/>
    </row>
    <row r="243" spans="1:9" x14ac:dyDescent="0.2">
      <c r="A243" s="75"/>
      <c r="B243" s="75"/>
      <c r="C243" s="76"/>
      <c r="D243" s="88"/>
      <c r="E243" s="97"/>
      <c r="F243" s="99" t="s">
        <v>131</v>
      </c>
      <c r="G243" s="150"/>
      <c r="I243" s="79"/>
    </row>
    <row r="244" spans="1:9" x14ac:dyDescent="0.2">
      <c r="A244" s="76"/>
      <c r="B244" s="76"/>
      <c r="C244" s="76"/>
      <c r="D244" s="88"/>
      <c r="F244" s="81"/>
      <c r="G244" s="150"/>
      <c r="I244" s="79"/>
    </row>
    <row r="245" spans="1:9" x14ac:dyDescent="0.2">
      <c r="A245" s="75"/>
      <c r="B245" s="75"/>
      <c r="C245" s="76"/>
      <c r="D245" s="88"/>
      <c r="E245" s="97"/>
      <c r="F245" s="86" t="s">
        <v>135</v>
      </c>
      <c r="G245" s="150"/>
      <c r="I245" s="79"/>
    </row>
    <row r="246" spans="1:9" x14ac:dyDescent="0.2">
      <c r="A246" s="75"/>
      <c r="B246" s="75"/>
      <c r="C246" s="76"/>
      <c r="D246" s="88"/>
      <c r="E246" s="89" t="str">
        <f>IF(nEtazaS1=0,"",IF(nSpratnaVisninaS1=0,"*",""))</f>
        <v/>
      </c>
      <c r="F246" s="108"/>
      <c r="G246" s="150"/>
      <c r="I246" s="79"/>
    </row>
    <row r="247" spans="1:9" x14ac:dyDescent="0.2">
      <c r="A247" s="75"/>
      <c r="B247" s="75"/>
      <c r="C247" s="76"/>
      <c r="D247" s="88"/>
      <c r="E247" s="97"/>
      <c r="F247" s="99" t="s">
        <v>131</v>
      </c>
      <c r="G247" s="150"/>
      <c r="I247" s="79"/>
    </row>
    <row r="248" spans="1:9" x14ac:dyDescent="0.2">
      <c r="A248" s="75"/>
      <c r="B248" s="75"/>
      <c r="C248" s="76"/>
      <c r="D248" s="88"/>
      <c r="F248" s="81"/>
      <c r="G248" s="150"/>
      <c r="I248" s="79"/>
    </row>
    <row r="249" spans="1:9" x14ac:dyDescent="0.2">
      <c r="A249" s="75"/>
      <c r="B249" s="75"/>
      <c r="C249" s="76"/>
      <c r="D249" s="88"/>
      <c r="E249" s="97"/>
      <c r="F249" s="86" t="s">
        <v>136</v>
      </c>
      <c r="G249" s="150"/>
      <c r="I249" s="79"/>
    </row>
    <row r="250" spans="1:9" x14ac:dyDescent="0.2">
      <c r="A250" s="75"/>
      <c r="B250" s="75"/>
      <c r="C250" s="76"/>
      <c r="D250" s="88"/>
      <c r="E250" s="89" t="str">
        <f>IF(nEtazaS2=0,"",IF(nSpratnaVisninaS2=0,"*",""))</f>
        <v/>
      </c>
      <c r="F250" s="108"/>
      <c r="G250" s="150"/>
      <c r="I250" s="79"/>
    </row>
    <row r="251" spans="1:9" x14ac:dyDescent="0.2">
      <c r="A251" s="75"/>
      <c r="B251" s="75"/>
      <c r="C251" s="76"/>
      <c r="D251" s="88"/>
      <c r="E251" s="97"/>
      <c r="F251" s="99" t="s">
        <v>131</v>
      </c>
      <c r="G251" s="150"/>
      <c r="I251" s="79"/>
    </row>
    <row r="252" spans="1:9" x14ac:dyDescent="0.2">
      <c r="A252" s="75"/>
      <c r="B252" s="75"/>
      <c r="C252" s="76"/>
      <c r="D252" s="88"/>
      <c r="F252" s="81"/>
      <c r="G252" s="150"/>
      <c r="I252" s="79"/>
    </row>
    <row r="253" spans="1:9" x14ac:dyDescent="0.2">
      <c r="A253" s="75"/>
      <c r="B253" s="75"/>
      <c r="C253" s="76"/>
      <c r="D253" s="88"/>
      <c r="E253" s="97"/>
      <c r="F253" s="86" t="s">
        <v>137</v>
      </c>
      <c r="G253" s="150"/>
      <c r="I253" s="79"/>
    </row>
    <row r="254" spans="1:9" x14ac:dyDescent="0.2">
      <c r="A254" s="75"/>
      <c r="B254" s="75"/>
      <c r="C254" s="76"/>
      <c r="D254" s="88"/>
      <c r="E254" s="89" t="str">
        <f>IF(nEtazaS3=0,"",IF(nSpratnaVisninaS3=0,"*",""))</f>
        <v/>
      </c>
      <c r="F254" s="108"/>
      <c r="G254" s="150"/>
      <c r="I254" s="79"/>
    </row>
    <row r="255" spans="1:9" x14ac:dyDescent="0.2">
      <c r="A255" s="75"/>
      <c r="B255" s="75"/>
      <c r="C255" s="76"/>
      <c r="D255" s="88"/>
      <c r="E255" s="97"/>
      <c r="F255" s="99" t="s">
        <v>131</v>
      </c>
      <c r="G255" s="150"/>
      <c r="I255" s="79"/>
    </row>
    <row r="256" spans="1:9" x14ac:dyDescent="0.2">
      <c r="A256" s="75"/>
      <c r="B256" s="75"/>
      <c r="C256" s="76"/>
      <c r="D256" s="88"/>
      <c r="F256" s="81"/>
      <c r="G256" s="150"/>
      <c r="I256" s="79"/>
    </row>
    <row r="257" spans="1:9" x14ac:dyDescent="0.2">
      <c r="A257" s="75"/>
      <c r="B257" s="75"/>
      <c r="C257" s="76"/>
      <c r="D257" s="88"/>
      <c r="E257" s="97"/>
      <c r="F257" s="86" t="s">
        <v>138</v>
      </c>
      <c r="G257" s="150"/>
      <c r="I257" s="79"/>
    </row>
    <row r="258" spans="1:9" x14ac:dyDescent="0.2">
      <c r="A258" s="75"/>
      <c r="B258" s="75"/>
      <c r="C258" s="76"/>
      <c r="D258" s="88"/>
      <c r="E258" s="89" t="str">
        <f>IF(nEtazaS4=0,"",IF(nSpratnaVisninaS4=0,"*",""))</f>
        <v/>
      </c>
      <c r="F258" s="108"/>
      <c r="G258" s="150"/>
      <c r="I258" s="79"/>
    </row>
    <row r="259" spans="1:9" x14ac:dyDescent="0.2">
      <c r="A259" s="75"/>
      <c r="B259" s="75"/>
      <c r="C259" s="76"/>
      <c r="D259" s="88"/>
      <c r="E259" s="97"/>
      <c r="F259" s="99" t="s">
        <v>131</v>
      </c>
      <c r="G259" s="150"/>
      <c r="I259" s="79"/>
    </row>
    <row r="260" spans="1:9" x14ac:dyDescent="0.2">
      <c r="A260" s="75"/>
      <c r="B260" s="75"/>
      <c r="C260" s="76"/>
      <c r="D260" s="88"/>
      <c r="E260" s="97"/>
      <c r="F260" s="99"/>
      <c r="G260" s="150"/>
      <c r="I260" s="79"/>
    </row>
    <row r="261" spans="1:9" x14ac:dyDescent="0.2">
      <c r="A261" s="75"/>
      <c r="B261" s="75"/>
      <c r="C261" s="76"/>
      <c r="D261" s="88"/>
      <c r="E261" s="97"/>
      <c r="F261" s="86" t="s">
        <v>139</v>
      </c>
      <c r="G261" s="150"/>
      <c r="I261" s="79"/>
    </row>
    <row r="262" spans="1:9" x14ac:dyDescent="0.2">
      <c r="A262" s="75"/>
      <c r="B262" s="75"/>
      <c r="C262" s="76"/>
      <c r="D262" s="88"/>
      <c r="E262" s="89" t="str">
        <f>IF(nEtazaS5=0,"",IF(nSpratnaVisninaS5=0,"*",""))</f>
        <v/>
      </c>
      <c r="F262" s="108"/>
      <c r="G262" s="150"/>
      <c r="I262" s="79"/>
    </row>
    <row r="263" spans="1:9" x14ac:dyDescent="0.2">
      <c r="A263" s="75"/>
      <c r="B263" s="75"/>
      <c r="C263" s="76"/>
      <c r="D263" s="88"/>
      <c r="E263" s="97"/>
      <c r="F263" s="99" t="s">
        <v>131</v>
      </c>
      <c r="G263" s="150"/>
      <c r="I263" s="79"/>
    </row>
    <row r="264" spans="1:9" x14ac:dyDescent="0.2">
      <c r="A264" s="75"/>
      <c r="B264" s="75"/>
      <c r="C264" s="76"/>
      <c r="D264" s="88"/>
      <c r="E264" s="115"/>
      <c r="F264" s="159"/>
      <c r="G264" s="150"/>
      <c r="I264" s="79"/>
    </row>
    <row r="265" spans="1:9" x14ac:dyDescent="0.2">
      <c r="A265" s="75"/>
      <c r="B265" s="75"/>
      <c r="C265" s="76"/>
      <c r="D265" s="88"/>
      <c r="E265" s="97"/>
      <c r="F265" s="86" t="s">
        <v>167</v>
      </c>
      <c r="G265" s="150"/>
      <c r="I265" s="79"/>
    </row>
    <row r="266" spans="1:9" x14ac:dyDescent="0.2">
      <c r="A266" s="75"/>
      <c r="B266" s="75"/>
      <c r="C266" s="76"/>
      <c r="D266" s="88"/>
      <c r="E266" s="89" t="str">
        <f>IF(nEtazaPk=0,"",IF(nSpratnaVisninaPk=0,"*",""))</f>
        <v/>
      </c>
      <c r="F266" s="108"/>
      <c r="G266" s="150"/>
      <c r="I266" s="79"/>
    </row>
    <row r="267" spans="1:9" x14ac:dyDescent="0.2">
      <c r="A267" s="75"/>
      <c r="B267" s="75"/>
      <c r="C267" s="76"/>
      <c r="D267" s="88"/>
      <c r="E267" s="97"/>
      <c r="F267" s="99" t="s">
        <v>131</v>
      </c>
      <c r="G267" s="150"/>
      <c r="I267" s="79"/>
    </row>
    <row r="268" spans="1:9" x14ac:dyDescent="0.2">
      <c r="A268" s="75"/>
      <c r="B268" s="75"/>
      <c r="C268" s="76"/>
      <c r="D268" s="88"/>
      <c r="E268" s="97"/>
      <c r="F268" s="98"/>
      <c r="G268" s="150"/>
      <c r="I268" s="79"/>
    </row>
    <row r="269" spans="1:9" x14ac:dyDescent="0.2">
      <c r="A269" s="75"/>
      <c r="B269" s="75"/>
      <c r="C269" s="76"/>
      <c r="D269" s="88"/>
      <c r="E269" s="97"/>
      <c r="F269" s="86" t="s">
        <v>125</v>
      </c>
      <c r="G269" s="150"/>
      <c r="I269" s="79"/>
    </row>
    <row r="270" spans="1:9" x14ac:dyDescent="0.2">
      <c r="A270" s="75"/>
      <c r="B270" s="75"/>
      <c r="C270" s="76"/>
      <c r="D270" s="88"/>
      <c r="E270" s="89" t="str">
        <f>IF(PrikazNaslovaPodnaslovaEtaza=0,"",IF(nVisinaVenca=0,"*",""))</f>
        <v/>
      </c>
      <c r="F270" s="108"/>
      <c r="G270" s="150"/>
      <c r="I270" s="79"/>
    </row>
    <row r="271" spans="1:9" x14ac:dyDescent="0.2">
      <c r="A271" s="75"/>
      <c r="B271" s="75"/>
      <c r="C271" s="76"/>
      <c r="D271" s="88"/>
      <c r="E271" s="97"/>
      <c r="F271" s="99" t="s">
        <v>140</v>
      </c>
      <c r="G271" s="150"/>
      <c r="I271" s="79"/>
    </row>
    <row r="272" spans="1:9" x14ac:dyDescent="0.2">
      <c r="A272" s="75"/>
      <c r="B272" s="75"/>
      <c r="C272" s="76"/>
      <c r="D272" s="88"/>
      <c r="F272" s="81"/>
      <c r="G272" s="150"/>
      <c r="I272" s="79"/>
    </row>
    <row r="273" spans="1:9" x14ac:dyDescent="0.2">
      <c r="A273" s="75"/>
      <c r="B273" s="75"/>
      <c r="C273" s="76"/>
      <c r="D273" s="88"/>
      <c r="E273" s="97"/>
      <c r="F273" s="86" t="s">
        <v>126</v>
      </c>
      <c r="G273" s="150"/>
      <c r="I273" s="79"/>
    </row>
    <row r="274" spans="1:9" x14ac:dyDescent="0.2">
      <c r="A274" s="75"/>
      <c r="B274" s="75"/>
      <c r="C274" s="76"/>
      <c r="D274" s="88"/>
      <c r="E274" s="89" t="str">
        <f>IF(PrikazNaslovaPodnaslovaEtaza=0,"",IF(nVisinaSlemena=0,"*",""))</f>
        <v/>
      </c>
      <c r="F274" s="108"/>
      <c r="G274" s="150"/>
      <c r="I274" s="79"/>
    </row>
    <row r="275" spans="1:9" x14ac:dyDescent="0.2">
      <c r="A275" s="75"/>
      <c r="B275" s="75"/>
      <c r="C275" s="76"/>
      <c r="D275" s="88"/>
      <c r="E275" s="97"/>
      <c r="F275" s="99" t="s">
        <v>141</v>
      </c>
      <c r="G275" s="88"/>
      <c r="I275" s="79"/>
    </row>
    <row r="276" spans="1:9" ht="15.75" thickBot="1" x14ac:dyDescent="0.25">
      <c r="A276" s="75"/>
      <c r="B276" s="75"/>
      <c r="C276" s="76"/>
      <c r="D276" s="88"/>
      <c r="E276" s="104"/>
      <c r="F276" s="138"/>
      <c r="G276" s="105"/>
      <c r="I276" s="79"/>
    </row>
    <row r="277" spans="1:9" x14ac:dyDescent="0.2">
      <c r="A277" s="75"/>
      <c r="B277" s="75"/>
      <c r="C277" s="76"/>
      <c r="F277" s="81"/>
      <c r="I277" s="79"/>
    </row>
    <row r="278" spans="1:9" x14ac:dyDescent="0.2">
      <c r="A278" s="75"/>
      <c r="B278" s="75"/>
      <c r="C278" s="76"/>
      <c r="F278" s="78" t="s">
        <v>127</v>
      </c>
      <c r="I278" s="111"/>
    </row>
    <row r="279" spans="1:9" ht="15" customHeight="1" x14ac:dyDescent="0.2">
      <c r="A279" s="75"/>
      <c r="B279" s="75"/>
      <c r="C279" s="76"/>
      <c r="D279" s="97"/>
      <c r="E279" s="97"/>
      <c r="F279" s="98"/>
      <c r="G279" s="97"/>
      <c r="I279" s="111"/>
    </row>
    <row r="280" spans="1:9" ht="15.75" thickBot="1" x14ac:dyDescent="0.25">
      <c r="A280" s="75"/>
      <c r="B280" s="75"/>
      <c r="C280" s="76"/>
      <c r="E280" s="139" t="s">
        <v>122</v>
      </c>
      <c r="F280" s="114"/>
      <c r="G280" s="140"/>
      <c r="I280" s="111"/>
    </row>
    <row r="281" spans="1:9" x14ac:dyDescent="0.2">
      <c r="A281" s="75"/>
      <c r="B281" s="75"/>
      <c r="C281" s="76"/>
      <c r="D281" s="81"/>
      <c r="E281" s="141"/>
      <c r="F281" s="142"/>
      <c r="G281" s="143"/>
      <c r="H281" s="81"/>
      <c r="I281" s="111"/>
    </row>
    <row r="282" spans="1:9" ht="120" customHeight="1" x14ac:dyDescent="0.2">
      <c r="A282" s="75"/>
      <c r="B282" s="75"/>
      <c r="C282" s="76"/>
      <c r="D282" s="81"/>
      <c r="E282" s="144"/>
      <c r="F282" s="114"/>
      <c r="G282" s="145"/>
      <c r="H282" s="81"/>
      <c r="I282" s="111"/>
    </row>
    <row r="283" spans="1:9" ht="15.75" thickBot="1" x14ac:dyDescent="0.25">
      <c r="A283" s="75"/>
      <c r="B283" s="75"/>
      <c r="C283" s="76"/>
      <c r="E283" s="109"/>
      <c r="F283" s="110"/>
      <c r="G283" s="146"/>
      <c r="I283" s="111"/>
    </row>
    <row r="284" spans="1:9" x14ac:dyDescent="0.2">
      <c r="A284" s="75"/>
      <c r="B284" s="75"/>
      <c r="C284" s="76"/>
      <c r="D284" s="97"/>
      <c r="E284" s="114"/>
      <c r="F284" s="114"/>
      <c r="G284" s="140"/>
      <c r="I284" s="111"/>
    </row>
    <row r="285" spans="1:9" ht="15.75" thickBot="1" x14ac:dyDescent="0.25">
      <c r="A285" s="75"/>
      <c r="B285" s="75"/>
      <c r="C285" s="76"/>
      <c r="E285" s="139" t="s">
        <v>185</v>
      </c>
      <c r="F285" s="114"/>
      <c r="G285" s="140"/>
      <c r="I285" s="111"/>
    </row>
    <row r="286" spans="1:9" x14ac:dyDescent="0.2">
      <c r="A286" s="75"/>
      <c r="B286" s="75"/>
      <c r="C286" s="76"/>
      <c r="D286" s="81"/>
      <c r="E286" s="141"/>
      <c r="F286" s="142"/>
      <c r="G286" s="143"/>
      <c r="H286" s="81"/>
      <c r="I286" s="111"/>
    </row>
    <row r="287" spans="1:9" ht="120" customHeight="1" x14ac:dyDescent="0.2">
      <c r="A287" s="75"/>
      <c r="B287" s="75"/>
      <c r="C287" s="76"/>
      <c r="D287" s="81"/>
      <c r="E287" s="144"/>
      <c r="F287" s="114"/>
      <c r="G287" s="145"/>
      <c r="H287" s="81"/>
      <c r="I287" s="111"/>
    </row>
    <row r="288" spans="1:9" ht="15.75" thickBot="1" x14ac:dyDescent="0.25">
      <c r="A288" s="75"/>
      <c r="B288" s="75"/>
      <c r="C288" s="76"/>
      <c r="E288" s="109"/>
      <c r="F288" s="110"/>
      <c r="G288" s="146"/>
      <c r="I288" s="111"/>
    </row>
    <row r="289" spans="1:9" x14ac:dyDescent="0.2">
      <c r="A289" s="75"/>
      <c r="B289" s="75"/>
      <c r="C289" s="76"/>
      <c r="D289" s="97"/>
      <c r="E289" s="114"/>
      <c r="F289" s="114"/>
      <c r="G289" s="140"/>
      <c r="I289" s="111"/>
    </row>
    <row r="290" spans="1:9" ht="15.75" thickBot="1" x14ac:dyDescent="0.25">
      <c r="A290" s="75"/>
      <c r="B290" s="75"/>
      <c r="C290" s="76"/>
      <c r="D290" s="97"/>
      <c r="E290" s="139" t="s">
        <v>124</v>
      </c>
      <c r="F290" s="114"/>
      <c r="G290" s="140"/>
      <c r="I290" s="111"/>
    </row>
    <row r="291" spans="1:9" x14ac:dyDescent="0.2">
      <c r="A291" s="76"/>
      <c r="B291" s="76"/>
      <c r="C291" s="76"/>
      <c r="E291" s="147"/>
      <c r="F291" s="142"/>
      <c r="G291" s="143"/>
      <c r="I291" s="111"/>
    </row>
    <row r="292" spans="1:9" ht="120" customHeight="1" x14ac:dyDescent="0.2">
      <c r="A292" s="75"/>
      <c r="B292" s="75"/>
      <c r="C292" s="76"/>
      <c r="D292"/>
      <c r="E292" s="148"/>
      <c r="F292" s="149"/>
      <c r="G292" s="150"/>
      <c r="H292"/>
      <c r="I292" s="20"/>
    </row>
    <row r="293" spans="1:9" ht="15.75" thickBot="1" x14ac:dyDescent="0.25">
      <c r="A293" s="75"/>
      <c r="B293" s="75"/>
      <c r="C293" s="75"/>
      <c r="D293"/>
      <c r="E293" s="151"/>
      <c r="F293" s="152"/>
      <c r="G293" s="153"/>
      <c r="H293"/>
      <c r="I293" s="20"/>
    </row>
    <row r="294" spans="1:9" x14ac:dyDescent="0.2">
      <c r="A294" s="75"/>
      <c r="B294" s="75"/>
      <c r="C294" s="75"/>
      <c r="D294" s="97"/>
      <c r="E294" s="114"/>
      <c r="F294" s="114"/>
      <c r="G294" s="140"/>
      <c r="I294" s="111"/>
    </row>
    <row r="295" spans="1:9" ht="15.75" thickBot="1" x14ac:dyDescent="0.25">
      <c r="A295" s="75"/>
      <c r="B295" s="75"/>
      <c r="C295" s="75"/>
      <c r="D295" s="97"/>
      <c r="E295" s="139" t="s">
        <v>183</v>
      </c>
      <c r="F295" s="114"/>
      <c r="G295" s="140"/>
      <c r="I295" s="111"/>
    </row>
    <row r="296" spans="1:9" x14ac:dyDescent="0.2">
      <c r="A296" s="76"/>
      <c r="B296" s="76"/>
      <c r="C296" s="76"/>
      <c r="E296" s="147"/>
      <c r="F296" s="142"/>
      <c r="G296" s="143"/>
      <c r="I296" s="111"/>
    </row>
    <row r="297" spans="1:9" ht="120" customHeight="1" x14ac:dyDescent="0.2">
      <c r="A297" s="75"/>
      <c r="B297" s="75"/>
      <c r="C297" s="76"/>
      <c r="D297"/>
      <c r="E297" s="148"/>
      <c r="F297" s="149"/>
      <c r="G297" s="150"/>
      <c r="H297"/>
      <c r="I297" s="20"/>
    </row>
    <row r="298" spans="1:9" ht="15.75" thickBot="1" x14ac:dyDescent="0.25">
      <c r="A298" s="75"/>
      <c r="B298" s="75"/>
      <c r="C298" s="75"/>
      <c r="D298"/>
      <c r="E298" s="151"/>
      <c r="F298" s="152"/>
      <c r="G298" s="153"/>
      <c r="H298"/>
      <c r="I298" s="20"/>
    </row>
    <row r="299" spans="1:9" x14ac:dyDescent="0.2">
      <c r="A299" s="75"/>
      <c r="B299" s="75"/>
      <c r="C299" s="75"/>
      <c r="D299"/>
      <c r="E299"/>
      <c r="F299"/>
      <c r="G299"/>
      <c r="H299"/>
      <c r="I299" s="20"/>
    </row>
    <row r="300" spans="1:9" x14ac:dyDescent="0.2">
      <c r="A300" s="154"/>
      <c r="B300" s="154"/>
      <c r="C300" s="154"/>
      <c r="D300" s="154"/>
      <c r="E300" s="154"/>
      <c r="F300" s="154"/>
      <c r="G300" s="154"/>
      <c r="H300" s="154"/>
      <c r="I300" s="154"/>
    </row>
  </sheetData>
  <sheetProtection selectLockedCells="1"/>
  <dataValidations count="15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Podrum" error="Vrednost mora biti brojčana, broj sa decimalnim zarezom i čiji je opseg od 1 do 999999." sqref="F109 F148 F187 F234">
      <formula1>1</formula1>
      <formula2>999999</formula2>
    </dataValidation>
    <dataValidation type="decimal" allowBlank="1" showInputMessage="1" showErrorMessage="1" errorTitle="Suteren" error="Vrednost mora biti brojčana, broj sa decimalnim zarezom i čiji je opseg od 1 do 999999." sqref="F113 F152 F191 F238">
      <formula1>1</formula1>
      <formula2>999999</formula2>
    </dataValidation>
    <dataValidation type="decimal" allowBlank="1" showInputMessage="1" showErrorMessage="1" errorTitle="Drugi sprat" error="Vrednost mora biti brojčana, broj sa decimalnim zarezom i čiji je opseg od 1 do 999999." sqref="F125 F164 F203 F250">
      <formula1>1</formula1>
      <formula2>999999</formula2>
    </dataValidation>
    <dataValidation type="decimal" allowBlank="1" showInputMessage="1" showErrorMessage="1" errorTitle="Prizemlje" error="Vrednost mora biti brojčana, broj sa decimalnim zarezom i čiji je opseg od 1 do 999999." sqref="F117 F156 F195 F242">
      <formula1>1</formula1>
      <formula2>999999</formula2>
    </dataValidation>
    <dataValidation type="decimal" allowBlank="1" showInputMessage="1" showErrorMessage="1" errorTitle="Prvi sprat" error="Vrednost mora biti brojčana, broj sa decimalnim zarezom i čiji je opseg od 1 do 999999." sqref="F121 F160 F199 F246">
      <formula1>1</formula1>
      <formula2>999999</formula2>
    </dataValidation>
    <dataValidation type="decimal" allowBlank="1" showInputMessage="1" showErrorMessage="1" errorTitle="Treći sprat" error="Vrednost mora biti brojčana, broj sa decimalnim zarezom i čiji je opseg od 1 do 999999." sqref="F129 F168 F207 F254">
      <formula1>1</formula1>
      <formula2>999999</formula2>
    </dataValidation>
    <dataValidation type="decimal" allowBlank="1" showInputMessage="1" showErrorMessage="1" errorTitle="Četvrti sprat" error="Vrednost mora biti brojčana, broj sa decimalnim zarezom i čiji je opseg od 1 do 999999." sqref="F133 F172 F211 F258">
      <formula1>1</formula1>
      <formula2>999999</formula2>
    </dataValidation>
    <dataValidation type="decimal" allowBlank="1" showInputMessage="1" showErrorMessage="1" errorTitle="Peti sprat" error="Vrednost mora biti brojčana, broj sa decimalnim zarezom i čiji je opseg od 1 do 999999." sqref="F137 F176 F215 F262">
      <formula1>1</formula1>
      <formula2>999999</formula2>
    </dataValidation>
    <dataValidation type="decimal" allowBlank="1" showInputMessage="1" showErrorMessage="1" errorTitle="Vivina slemena" error="Vrednost mora biti brojčana, broj sa decimalnim zarezom i čiji je opseg od 1 do 999999." sqref="F274">
      <formula1>1</formula1>
      <formula2>999999</formula2>
    </dataValidation>
    <dataValidation type="whole" allowBlank="1" showInputMessage="1" showErrorMessage="1" errorTitle="Prikaz naslova i podnalsova" error="Vrednost mora biti brojčana, prirodan broj i čiji je opseg od 0 do 1." sqref="G102 C32:C39 C42:C49">
      <formula1>0</formula1>
      <formula2>1</formula2>
    </dataValidation>
    <dataValidation type="decimal" allowBlank="1" showInputMessage="1" showErrorMessage="1" errorTitle="Visina venca" error="Vrednost mora biti brojčana, broj sa decimalnim zarezom i čiji je opseg od 1 do 999999." sqref="F223 F270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Potkrovlje" error="Vrednost mora biti brojčana, broj sa decimalnim zarezom i čiji je opseg od 1 do 999999." sqref="F141 F180 F219 F266">
      <formula1>1</formula1>
      <formula2>999999</formula2>
    </dataValidation>
    <dataValidation type="whole" allowBlank="1" showInputMessage="1" showErrorMessage="1" errorTitle="Potkrovlje" error="Vrednost mora biti brojčana, prirodan broj i čiji je opseg od 0 do 1." sqref="C40 C50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91" width="2.21875" style="2" customWidth="1"/>
    <col min="192" max="16384" width="8.88671875" style="2"/>
  </cols>
  <sheetData>
    <row r="1" spans="3:5" s="1" customFormat="1" ht="30" customHeight="1" thickBot="1" x14ac:dyDescent="0.25">
      <c r="C1" s="178"/>
      <c r="D1" s="178"/>
      <c r="E1" s="178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9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s="9" customFormat="1" x14ac:dyDescent="0.2">
      <c r="C15" s="20"/>
      <c r="D15" s="8" t="str">
        <f>IF(Investitor=0,"...","")</f>
        <v>...</v>
      </c>
      <c r="E15" s="5"/>
    </row>
    <row r="16" spans="3:5" x14ac:dyDescent="0.2">
      <c r="C16" s="20"/>
      <c r="D16" s="10" t="s">
        <v>0</v>
      </c>
      <c r="E16" s="5"/>
    </row>
    <row r="17" spans="3:5" x14ac:dyDescent="0.2">
      <c r="C17" s="20"/>
      <c r="D17" s="11" t="str">
        <f>IF(Objekat=0,"...","")</f>
        <v>...</v>
      </c>
      <c r="E17" s="5"/>
    </row>
    <row r="18" spans="3:5" x14ac:dyDescent="0.2">
      <c r="C18" s="20"/>
      <c r="D18" s="10" t="s">
        <v>1</v>
      </c>
      <c r="E18" s="5"/>
    </row>
    <row r="19" spans="3:5" x14ac:dyDescent="0.2">
      <c r="C19" s="20"/>
      <c r="D19" s="6" t="s">
        <v>168</v>
      </c>
      <c r="E19" s="5"/>
    </row>
    <row r="20" spans="3:5" x14ac:dyDescent="0.2">
      <c r="C20" s="20"/>
      <c r="D20" s="10" t="s">
        <v>2</v>
      </c>
      <c r="E20" s="5"/>
    </row>
    <row r="21" spans="3:5" x14ac:dyDescent="0.2">
      <c r="C21" s="20"/>
      <c r="D21" s="6" t="s">
        <v>10</v>
      </c>
      <c r="E21" s="5"/>
    </row>
    <row r="22" spans="3:5" x14ac:dyDescent="0.2">
      <c r="C22" s="20"/>
      <c r="D22" s="10" t="s">
        <v>3</v>
      </c>
      <c r="E22" s="5"/>
    </row>
    <row r="23" spans="3:5" x14ac:dyDescent="0.2">
      <c r="C23" s="20"/>
      <c r="D23" s="12" t="str">
        <f>IF(VrstaRadova=0,"...","")</f>
        <v>...</v>
      </c>
      <c r="E23" s="5"/>
    </row>
    <row r="24" spans="3:5" x14ac:dyDescent="0.2">
      <c r="C24" s="20"/>
      <c r="D24" s="13" t="s">
        <v>4</v>
      </c>
      <c r="E24" s="5"/>
    </row>
    <row r="25" spans="3:5" x14ac:dyDescent="0.2">
      <c r="C25" s="20"/>
      <c r="D25" s="12" t="str">
        <f>IF(ProjektnaOrganizacijaA=0,"...",ProjektnaOrganizacijaA)</f>
        <v>...</v>
      </c>
      <c r="E25" s="5"/>
    </row>
    <row r="26" spans="3:5" x14ac:dyDescent="0.2">
      <c r="C26" s="20"/>
      <c r="D26" s="10" t="s">
        <v>5</v>
      </c>
      <c r="E26" s="5"/>
    </row>
    <row r="27" spans="3:5" x14ac:dyDescent="0.2">
      <c r="C27" s="20"/>
      <c r="D27" s="6"/>
      <c r="E27" s="5"/>
    </row>
    <row r="28" spans="3:5" x14ac:dyDescent="0.2">
      <c r="C28" s="20"/>
      <c r="D28" s="6"/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12" t="str">
        <f>IF(OdgovornoLiceA=0,"...","")</f>
        <v>...</v>
      </c>
      <c r="E31" s="5"/>
    </row>
    <row r="32" spans="3:5" x14ac:dyDescent="0.2">
      <c r="C32" s="20"/>
      <c r="D32" s="13" t="s">
        <v>6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12" t="str">
        <f>IF(OdgovorniProjektantA=0,"...","")</f>
        <v>...</v>
      </c>
      <c r="E39" s="5"/>
    </row>
    <row r="40" spans="3:5" x14ac:dyDescent="0.2">
      <c r="C40" s="20"/>
      <c r="D40" s="13" t="s">
        <v>44</v>
      </c>
      <c r="E40" s="5"/>
    </row>
    <row r="41" spans="3:5" x14ac:dyDescent="0.2">
      <c r="C41" s="20"/>
      <c r="D41" s="6"/>
      <c r="E41" s="5"/>
    </row>
    <row r="42" spans="3:5" x14ac:dyDescent="0.2">
      <c r="C42" s="20"/>
      <c r="D42" s="6"/>
      <c r="E42" s="5"/>
    </row>
    <row r="43" spans="3:5" x14ac:dyDescent="0.2">
      <c r="C43" s="20"/>
      <c r="D43" s="12" t="str">
        <f>IF(EvidencioniBroj=0,"...","")</f>
        <v>...</v>
      </c>
      <c r="E43" s="5"/>
    </row>
    <row r="44" spans="3:5" x14ac:dyDescent="0.2">
      <c r="C44" s="20"/>
      <c r="D44" s="10" t="s">
        <v>7</v>
      </c>
      <c r="E44" s="5"/>
    </row>
    <row r="45" spans="3:5" x14ac:dyDescent="0.2">
      <c r="C45" s="20"/>
      <c r="D45" s="12" t="str">
        <f>IF(OR(Datum=0,Mesto=0),"...",Mesto&amp;", "&amp;TEXT(Datum,"DD.MM.YYYY")&amp;". godine")</f>
        <v>...</v>
      </c>
      <c r="E45" s="5"/>
    </row>
    <row r="46" spans="3:5" x14ac:dyDescent="0.2">
      <c r="C46" s="20"/>
      <c r="D46" s="10" t="s">
        <v>8</v>
      </c>
      <c r="E46" s="5"/>
    </row>
    <row r="47" spans="3:5" x14ac:dyDescent="0.2">
      <c r="C47" s="14"/>
      <c r="D47" s="14"/>
      <c r="E47" s="14"/>
    </row>
    <row r="96" ht="15" customHeight="1" x14ac:dyDescent="0.2"/>
    <row r="178" ht="15.75" customHeight="1" x14ac:dyDescent="0.2"/>
    <row r="199" ht="15" customHeight="1" x14ac:dyDescent="0.2"/>
  </sheetData>
  <mergeCells count="1">
    <mergeCell ref="C1:E1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E4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ColWidth="2.21875" defaultRowHeight="15" x14ac:dyDescent="0.2"/>
  <cols>
    <col min="1" max="3" width="2.21875" style="16" customWidth="1"/>
    <col min="4" max="4" width="69.77734375" style="16" customWidth="1"/>
    <col min="5" max="5" width="2.21875" style="16" customWidth="1"/>
  </cols>
  <sheetData>
    <row r="1" spans="1:5" s="1" customFormat="1" ht="30" customHeight="1" thickBot="1" x14ac:dyDescent="0.25">
      <c r="A1" s="15"/>
      <c r="B1" s="15"/>
      <c r="C1" s="179"/>
      <c r="D1" s="179"/>
      <c r="E1" s="179"/>
    </row>
    <row r="2" spans="1:5" ht="15.75" thickTop="1" x14ac:dyDescent="0.2"/>
    <row r="7" spans="1:5" x14ac:dyDescent="0.2">
      <c r="C7" s="3"/>
      <c r="D7" s="3"/>
      <c r="E7" s="3"/>
    </row>
    <row r="8" spans="1:5" x14ac:dyDescent="0.2">
      <c r="C8" s="4"/>
      <c r="D8" s="4"/>
      <c r="E8" s="4"/>
    </row>
    <row r="9" spans="1:5" x14ac:dyDescent="0.2">
      <c r="C9" s="20"/>
      <c r="D9" s="164"/>
      <c r="E9" s="5"/>
    </row>
    <row r="10" spans="1:5" x14ac:dyDescent="0.2">
      <c r="C10" s="20"/>
      <c r="D10" s="164"/>
      <c r="E10" s="5"/>
    </row>
    <row r="11" spans="1:5" ht="31.5" x14ac:dyDescent="0.25">
      <c r="C11" s="20"/>
      <c r="D11" s="22" t="s">
        <v>186</v>
      </c>
      <c r="E11" s="5"/>
    </row>
    <row r="12" spans="1:5" x14ac:dyDescent="0.2">
      <c r="C12" s="20"/>
      <c r="D12" s="164"/>
      <c r="E12" s="5"/>
    </row>
    <row r="13" spans="1:5" x14ac:dyDescent="0.2">
      <c r="C13" s="20"/>
      <c r="D13" s="164"/>
      <c r="E13" s="5"/>
    </row>
    <row r="14" spans="1:5" x14ac:dyDescent="0.2">
      <c r="C14" s="20"/>
      <c r="D14" s="164"/>
      <c r="E14" s="5"/>
    </row>
    <row r="15" spans="1:5" x14ac:dyDescent="0.2">
      <c r="C15" s="20"/>
      <c r="D15" s="164" t="str">
        <f>IF(OR(ObjekatIzKonteksta=0,VrstaRadovaIzKonteksta=0),"...","Odgovorni vršilac tehničke kontrole projekta arhitekture koji je deo Idejnog rešenja (IDR) za, " &amp;VrstaRadovaIzKonteksta &amp; " " &amp;ObjekatIzKonteksta &amp; ",")</f>
        <v>...</v>
      </c>
      <c r="E15" s="5"/>
    </row>
    <row r="16" spans="1:5" x14ac:dyDescent="0.2">
      <c r="C16" s="20"/>
      <c r="D16" s="164"/>
      <c r="E16" s="5"/>
    </row>
    <row r="17" spans="3:5" x14ac:dyDescent="0.2">
      <c r="C17" s="20"/>
      <c r="D17" s="164"/>
      <c r="E17" s="5"/>
    </row>
    <row r="18" spans="3:5" x14ac:dyDescent="0.2">
      <c r="C18" s="20"/>
      <c r="D18" s="164"/>
      <c r="E18" s="5"/>
    </row>
    <row r="19" spans="3:5" x14ac:dyDescent="0.2">
      <c r="C19" s="20"/>
      <c r="D19" s="23" t="str">
        <f>IF(RevidentA=0,"...","")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164"/>
      <c r="E21" s="5"/>
    </row>
    <row r="22" spans="3:5" x14ac:dyDescent="0.2">
      <c r="C22" s="20"/>
      <c r="D22" s="164"/>
      <c r="E22" s="5"/>
    </row>
    <row r="23" spans="3:5" x14ac:dyDescent="0.2">
      <c r="C23" s="20"/>
      <c r="D23" s="164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164"/>
      <c r="E25" s="5"/>
    </row>
    <row r="26" spans="3:5" x14ac:dyDescent="0.2">
      <c r="C26" s="20"/>
      <c r="D26" s="164"/>
      <c r="E26" s="5"/>
    </row>
    <row r="27" spans="3:5" x14ac:dyDescent="0.2">
      <c r="C27" s="20"/>
      <c r="D27" s="164"/>
      <c r="E27" s="5"/>
    </row>
    <row r="28" spans="3:5" x14ac:dyDescent="0.2">
      <c r="C28" s="20"/>
      <c r="D28" s="12" t="str">
        <f>IF(OR(ObjekatIzKonteksta=0,VrstaRadovaIzKonteksta=0),"...","da projekat arhitekture koji je deo Idejno rešenje (IDR) za, " &amp;VrstaRadovaIzKonteksta &amp; " " &amp;ObjekatIzKonteksta &amp; ", se prihvata.")</f>
        <v>...</v>
      </c>
      <c r="E28" s="5"/>
    </row>
    <row r="29" spans="3:5" x14ac:dyDescent="0.2">
      <c r="C29" s="20"/>
      <c r="D29" s="164"/>
      <c r="E29" s="5"/>
    </row>
    <row r="30" spans="3:5" x14ac:dyDescent="0.2">
      <c r="C30" s="20"/>
      <c r="D30" s="164"/>
      <c r="E30" s="5"/>
    </row>
    <row r="31" spans="3:5" x14ac:dyDescent="0.2">
      <c r="C31" s="20"/>
      <c r="D31" s="164"/>
      <c r="E31" s="5"/>
    </row>
    <row r="32" spans="3:5" x14ac:dyDescent="0.2">
      <c r="C32" s="20"/>
      <c r="D32" s="25" t="str">
        <f>IF(ProjektnaOrganizacijaR=0,"...",ProjektnaOrganizacijaR)</f>
        <v>...</v>
      </c>
      <c r="E32" s="5"/>
    </row>
    <row r="33" spans="3:5" x14ac:dyDescent="0.2">
      <c r="C33" s="20"/>
      <c r="D33" s="10" t="s">
        <v>187</v>
      </c>
      <c r="E33" s="5"/>
    </row>
    <row r="34" spans="3:5" x14ac:dyDescent="0.2">
      <c r="C34" s="20"/>
      <c r="D34" s="164"/>
      <c r="E34" s="5"/>
    </row>
    <row r="35" spans="3:5" x14ac:dyDescent="0.2">
      <c r="C35" s="20"/>
      <c r="D35" s="164"/>
      <c r="E35" s="5"/>
    </row>
    <row r="36" spans="3:5" x14ac:dyDescent="0.2">
      <c r="C36" s="20"/>
      <c r="D36" s="164"/>
      <c r="E36" s="5"/>
    </row>
    <row r="37" spans="3:5" x14ac:dyDescent="0.2">
      <c r="C37" s="20"/>
      <c r="D37" s="164"/>
      <c r="E37" s="5"/>
    </row>
    <row r="38" spans="3:5" x14ac:dyDescent="0.2">
      <c r="C38" s="20"/>
      <c r="D38" s="164" t="str">
        <f>IF(RevidentA=0,"...","")</f>
        <v>...</v>
      </c>
      <c r="E38" s="5"/>
    </row>
    <row r="39" spans="3:5" x14ac:dyDescent="0.2">
      <c r="C39" s="20"/>
      <c r="D39" s="13" t="s">
        <v>183</v>
      </c>
      <c r="E39" s="5"/>
    </row>
    <row r="40" spans="3:5" x14ac:dyDescent="0.2">
      <c r="C40" s="5"/>
      <c r="D40" s="164"/>
      <c r="E40" s="5"/>
    </row>
    <row r="41" spans="3:5" x14ac:dyDescent="0.2">
      <c r="C41" s="14"/>
      <c r="D41" s="14"/>
      <c r="E41" s="14"/>
    </row>
  </sheetData>
  <mergeCells count="1">
    <mergeCell ref="C1:E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F16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.77734375" style="16" customWidth="1"/>
    <col min="5" max="5" width="61.77734375" style="16" customWidth="1"/>
    <col min="6" max="187" width="2.21875" style="16" customWidth="1"/>
    <col min="188" max="16384" width="8.88671875" style="16"/>
  </cols>
  <sheetData>
    <row r="1" spans="3:6" s="15" customFormat="1" ht="30" customHeight="1" thickBot="1" x14ac:dyDescent="0.25">
      <c r="C1" s="179"/>
      <c r="D1" s="179"/>
      <c r="E1" s="179"/>
      <c r="F1" s="179"/>
    </row>
    <row r="2" spans="3:6" ht="15.75" thickTop="1" x14ac:dyDescent="0.2"/>
    <row r="7" spans="3:6" x14ac:dyDescent="0.2">
      <c r="C7" s="3"/>
      <c r="D7" s="3"/>
      <c r="E7" s="3"/>
      <c r="F7" s="3"/>
    </row>
    <row r="8" spans="3:6" x14ac:dyDescent="0.2">
      <c r="C8" s="4"/>
      <c r="D8" s="4"/>
      <c r="E8" s="4"/>
      <c r="F8" s="4"/>
    </row>
    <row r="9" spans="3:6" x14ac:dyDescent="0.2">
      <c r="C9" s="5"/>
      <c r="D9" s="17"/>
      <c r="E9" s="18"/>
      <c r="F9" s="5"/>
    </row>
    <row r="10" spans="3:6" x14ac:dyDescent="0.2">
      <c r="C10" s="5"/>
      <c r="D10" s="17"/>
      <c r="E10" s="18"/>
      <c r="F10" s="5"/>
    </row>
    <row r="11" spans="3:6" ht="15.75" x14ac:dyDescent="0.25">
      <c r="C11" s="5"/>
      <c r="D11" s="180" t="s">
        <v>11</v>
      </c>
      <c r="E11" s="180"/>
      <c r="F11" s="5"/>
    </row>
    <row r="12" spans="3:6" x14ac:dyDescent="0.2">
      <c r="C12" s="5"/>
      <c r="D12" s="17"/>
      <c r="E12" s="18"/>
      <c r="F12" s="5"/>
    </row>
    <row r="13" spans="3:6" x14ac:dyDescent="0.2">
      <c r="C13" s="5"/>
      <c r="D13" s="17"/>
      <c r="E13" s="18"/>
      <c r="F13" s="5"/>
    </row>
    <row r="14" spans="3:6" x14ac:dyDescent="0.2">
      <c r="C14" s="5"/>
      <c r="D14" s="17"/>
      <c r="E14" s="18"/>
      <c r="F14" s="5"/>
    </row>
    <row r="15" spans="3:6" x14ac:dyDescent="0.2">
      <c r="C15" s="5"/>
      <c r="D15" s="18" t="s">
        <v>12</v>
      </c>
      <c r="E15" s="18" t="s">
        <v>13</v>
      </c>
      <c r="F15" s="5"/>
    </row>
    <row r="16" spans="3:6" x14ac:dyDescent="0.2">
      <c r="C16" s="5"/>
      <c r="D16" s="18"/>
      <c r="E16" s="18"/>
      <c r="F16" s="5"/>
    </row>
    <row r="17" spans="3:6" x14ac:dyDescent="0.2">
      <c r="C17" s="5"/>
      <c r="D17" s="18" t="s">
        <v>14</v>
      </c>
      <c r="E17" s="18" t="s">
        <v>15</v>
      </c>
      <c r="F17" s="5"/>
    </row>
    <row r="18" spans="3:6" x14ac:dyDescent="0.2">
      <c r="C18" s="5"/>
      <c r="D18" s="18"/>
      <c r="E18" s="18"/>
      <c r="F18" s="5"/>
    </row>
    <row r="19" spans="3:6" x14ac:dyDescent="0.2">
      <c r="C19" s="5"/>
      <c r="D19" s="18" t="s">
        <v>16</v>
      </c>
      <c r="E19" s="18" t="s">
        <v>17</v>
      </c>
      <c r="F19" s="5"/>
    </row>
    <row r="20" spans="3:6" x14ac:dyDescent="0.2">
      <c r="C20" s="5"/>
      <c r="D20" s="18"/>
      <c r="E20" s="18"/>
      <c r="F20" s="5"/>
    </row>
    <row r="21" spans="3:6" x14ac:dyDescent="0.2">
      <c r="C21" s="5"/>
      <c r="D21" s="18" t="s">
        <v>18</v>
      </c>
      <c r="E21" s="18" t="s">
        <v>19</v>
      </c>
      <c r="F21" s="5"/>
    </row>
    <row r="22" spans="3:6" x14ac:dyDescent="0.2">
      <c r="C22" s="5"/>
      <c r="D22" s="18"/>
      <c r="E22" s="18"/>
      <c r="F22" s="5"/>
    </row>
    <row r="23" spans="3:6" ht="15.75" x14ac:dyDescent="0.25">
      <c r="C23" s="5"/>
      <c r="D23" s="19" t="s">
        <v>20</v>
      </c>
      <c r="E23" s="19" t="s">
        <v>21</v>
      </c>
      <c r="F23" s="5"/>
    </row>
    <row r="24" spans="3:6" x14ac:dyDescent="0.2">
      <c r="C24" s="5"/>
      <c r="D24" s="18"/>
      <c r="E24" s="18"/>
      <c r="F24" s="5"/>
    </row>
    <row r="25" spans="3:6" x14ac:dyDescent="0.2">
      <c r="C25" s="5"/>
      <c r="D25" s="18" t="s">
        <v>22</v>
      </c>
      <c r="E25" s="18" t="s">
        <v>23</v>
      </c>
      <c r="F25" s="5"/>
    </row>
    <row r="26" spans="3:6" x14ac:dyDescent="0.2">
      <c r="C26" s="5"/>
      <c r="D26" s="18"/>
      <c r="E26" s="18"/>
      <c r="F26" s="5"/>
    </row>
    <row r="27" spans="3:6" ht="15.75" x14ac:dyDescent="0.25">
      <c r="C27" s="5"/>
      <c r="D27" s="19" t="s">
        <v>24</v>
      </c>
      <c r="E27" s="19" t="s">
        <v>25</v>
      </c>
      <c r="F27" s="5"/>
    </row>
    <row r="28" spans="3:6" x14ac:dyDescent="0.2">
      <c r="C28" s="5"/>
      <c r="D28" s="18"/>
      <c r="E28" s="18"/>
      <c r="F28" s="5"/>
    </row>
    <row r="29" spans="3:6" x14ac:dyDescent="0.2">
      <c r="C29" s="5"/>
      <c r="D29" s="18" t="s">
        <v>26</v>
      </c>
      <c r="E29" s="18" t="s">
        <v>180</v>
      </c>
      <c r="F29" s="5"/>
    </row>
    <row r="30" spans="3:6" x14ac:dyDescent="0.2">
      <c r="C30" s="5"/>
      <c r="D30" s="18"/>
      <c r="E30" s="18"/>
      <c r="F30" s="5"/>
    </row>
    <row r="31" spans="3:6" x14ac:dyDescent="0.2">
      <c r="C31" s="5"/>
      <c r="D31" s="18" t="s">
        <v>181</v>
      </c>
      <c r="E31" s="18" t="s">
        <v>27</v>
      </c>
      <c r="F31" s="5"/>
    </row>
    <row r="32" spans="3:6" x14ac:dyDescent="0.2">
      <c r="C32" s="5"/>
      <c r="D32" s="18"/>
      <c r="E32" s="18"/>
      <c r="F32" s="20"/>
    </row>
    <row r="33" spans="3:6" ht="15.75" x14ac:dyDescent="0.25">
      <c r="C33" s="169" t="s">
        <v>49</v>
      </c>
      <c r="D33" s="19" t="s">
        <v>28</v>
      </c>
      <c r="E33" s="19" t="s">
        <v>29</v>
      </c>
      <c r="F33" s="170" t="s">
        <v>54</v>
      </c>
    </row>
    <row r="34" spans="3:6" x14ac:dyDescent="0.2">
      <c r="C34" s="167"/>
      <c r="D34" s="18"/>
      <c r="E34" s="18"/>
      <c r="F34" s="168"/>
    </row>
    <row r="35" spans="3:6" x14ac:dyDescent="0.2">
      <c r="C35" s="5"/>
      <c r="D35" s="18"/>
      <c r="E35" s="18"/>
      <c r="F35" s="171" t="s">
        <v>55</v>
      </c>
    </row>
    <row r="36" spans="3:6" x14ac:dyDescent="0.2">
      <c r="C36" s="21"/>
      <c r="D36" s="21"/>
      <c r="E36" s="21"/>
      <c r="F36" s="21"/>
    </row>
    <row r="58" ht="15" customHeight="1" x14ac:dyDescent="0.2"/>
    <row r="140" ht="15.75" customHeight="1" x14ac:dyDescent="0.2"/>
    <row r="161" ht="15" customHeight="1" x14ac:dyDescent="0.2"/>
  </sheetData>
  <mergeCells count="2">
    <mergeCell ref="D11:E11"/>
    <mergeCell ref="C1:F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31.5" x14ac:dyDescent="0.25">
      <c r="C11" s="20"/>
      <c r="D11" s="22" t="s">
        <v>31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75" x14ac:dyDescent="0.2">
      <c r="C15" s="20"/>
      <c r="D15" s="6" t="s">
        <v>32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ht="15.75" x14ac:dyDescent="0.25">
      <c r="C19" s="20"/>
      <c r="D19" s="7" t="s">
        <v>33</v>
      </c>
      <c r="E19" s="5"/>
    </row>
    <row r="20" spans="3:5" x14ac:dyDescent="0.2">
      <c r="C20" s="20"/>
      <c r="D20" s="6"/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12" t="str">
        <f>IF(OR(ObjekatIzKonteksta=0,VrstaRadovaIzKonteksta=0),"...","za izradu projekta arhitekture koji je deo Idejnog rešenja (IDR), za " &amp;VrstaRadovaIzKonteksta &amp; " " &amp;ObjekatIzKonteksta &amp; " određuje se:")</f>
        <v>...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23" t="str">
        <f>IF(OdgovorniProjektantA=0,"...","")</f>
        <v>...</v>
      </c>
      <c r="E27" s="5"/>
    </row>
    <row r="28" spans="3:5" x14ac:dyDescent="0.2">
      <c r="C28" s="20"/>
      <c r="D28" s="24" t="s">
        <v>34</v>
      </c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6"/>
      <c r="E31" s="5"/>
    </row>
    <row r="32" spans="3:5" x14ac:dyDescent="0.2">
      <c r="C32" s="20"/>
      <c r="D32" s="25" t="str">
        <f>IF(ProjektnaOrganizacijaA=0,"...",ProjektnaOrganizacijaA)</f>
        <v>...</v>
      </c>
      <c r="E32" s="5"/>
    </row>
    <row r="33" spans="3:5" x14ac:dyDescent="0.2">
      <c r="C33" s="20"/>
      <c r="D33" s="10" t="s">
        <v>5</v>
      </c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 t="str">
        <f>IF(OdgovornoLiceA=0,"...",OdgovornoLiceA)</f>
        <v>...</v>
      </c>
      <c r="E38" s="5"/>
    </row>
    <row r="39" spans="3:5" x14ac:dyDescent="0.2">
      <c r="C39" s="20"/>
      <c r="D39" s="13" t="s">
        <v>6</v>
      </c>
      <c r="E39" s="5"/>
    </row>
    <row r="40" spans="3:5" x14ac:dyDescent="0.2">
      <c r="C40" s="5"/>
      <c r="D40" s="6"/>
      <c r="E40" s="5"/>
    </row>
    <row r="41" spans="3:5" x14ac:dyDescent="0.2">
      <c r="C41" s="14"/>
      <c r="D41" s="14"/>
      <c r="E41" s="14"/>
    </row>
    <row r="51" ht="15" customHeight="1" x14ac:dyDescent="0.2"/>
    <row r="133" ht="15.75" customHeight="1" x14ac:dyDescent="0.2"/>
    <row r="154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110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35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x14ac:dyDescent="0.2">
      <c r="C15" s="20"/>
      <c r="D15" s="12" t="str">
        <f>IF(OR(ObjekatIzKonteksta=0,VrstaRadovaIzKonteksta=0),"...","Odgovorni projektant projekta arhitekture koji je deo Idejnog rešenja (IDR), za " &amp;VrstaRadovaIzKonteksta &amp; " " &amp;ObjekatIzKonteksta &amp; " ,")</f>
        <v>...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x14ac:dyDescent="0.2">
      <c r="C19" s="20"/>
      <c r="D19" s="70" t="str">
        <f>IF(OdgovorniProjektantA=0,"...",OdgovorniProjektantA)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6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6"/>
      <c r="E27" s="5"/>
    </row>
    <row r="28" spans="3:5" ht="30" x14ac:dyDescent="0.2">
      <c r="C28" s="20"/>
      <c r="D28" s="12" t="s">
        <v>37</v>
      </c>
      <c r="E28" s="5"/>
    </row>
    <row r="29" spans="3:5" ht="45" x14ac:dyDescent="0.2">
      <c r="C29" s="20"/>
      <c r="D29" s="12" t="s">
        <v>38</v>
      </c>
      <c r="E29" s="5"/>
    </row>
    <row r="30" spans="3:5" x14ac:dyDescent="0.2">
      <c r="C30" s="20"/>
      <c r="D30" s="6"/>
      <c r="E30" s="5"/>
    </row>
    <row r="31" spans="3:5" x14ac:dyDescent="0.2">
      <c r="C31" s="20"/>
      <c r="D31" s="6"/>
      <c r="E31" s="5"/>
    </row>
    <row r="32" spans="3:5" x14ac:dyDescent="0.2">
      <c r="C32" s="20"/>
      <c r="D32" s="6"/>
      <c r="E32" s="5"/>
    </row>
    <row r="33" spans="3:5" x14ac:dyDescent="0.2">
      <c r="C33" s="20"/>
      <c r="D33" s="25" t="str">
        <f>IF(ProjektnaOrganizacijaA=0,"...",ProjektnaOrganizacijaA)</f>
        <v>...</v>
      </c>
      <c r="E33" s="5"/>
    </row>
    <row r="34" spans="3:5" x14ac:dyDescent="0.2">
      <c r="C34" s="20"/>
      <c r="D34" s="10" t="s">
        <v>5</v>
      </c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6" t="str">
        <f>IF(OdgovorniProjektantA=0,"...",OdgovorniProjektantA)</f>
        <v>...</v>
      </c>
      <c r="E39" s="5"/>
    </row>
    <row r="40" spans="3:5" x14ac:dyDescent="0.2">
      <c r="C40" s="20"/>
      <c r="D40" s="13" t="s">
        <v>44</v>
      </c>
      <c r="E40" s="5"/>
    </row>
    <row r="41" spans="3:5" x14ac:dyDescent="0.2">
      <c r="C41" s="5"/>
      <c r="D41" s="6"/>
      <c r="E41" s="5"/>
    </row>
    <row r="42" spans="3:5" x14ac:dyDescent="0.2">
      <c r="C42" s="14"/>
      <c r="D42" s="14"/>
      <c r="E42" s="14"/>
    </row>
    <row r="89" ht="15.75" customHeight="1" x14ac:dyDescent="0.2"/>
    <row r="110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39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0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40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15.75" x14ac:dyDescent="0.25">
      <c r="C15" s="20"/>
      <c r="D15" s="26" t="s">
        <v>41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12" t="str">
        <f>IF(OR(InvestitorIzKonteksta=0,ObjekatIzKonteksta=0,VrstaRadovaIzKonteksta=0),"...","Na zahtev investitora"&amp;InvestitorIzKonteksta&amp;" izraditi projekat arhitekture koji je deo Idejnog ršenja (IDR), za "&amp; VrstaRadovaIzKonteksta&amp; " " &amp;ObjekatIzKonteksta&amp;" .")</f>
        <v>...</v>
      </c>
      <c r="E17" s="5"/>
    </row>
    <row r="18" spans="3:5" x14ac:dyDescent="0.2">
      <c r="C18" s="20"/>
      <c r="D18" s="6"/>
      <c r="E18" s="5"/>
    </row>
    <row r="19" spans="3:5" x14ac:dyDescent="0.2">
      <c r="C19" s="20"/>
      <c r="D19" s="6"/>
      <c r="E19" s="5"/>
    </row>
    <row r="20" spans="3:5" x14ac:dyDescent="0.2">
      <c r="C20" s="20"/>
      <c r="D20" s="6"/>
      <c r="E20" s="5"/>
    </row>
    <row r="21" spans="3:5" ht="15.75" x14ac:dyDescent="0.25">
      <c r="C21" s="20"/>
      <c r="D21" s="26" t="s">
        <v>42</v>
      </c>
      <c r="E21" s="28"/>
    </row>
    <row r="22" spans="3:5" x14ac:dyDescent="0.2">
      <c r="C22" s="20"/>
      <c r="D22" s="6"/>
      <c r="E22" s="5"/>
    </row>
    <row r="23" spans="3:5" x14ac:dyDescent="0.2">
      <c r="C23" s="20"/>
      <c r="D23" s="6" t="s">
        <v>30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ht="15.75" x14ac:dyDescent="0.25">
      <c r="C27" s="20"/>
      <c r="D27" s="26" t="s">
        <v>43</v>
      </c>
      <c r="E27" s="28"/>
    </row>
    <row r="28" spans="3:5" x14ac:dyDescent="0.2">
      <c r="C28" s="20"/>
      <c r="D28" s="6"/>
      <c r="E28" s="5"/>
    </row>
    <row r="29" spans="3:5" x14ac:dyDescent="0.2">
      <c r="C29" s="20"/>
      <c r="D29" s="27" t="s">
        <v>30</v>
      </c>
      <c r="E29" s="5"/>
    </row>
    <row r="30" spans="3:5" x14ac:dyDescent="0.2">
      <c r="C30" s="20"/>
      <c r="D30" s="6"/>
      <c r="E30" s="5"/>
    </row>
    <row r="31" spans="3:5" x14ac:dyDescent="0.2">
      <c r="C31" s="20"/>
      <c r="D31" s="25" t="str">
        <f>IF(ProjektnaOrganizacijaA=0,"...",ProjektnaOrganizacijaA)</f>
        <v>...</v>
      </c>
      <c r="E31" s="5"/>
    </row>
    <row r="32" spans="3:5" x14ac:dyDescent="0.2">
      <c r="C32" s="20"/>
      <c r="D32" s="10" t="s">
        <v>5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12" t="str">
        <f>IF(OdgovorniProjektantA=0,"...",OdgovorniProjektantA)</f>
        <v>...</v>
      </c>
      <c r="E37" s="5"/>
    </row>
    <row r="38" spans="3:5" x14ac:dyDescent="0.2">
      <c r="C38" s="20"/>
      <c r="D38" s="13" t="s">
        <v>44</v>
      </c>
      <c r="E38" s="5"/>
    </row>
    <row r="39" spans="3:5" x14ac:dyDescent="0.2">
      <c r="C39" s="20"/>
      <c r="D39" s="6"/>
      <c r="E39" s="5"/>
    </row>
    <row r="40" spans="3:5" x14ac:dyDescent="0.2">
      <c r="C40" s="14"/>
      <c r="D40" s="14"/>
      <c r="E40" s="14"/>
    </row>
    <row r="87" ht="15.75" customHeight="1" x14ac:dyDescent="0.2"/>
    <row r="108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2" manualBreakCount="2">
    <brk id="18" max="16383" man="1"/>
    <brk id="24" max="16383" man="1"/>
  </rowBreaks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45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1:F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3"/>
      <c r="D1" s="183"/>
      <c r="E1" s="183"/>
      <c r="F1" s="183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hidden="1" x14ac:dyDescent="0.2">
      <c r="C9" s="123"/>
      <c r="D9" s="120"/>
      <c r="E9" s="120"/>
      <c r="F9" s="119"/>
    </row>
    <row r="10" spans="3:6" hidden="1" x14ac:dyDescent="0.2">
      <c r="C10" s="20"/>
      <c r="D10" s="120"/>
      <c r="E10" s="120"/>
      <c r="F10" s="119"/>
    </row>
    <row r="11" spans="3:6" ht="15.75" hidden="1" x14ac:dyDescent="0.25">
      <c r="C11" s="20"/>
      <c r="D11" s="184" t="s">
        <v>143</v>
      </c>
      <c r="E11" s="184"/>
      <c r="F11" s="119"/>
    </row>
    <row r="12" spans="3:6" hidden="1" x14ac:dyDescent="0.2">
      <c r="C12" s="20"/>
      <c r="D12" s="120"/>
      <c r="E12" s="120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">
        <v>191</v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142</v>
      </c>
      <c r="F17" s="119"/>
    </row>
    <row r="18" spans="3:6" x14ac:dyDescent="0.2">
      <c r="C18" s="20"/>
      <c r="D18" s="127" t="str">
        <f>IF(pEtazaPo=0,"/","Visina etaže podrum (Po) - postojećeg stanje:")</f>
        <v>/</v>
      </c>
      <c r="E18" s="126" t="str">
        <f>IF(pEtazaPo=0,"/",IF(pSpratnaVisninaPo=0,"...",pSpratnaVisninaPo))</f>
        <v>/</v>
      </c>
      <c r="F18" s="119"/>
    </row>
    <row r="19" spans="3:6" x14ac:dyDescent="0.2">
      <c r="C19" s="20"/>
      <c r="D19" s="127" t="str">
        <f>IF(pEtazaSu=0,"/","Visina etaže suterena (Su) - postojećeg stanja:")</f>
        <v>/</v>
      </c>
      <c r="E19" s="126" t="str">
        <f>IF(pEtazaSu=0,"/",IF(pSpratnaVisninaSu=0,"...",pSpratnaVisninaSu))</f>
        <v>/</v>
      </c>
      <c r="F19" s="119"/>
    </row>
    <row r="20" spans="3:6" x14ac:dyDescent="0.2">
      <c r="C20" s="20"/>
      <c r="D20" s="127" t="str">
        <f>IF(pEtazaPr=0,"/","(Visina etaže prizemlja (Pr) - postojećeg stanja:")</f>
        <v>/</v>
      </c>
      <c r="E20" s="126" t="str">
        <f>IF(pEtazaPr=0,"/",IF(pSpratnaVisninaPr=0,"...",pSpratnaVisninaPr))</f>
        <v>/</v>
      </c>
      <c r="F20" s="119"/>
    </row>
    <row r="21" spans="3:6" x14ac:dyDescent="0.2">
      <c r="C21" s="20"/>
      <c r="D21" s="127" t="str">
        <f>IF(pEtazaS1=0,"/","Visina etaže prvog sprata (1) - postojećeg stanja:")</f>
        <v>/</v>
      </c>
      <c r="E21" s="126" t="str">
        <f>IF(pEtazaS1=0,"/",IF(pSpratnaVisninaS1=0,"...",pSpratnaVisninaS1))</f>
        <v>/</v>
      </c>
      <c r="F21" s="119"/>
    </row>
    <row r="22" spans="3:6" x14ac:dyDescent="0.2">
      <c r="C22" s="20"/>
      <c r="D22" s="127" t="str">
        <f>IF(pEtazaS2=0,"/","Visina etaže drugog sprata (2) - postojećeg stanja:")</f>
        <v>/</v>
      </c>
      <c r="E22" s="126" t="str">
        <f>IF(pEtazaS2=0,"/",IF(pSpratnaVisninaS2=0,"...",pSpratnaVisninaS2))</f>
        <v>/</v>
      </c>
      <c r="F22" s="119"/>
    </row>
    <row r="23" spans="3:6" x14ac:dyDescent="0.2">
      <c r="C23" s="20"/>
      <c r="D23" s="127" t="str">
        <f>IF(pEtazaS3=0,"/","Visina etaže trećeg sprata (3) - postojećeg stanja:")</f>
        <v>/</v>
      </c>
      <c r="E23" s="126" t="str">
        <f>IF(pEtazaS3=0,"/",IF(pSpratnaVisninaS3=0,"...",pSpratnaVisninaS3))</f>
        <v>/</v>
      </c>
      <c r="F23" s="119"/>
    </row>
    <row r="24" spans="3:6" x14ac:dyDescent="0.2">
      <c r="C24" s="20"/>
      <c r="D24" s="127" t="str">
        <f>IF(pEtazaS4=0,"/","Visina etaže četvrtog sprata (4) - postojećeg stanja:")</f>
        <v>/</v>
      </c>
      <c r="E24" s="126" t="str">
        <f>IF(pEtazaS4=0,"/",IF(pSpratnaVisninaS4=0,"...",pSpratnaVisninaS4))</f>
        <v>/</v>
      </c>
      <c r="F24" s="119"/>
    </row>
    <row r="25" spans="3:6" x14ac:dyDescent="0.2">
      <c r="C25" s="20"/>
      <c r="D25" s="127" t="str">
        <f>IF(pEtazaS5=0,"/","Visina etaže petog sprata (5) - postojećeg stanja:")</f>
        <v>/</v>
      </c>
      <c r="E25" s="126" t="str">
        <f>IF(pEtazaS5=0,"/",IF(pSpratnaVisninaS5=0,"...",pSpratnaVisninaS5))</f>
        <v>/</v>
      </c>
      <c r="F25" s="119"/>
    </row>
    <row r="26" spans="3:6" x14ac:dyDescent="0.2">
      <c r="C26" s="20"/>
      <c r="D26" s="125" t="str">
        <f>IF(pEtazaPk=0,"/","Visina etaže potkrovlja (Pk) - postojećeg stanja:")</f>
        <v>/</v>
      </c>
      <c r="E26" s="126" t="str">
        <f>IF(pEtazaPk=0,"/",IF(pSpratnaVisninaPk=0,"...",pSpratnaVisninaPk))</f>
        <v>/</v>
      </c>
      <c r="F26" s="119"/>
    </row>
    <row r="27" spans="3:6" x14ac:dyDescent="0.2">
      <c r="C27" s="20"/>
      <c r="D27" s="125" t="s">
        <v>169</v>
      </c>
      <c r="E27" s="124" t="str">
        <f>IF(pVisinaVenca=0,"...",pVisinaVenca)</f>
        <v>...</v>
      </c>
      <c r="F27" s="119"/>
    </row>
    <row r="28" spans="3:6" x14ac:dyDescent="0.2">
      <c r="C28" s="20"/>
      <c r="D28" s="125" t="s">
        <v>170</v>
      </c>
      <c r="E28" s="124" t="str">
        <f>IF(pVisinaSlemena=0,"...",pVisinaSlemena)</f>
        <v>...</v>
      </c>
      <c r="F28" s="119"/>
    </row>
    <row r="29" spans="3:6" x14ac:dyDescent="0.2">
      <c r="C29" s="20"/>
      <c r="D29" s="120"/>
      <c r="E29" s="120"/>
      <c r="F29" s="119"/>
    </row>
    <row r="30" spans="3:6" x14ac:dyDescent="0.2">
      <c r="C30" s="118"/>
      <c r="D30" s="118"/>
      <c r="E30" s="118"/>
      <c r="F30" s="118"/>
    </row>
    <row r="31" spans="3:6" x14ac:dyDescent="0.2">
      <c r="F31" s="117"/>
    </row>
    <row r="89" ht="15" customHeight="1" x14ac:dyDescent="0.2"/>
    <row r="171" ht="15.75" customHeight="1" x14ac:dyDescent="0.2"/>
    <row r="192" ht="15" customHeight="1" x14ac:dyDescent="0.2"/>
  </sheetData>
  <mergeCells count="2">
    <mergeCell ref="C1:F1"/>
    <mergeCell ref="D11:E1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C1:F203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3"/>
      <c r="D1" s="183"/>
      <c r="E1" s="183"/>
      <c r="F1" s="183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x14ac:dyDescent="0.2">
      <c r="C9" s="123"/>
      <c r="D9" s="121"/>
      <c r="E9" s="121"/>
      <c r="F9" s="119"/>
    </row>
    <row r="10" spans="3:6" x14ac:dyDescent="0.2">
      <c r="C10" s="123"/>
      <c r="D10" s="121"/>
      <c r="E10" s="121"/>
      <c r="F10" s="119"/>
    </row>
    <row r="11" spans="3:6" ht="15.75" x14ac:dyDescent="0.25">
      <c r="C11" s="123"/>
      <c r="D11" s="184" t="s">
        <v>143</v>
      </c>
      <c r="E11" s="184"/>
      <c r="F11" s="119"/>
    </row>
    <row r="12" spans="3:6" x14ac:dyDescent="0.2">
      <c r="C12" s="123"/>
      <c r="D12" s="121"/>
      <c r="E12" s="121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tr">
        <f>IF(PrikazNaslovaPodnaslovaEtaza=0,"","NOVOPROJEKTOVANO STANJE")</f>
        <v/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142</v>
      </c>
      <c r="F17" s="119"/>
    </row>
    <row r="18" spans="3:6" x14ac:dyDescent="0.2">
      <c r="C18" s="20"/>
      <c r="D18" s="127" t="str">
        <f>IF(pEtazaPo=0,"/",IF(PrikazNaslovaPodnaslovaEtaza=0,"Visina etaže podrum (Po):","Visina etaže podrum (Po) - novoprojektovanog stanja:"))</f>
        <v>/</v>
      </c>
      <c r="E18" s="126" t="str">
        <f>IF(nEtazaPo=0,"/",IF(nSpratnaVisninaPo=0,"...",nSpratnaVisninaPo))</f>
        <v>/</v>
      </c>
      <c r="F18" s="119"/>
    </row>
    <row r="19" spans="3:6" x14ac:dyDescent="0.2">
      <c r="C19" s="20"/>
      <c r="D19" s="127" t="str">
        <f>IF(pEtazaSu=0,"/",IF(PrikazNaslovaPodnaslovaEtaza=0,"Visina etaže suterena (Su):","Visina etaže suterena (Su) - novoprojektovanog stanja:"))</f>
        <v>/</v>
      </c>
      <c r="E19" s="126" t="str">
        <f>IF(nEtazaSu=0,"/",IF(nSpratnaVisninaSu=0,"...",nSpratnaVisninaSu))</f>
        <v>/</v>
      </c>
      <c r="F19" s="119"/>
    </row>
    <row r="20" spans="3:6" x14ac:dyDescent="0.2">
      <c r="C20" s="20"/>
      <c r="D20" s="127" t="str">
        <f>IF(pEtazaPr=0,"/",IF(PrikazNaslovaPodnaslovaEtaza=0,"Visina etaže prizemlja (Pr):","Visina etaže prizemlja (Pr) - novoprojektovanog stanja:"))</f>
        <v>/</v>
      </c>
      <c r="E20" s="126" t="str">
        <f>IF(nEtazaPr=0,"/",IF(nSpratnaVisninaPr=0,"...",nSpratnaVisninaPr))</f>
        <v>/</v>
      </c>
      <c r="F20" s="119"/>
    </row>
    <row r="21" spans="3:6" x14ac:dyDescent="0.2">
      <c r="C21" s="20"/>
      <c r="D21" s="127" t="str">
        <f>IF(pEtazaS1=0,"/",IF(PrikazNaslovaPodnaslovaEtaza=0,"Visina etaže prvog sprata (1):","Visina etaže prvog sprata (1) - novoprojektovanog stanja:"))</f>
        <v>/</v>
      </c>
      <c r="E21" s="126" t="str">
        <f>IF(nEtazaS1=0,"/",IF(nSpratnaVisninaS1=0,"...",nSpratnaVisninaS1))</f>
        <v>/</v>
      </c>
      <c r="F21" s="119"/>
    </row>
    <row r="22" spans="3:6" x14ac:dyDescent="0.2">
      <c r="C22" s="20"/>
      <c r="D22" s="127" t="str">
        <f>IF(pEtazaS2=0,"/",IF(PrikazNaslovaPodnaslovaEtaza=0,"Visina etaže drugog sprata (2):","Visina etaže drugog sprata (2) - novoprojektovanog stanja:"))</f>
        <v>/</v>
      </c>
      <c r="E22" s="126" t="str">
        <f>IF(nEtazaS2=0,"/",IF(nSpratnaVisninaS2=0,"...",nSpratnaVisninaS2))</f>
        <v>/</v>
      </c>
      <c r="F22" s="119"/>
    </row>
    <row r="23" spans="3:6" x14ac:dyDescent="0.2">
      <c r="C23" s="20"/>
      <c r="D23" s="127" t="str">
        <f>IF(pEtazaS3=0,"/",IF(PrikazNaslovaPodnaslovaEtaza=0,"Visina etaže trećeg sprata (3):","Visina etaže trećeg sprata (3) - novoprojektovanog stanja:"))</f>
        <v>/</v>
      </c>
      <c r="E23" s="126" t="str">
        <f>IF(nEtazaS3=0,"/",IF(nSpratnaVisninaS3=0,"...",nSpratnaVisninaS3))</f>
        <v>/</v>
      </c>
      <c r="F23" s="119"/>
    </row>
    <row r="24" spans="3:6" x14ac:dyDescent="0.2">
      <c r="C24" s="20"/>
      <c r="D24" s="127" t="str">
        <f>IF(pEtazaS4=0,"/",IF(PrikazNaslovaPodnaslovaEtaza=0,"Visina etaže četvrtog sprata (4):","Visina etaže četvrtog sprata (4) - novoprojektovanog stanja:"))</f>
        <v>/</v>
      </c>
      <c r="E24" s="126" t="str">
        <f>IF(nEtazaS4=0,"/",IF(nSpratnaVisninaS4=0,"...",nSpratnaVisninaS4))</f>
        <v>/</v>
      </c>
      <c r="F24" s="119"/>
    </row>
    <row r="25" spans="3:6" x14ac:dyDescent="0.2">
      <c r="C25" s="20"/>
      <c r="D25" s="127" t="str">
        <f>IF(pEtazaS5=0,"/",IF(PrikazNaslovaPodnaslovaEtaza=0,"Visina etaže petog sprata (5):","Visina etaže petog sprata (5) - novoprojektovanog stanja:"))</f>
        <v>/</v>
      </c>
      <c r="E25" s="126" t="str">
        <f>IF(nEtazaS5=0,"/",IF(nSpratnaVisninaS5=0,"...",nSpratnaVisninaS5))</f>
        <v>/</v>
      </c>
      <c r="F25" s="119"/>
    </row>
    <row r="26" spans="3:6" x14ac:dyDescent="0.2">
      <c r="C26" s="20"/>
      <c r="D26" s="127" t="str">
        <f>IF(pEtazaPk=0,"/",IF(PrikazNaslovaPodnaslovaEtaza=0,"Visina etaže potkrovlja (Pk):","Visina etaže potkrovlja (Pk) - novoprojektovanog stanja:"))</f>
        <v>/</v>
      </c>
      <c r="E26" s="126" t="str">
        <f>IF(nEtazaPk=0,"/",IF(nSpratnaVisninaPk=0,"...",nSpratnaVisninaPk))</f>
        <v>/</v>
      </c>
      <c r="F26" s="119"/>
    </row>
    <row r="27" spans="3:6" x14ac:dyDescent="0.2">
      <c r="C27" s="20"/>
      <c r="D27" s="127" t="str">
        <f>IF(PrikazNaslovaPodnaslovaEtaza=0,"Visina venca:","Visina venca - novoprojektovanog stanja:")</f>
        <v>Visina venca:</v>
      </c>
      <c r="E27" s="124" t="str">
        <f>IF(nVisinaVenca=0,"...",nVisinaVenca)</f>
        <v>...</v>
      </c>
      <c r="F27" s="119"/>
    </row>
    <row r="28" spans="3:6" x14ac:dyDescent="0.2">
      <c r="C28" s="20"/>
      <c r="D28" s="166" t="str">
        <f>IF(PrikazNaslovaPodnaslovaEtaza=0,"Visina slemena:","Visina slemena - novoprojektovanog stanja:")</f>
        <v>Visina slemena:</v>
      </c>
      <c r="E28" s="124" t="str">
        <f>IF(nVisinaSlemena=0,"...",nVisinaSlemena)</f>
        <v>...</v>
      </c>
      <c r="F28" s="119"/>
    </row>
    <row r="29" spans="3:6" x14ac:dyDescent="0.2">
      <c r="C29" s="20"/>
      <c r="D29" s="121"/>
      <c r="E29" s="121"/>
      <c r="F29" s="119"/>
    </row>
    <row r="30" spans="3:6" x14ac:dyDescent="0.2">
      <c r="C30" s="20"/>
      <c r="D30" s="121"/>
      <c r="E30" s="121"/>
      <c r="F30" s="119"/>
    </row>
    <row r="31" spans="3:6" x14ac:dyDescent="0.2">
      <c r="C31" s="20"/>
      <c r="D31" s="122"/>
      <c r="E31" s="122"/>
      <c r="F31" s="119"/>
    </row>
    <row r="32" spans="3:6" x14ac:dyDescent="0.2">
      <c r="C32" s="20"/>
      <c r="D32" s="186" t="str">
        <f>IF(ProjektnaOrganizacijaA=0,"...",ProjektnaOrganizacijaA)</f>
        <v>...</v>
      </c>
      <c r="E32" s="186"/>
      <c r="F32" s="119"/>
    </row>
    <row r="33" spans="3:6" x14ac:dyDescent="0.2">
      <c r="C33" s="20"/>
      <c r="D33" s="187" t="s">
        <v>5</v>
      </c>
      <c r="E33" s="187"/>
      <c r="F33" s="119"/>
    </row>
    <row r="34" spans="3:6" x14ac:dyDescent="0.2">
      <c r="C34" s="20"/>
      <c r="D34" s="121"/>
      <c r="E34" s="121"/>
      <c r="F34" s="119"/>
    </row>
    <row r="35" spans="3:6" x14ac:dyDescent="0.2">
      <c r="C35" s="20"/>
      <c r="D35" s="121"/>
      <c r="E35" s="121"/>
      <c r="F35" s="119"/>
    </row>
    <row r="36" spans="3:6" x14ac:dyDescent="0.2">
      <c r="C36" s="20"/>
      <c r="D36" s="121"/>
      <c r="E36" s="121"/>
      <c r="F36" s="119"/>
    </row>
    <row r="37" spans="3:6" x14ac:dyDescent="0.2">
      <c r="C37" s="20"/>
      <c r="D37" s="121"/>
      <c r="E37" s="121"/>
      <c r="F37" s="119"/>
    </row>
    <row r="38" spans="3:6" x14ac:dyDescent="0.2">
      <c r="C38" s="20"/>
      <c r="D38" s="188" t="str">
        <f>IF(OdgovorniProjektantA=0,"...",OdgovorniProjektantA)</f>
        <v>...</v>
      </c>
      <c r="E38" s="188"/>
      <c r="F38" s="119"/>
    </row>
    <row r="39" spans="3:6" x14ac:dyDescent="0.2">
      <c r="C39" s="20"/>
      <c r="D39" s="185" t="s">
        <v>44</v>
      </c>
      <c r="E39" s="185"/>
      <c r="F39" s="119"/>
    </row>
    <row r="40" spans="3:6" x14ac:dyDescent="0.2">
      <c r="C40" s="119"/>
      <c r="D40" s="121"/>
      <c r="E40" s="121"/>
      <c r="F40" s="119"/>
    </row>
    <row r="41" spans="3:6" x14ac:dyDescent="0.2">
      <c r="C41" s="118"/>
      <c r="D41" s="118"/>
      <c r="E41" s="118"/>
      <c r="F41" s="118"/>
    </row>
    <row r="42" spans="3:6" x14ac:dyDescent="0.2">
      <c r="F42" s="117"/>
    </row>
    <row r="100" ht="15" customHeight="1" x14ac:dyDescent="0.2"/>
    <row r="182" ht="15.75" customHeight="1" x14ac:dyDescent="0.2"/>
    <row r="203" ht="15" customHeight="1" x14ac:dyDescent="0.2"/>
  </sheetData>
  <mergeCells count="6">
    <mergeCell ref="D39:E39"/>
    <mergeCell ref="C1:F1"/>
    <mergeCell ref="D11:E11"/>
    <mergeCell ref="D32:E32"/>
    <mergeCell ref="D33:E33"/>
    <mergeCell ref="D38:E38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ignoredErrors>
    <ignoredError sqref="D27" formula="1"/>
  </ignoredErrors>
  <drawing r:id="rId2"/>
  <legacyDrawing r:id="rId3"/>
  <legacyDrawingHF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1:I11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171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173" t="str">
        <f>ROW(A18)-17 &amp;"."</f>
        <v>1.</v>
      </c>
      <c r="E18" s="64"/>
      <c r="F18" s="64"/>
      <c r="G18" s="64"/>
      <c r="H18" s="65"/>
      <c r="I18" s="17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56</v>
      </c>
      <c r="H20" s="42">
        <f>SUM(pPo[Neto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57</v>
      </c>
      <c r="H22" s="42">
        <f>SUM(pPo[Neto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58</v>
      </c>
      <c r="H24" s="42">
        <f>pUkupnaBrutoPovrsinaPo</f>
        <v>0</v>
      </c>
      <c r="I24" s="20"/>
    </row>
    <row r="25" spans="3:9" ht="15" customHeight="1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s="29" customFormat="1" ht="15" customHeight="1" x14ac:dyDescent="0.2">
      <c r="I27" s="44"/>
    </row>
    <row r="28" spans="3:9" s="29" customFormat="1" ht="15" customHeight="1" x14ac:dyDescent="0.2"/>
    <row r="29" spans="3:9" s="29" customFormat="1" ht="15" customHeight="1" x14ac:dyDescent="0.2"/>
    <row r="30" spans="3:9" s="29" customFormat="1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90" s="29" customFormat="1" ht="15.75" customHeight="1" x14ac:dyDescent="0.2"/>
    <row r="11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1:I120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48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172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55</v>
      </c>
    </row>
    <row r="20" spans="3:9" ht="15.75" x14ac:dyDescent="0.25">
      <c r="C20" s="40"/>
      <c r="D20" s="18"/>
      <c r="E20" s="18"/>
      <c r="F20" s="18"/>
      <c r="G20" s="41" t="s">
        <v>74</v>
      </c>
      <c r="H20" s="42">
        <f>SUM(pSu[Neto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75</v>
      </c>
      <c r="H22" s="42">
        <f>SUM(pSu[Neto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76</v>
      </c>
      <c r="H24" s="42">
        <f>pUkupnaBrutoPovrsinaSu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99" s="29" customFormat="1" ht="15.75" customHeight="1" x14ac:dyDescent="0.2"/>
    <row r="120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173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55</v>
      </c>
    </row>
    <row r="20" spans="3:9" ht="15.75" x14ac:dyDescent="0.25">
      <c r="C20" s="40"/>
      <c r="D20" s="18"/>
      <c r="E20" s="18"/>
      <c r="F20" s="18"/>
      <c r="G20" s="41" t="s">
        <v>77</v>
      </c>
      <c r="H20" s="42">
        <f>SUM(pPr[Neto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78</v>
      </c>
      <c r="H22" s="42">
        <f>SUM(pPr[Neto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79</v>
      </c>
      <c r="H24" s="42">
        <f>pUkupnaBrutoPovrsinaPr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174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80</v>
      </c>
      <c r="H20" s="42">
        <f>SUM(pSprat1[Neto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81</v>
      </c>
      <c r="H22" s="42">
        <f>SUM(pSprat1[Neto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82</v>
      </c>
      <c r="H24" s="42">
        <f>pUkupnaBrutoPovrsinaS1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175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83</v>
      </c>
      <c r="H20" s="42">
        <f>SUM(pSprat2[Neto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84</v>
      </c>
      <c r="H22" s="42">
        <f>SUM(pSprat2[Neto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85</v>
      </c>
      <c r="H24" s="42">
        <f>pUkupnaBrutoPovrsinaS2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176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86</v>
      </c>
      <c r="H20" s="42">
        <f>SUM(pSprat3[Neto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87</v>
      </c>
      <c r="H22" s="42">
        <f>SUM(pSprat3[Neto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88</v>
      </c>
      <c r="H24" s="42">
        <f>pUkupnaBrutoPovrsinaS3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177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89</v>
      </c>
      <c r="H20" s="42">
        <f>SUM(pSprat4[Neto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90</v>
      </c>
      <c r="H22" s="42">
        <f>SUM(pSprat4[Neto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91</v>
      </c>
      <c r="H24" s="42">
        <f>pUkupnaBrutoPovrsinaS4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178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92</v>
      </c>
      <c r="H20" s="42">
        <f>SUM(pSprat5[Neto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93</v>
      </c>
      <c r="H22" s="42">
        <f>SUM(pSprat5[Neto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94</v>
      </c>
      <c r="H24" s="42">
        <f>pUkupnaBrutoPovrsinaS5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179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95</v>
      </c>
      <c r="H20" s="42">
        <f>SUM(pPk[Neto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96</v>
      </c>
      <c r="H22" s="42">
        <f>SUM(pPk[Neto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97</v>
      </c>
      <c r="H24" s="42">
        <f>pUkupnaBrutoPovrsinaPk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1:H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1"/>
      <c r="D1" s="191"/>
      <c r="E1" s="191"/>
      <c r="F1" s="191"/>
      <c r="G1" s="191"/>
      <c r="H1" s="191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20"/>
      <c r="D9" s="6"/>
      <c r="E9" s="6"/>
      <c r="F9" s="6"/>
      <c r="G9" s="6"/>
      <c r="H9" s="46"/>
    </row>
    <row r="10" spans="3:8" x14ac:dyDescent="0.2">
      <c r="C10" s="20"/>
      <c r="D10" s="6"/>
      <c r="E10" s="6"/>
      <c r="F10" s="6"/>
      <c r="G10" s="6"/>
      <c r="H10" s="46"/>
    </row>
    <row r="11" spans="3:8" ht="15.75" x14ac:dyDescent="0.25">
      <c r="C11" s="20"/>
      <c r="D11" s="190" t="s">
        <v>165</v>
      </c>
      <c r="E11" s="190"/>
      <c r="F11" s="190"/>
      <c r="G11" s="190"/>
      <c r="H11" s="46"/>
    </row>
    <row r="12" spans="3:8" x14ac:dyDescent="0.2">
      <c r="C12" s="20"/>
      <c r="D12" s="6"/>
      <c r="E12" s="6"/>
      <c r="F12" s="6"/>
      <c r="G12" s="6"/>
      <c r="H12" s="46"/>
    </row>
    <row r="13" spans="3:8" ht="22.5" x14ac:dyDescent="0.2">
      <c r="C13" s="20"/>
      <c r="D13" s="47" t="s">
        <v>59</v>
      </c>
      <c r="E13" s="48" t="s">
        <v>53</v>
      </c>
      <c r="F13" s="49" t="s">
        <v>60</v>
      </c>
      <c r="G13" s="50" t="s">
        <v>61</v>
      </c>
      <c r="H13" s="46"/>
    </row>
    <row r="14" spans="3:8" x14ac:dyDescent="0.2">
      <c r="C14" s="20"/>
      <c r="D14" s="51" t="str">
        <f>IF(pEtazaPo=0,"/","Podrum (Po)")</f>
        <v>/</v>
      </c>
      <c r="E14" s="52">
        <f>IF(pEtazaPo=0,0,SUM(pPo[Neto površina]))</f>
        <v>0</v>
      </c>
      <c r="F14" s="52">
        <f>IF(pEtazaPo=0,0,SUM(pPo[Neto površina])*0.97)</f>
        <v>0</v>
      </c>
      <c r="G14" s="52">
        <f>IF(pEtazaPo=0,0,pUkupnaBrutoPovrsinaPo)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IF(pEtazaSu=0,0,SUM(pSu[Neto površina]))</f>
        <v>0</v>
      </c>
      <c r="F15" s="52">
        <f>IF(pEtazaSu=0,0,SUM(pSu[Neto površina])*0.97)</f>
        <v>0</v>
      </c>
      <c r="G15" s="52">
        <f>IF(pEtazaSu=0,0,pUkupnaBrutoPovrsinaSu)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IF(pEtazaPr=0,0,SUM(pPr[Neto površina]))</f>
        <v>0</v>
      </c>
      <c r="F16" s="52">
        <f>IF(pEtazaPr=0,0,SUM(pPr[Neto površina])*0.97)</f>
        <v>0</v>
      </c>
      <c r="G16" s="52">
        <f>IF(pEtazaPr=0,0,pUkupnaBrutoPovrsinaPr)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IF(pEtazaS1=0,0,SUM(pSprat1[Neto površina]))</f>
        <v>0</v>
      </c>
      <c r="F17" s="52">
        <f>IF(pEtazaS1=0,0,SUM(pSprat1[Neto površina])*0.97)</f>
        <v>0</v>
      </c>
      <c r="G17" s="52">
        <f>IF(pEtazaS1=0,0,pUkupnaBrutoPovrsinaS1)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IF(pEtazaS2=0,0,SUM(pSprat2[Neto površina]))</f>
        <v>0</v>
      </c>
      <c r="F18" s="52">
        <f>IF(pEtazaS2=0,0,SUM(pSprat2[Neto površina])*0.97)</f>
        <v>0</v>
      </c>
      <c r="G18" s="52">
        <f>IF(pEtazaS2=0,0,pUkupnaBrutoPovrsinaS2)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IF(pEtazaS3=0,0,SUM(pSprat3[Neto površina]))</f>
        <v>0</v>
      </c>
      <c r="F19" s="52">
        <f>IF(pEtazaS3=0,0,SUM(pSprat3[Neto površina])*0.97)</f>
        <v>0</v>
      </c>
      <c r="G19" s="52">
        <f>IF(pEtazaS3=0,0,pUkupnaBrutoPovrsinaS3)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IF(pEtazaS4=0,0,SUM(pSprat4[Neto površina]))</f>
        <v>0</v>
      </c>
      <c r="F20" s="52">
        <f>IF(pEtazaS4=0,0,SUM(pSprat4[Neto površina])*0.97)</f>
        <v>0</v>
      </c>
      <c r="G20" s="52">
        <f>IF(pEtazaS4=0,0,pUkupnaBrutoPovrsinaS4)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IF(pEtazaS5=0,0,SUM(pSprat5[Neto površina]))</f>
        <v>0</v>
      </c>
      <c r="F21" s="52">
        <f>IF(pEtazaS5=0,0,SUM(pSprat5[Neto površina])*0.97)</f>
        <v>0</v>
      </c>
      <c r="G21" s="52">
        <f>IF(pEtazaS5=0,0,pUkupnaBrutoPovrsinaS5)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IF(pEtazaPk=0,0,SUM(pPk[Neto površina]))</f>
        <v>0</v>
      </c>
      <c r="F22" s="54">
        <f>IF(pEtazaPk=0,0,SUM(pPk[Neto površina])*0.97)</f>
        <v>0</v>
      </c>
      <c r="G22" s="54">
        <f>IF(pEtazaPk=0,0,pUkupnaBrutoPovrsinaPk)</f>
        <v>0</v>
      </c>
      <c r="H22" s="46"/>
    </row>
    <row r="23" spans="3:8" x14ac:dyDescent="0.2">
      <c r="C23" s="20"/>
      <c r="D23" s="6"/>
      <c r="E23" s="6"/>
      <c r="F23" s="6"/>
      <c r="G23" s="6"/>
      <c r="H23" s="46"/>
    </row>
    <row r="24" spans="3:8" ht="15.75" x14ac:dyDescent="0.25">
      <c r="C24" s="20"/>
      <c r="D24" s="6"/>
      <c r="E24" s="6"/>
      <c r="F24" s="55" t="s">
        <v>71</v>
      </c>
      <c r="G24" s="56">
        <f>SUM(E14:E22)</f>
        <v>0</v>
      </c>
      <c r="H24" s="46"/>
    </row>
    <row r="25" spans="3:8" x14ac:dyDescent="0.2">
      <c r="C25" s="20"/>
      <c r="D25" s="6"/>
      <c r="E25" s="6"/>
      <c r="F25" s="6"/>
      <c r="G25" s="6"/>
      <c r="H25" s="46"/>
    </row>
    <row r="26" spans="3:8" ht="15.75" x14ac:dyDescent="0.25">
      <c r="C26" s="20"/>
      <c r="D26" s="6"/>
      <c r="E26" s="6"/>
      <c r="F26" s="55" t="s">
        <v>72</v>
      </c>
      <c r="G26" s="56">
        <f>SUM(F14:F22)</f>
        <v>0</v>
      </c>
      <c r="H26" s="46"/>
    </row>
    <row r="27" spans="3:8" x14ac:dyDescent="0.2">
      <c r="C27" s="20"/>
      <c r="D27" s="6"/>
      <c r="E27" s="6"/>
      <c r="F27" s="6"/>
      <c r="G27" s="6"/>
      <c r="H27" s="46"/>
    </row>
    <row r="28" spans="3:8" ht="15.75" x14ac:dyDescent="0.25">
      <c r="C28" s="20"/>
      <c r="D28" s="6"/>
      <c r="E28" s="6"/>
      <c r="F28" s="55" t="s">
        <v>73</v>
      </c>
      <c r="G28" s="56">
        <f>SUM(G14:G22)</f>
        <v>0</v>
      </c>
      <c r="H28" s="46"/>
    </row>
    <row r="29" spans="3:8" ht="15.75" x14ac:dyDescent="0.25">
      <c r="C29" s="20"/>
      <c r="D29" s="6"/>
      <c r="E29" s="6"/>
      <c r="F29" s="55"/>
      <c r="G29" s="56"/>
      <c r="H29" s="46"/>
    </row>
    <row r="30" spans="3:8" x14ac:dyDescent="0.2">
      <c r="C30" s="14"/>
      <c r="D30" s="14"/>
      <c r="E30" s="14"/>
      <c r="F30" s="14"/>
      <c r="G30" s="14"/>
      <c r="H30" s="14"/>
    </row>
    <row r="31" spans="3:8" x14ac:dyDescent="0.2">
      <c r="H31" s="60"/>
    </row>
    <row r="89" ht="15" customHeight="1" x14ac:dyDescent="0.2"/>
    <row r="171" ht="15.75" customHeight="1" x14ac:dyDescent="0.2"/>
    <row r="192" ht="15" customHeight="1" x14ac:dyDescent="0.2"/>
  </sheetData>
  <mergeCells count="2">
    <mergeCell ref="D11:G11"/>
    <mergeCell ref="C1:H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I117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IF(PrikazNaslovaPodnaslovaEtaza=0,"PODRUM (Po)","PODRUM (Po) - NOVOPROJEKTOVANO STANJE")</f>
        <v>PODRUM (Po)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56</v>
      </c>
      <c r="H20" s="42">
        <f>SUM(nPo[Neto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57</v>
      </c>
      <c r="H22" s="42">
        <f>SUM(nPo[Neto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58</v>
      </c>
      <c r="H24" s="42">
        <f>nUkupnaBrutoPovrsinaPo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96" ht="15.75" customHeight="1" x14ac:dyDescent="0.2"/>
    <row r="117" ht="15" customHeight="1" x14ac:dyDescent="0.2"/>
  </sheetData>
  <mergeCells count="3">
    <mergeCell ref="D11:H11"/>
    <mergeCell ref="D15:H15"/>
    <mergeCell ref="C1:I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I122"/>
  <sheetViews>
    <sheetView zoomScaleNormal="100" workbookViewId="0">
      <pane ySplit="1" topLeftCell="A2" activePane="bottomLeft" state="frozen"/>
      <selection pane="bottomLeft" activeCell="H22" sqref="H2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48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IF(PrikazNaslovaPodnaslovaEtaza=0,"SUTEREN (Su)","SUTEREN (Su) - NOVOPROJEKTOVANO STANJE")</f>
        <v>SUTEREN (Su)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74</v>
      </c>
      <c r="H20" s="42">
        <f>SUM(nSu[Neto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75</v>
      </c>
      <c r="H22" s="42">
        <f>SUM(nSu[Neto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76</v>
      </c>
      <c r="H24" s="42">
        <f>nUkupnaBrutoPovrsinaSu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IF(PrikazNaslovaPodnaslovaEtaza=0,"PRIZEMLJE (Pr)","PRIZEMLJE (Pr) - NOVOPROJEKTOVANO STANJE")</f>
        <v>PRIZEMLJE (Pr)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77</v>
      </c>
      <c r="H20" s="42">
        <f>SUM(nPr[Neto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78</v>
      </c>
      <c r="H22" s="42">
        <f>SUM(nPr[Neto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79</v>
      </c>
      <c r="H24" s="42">
        <f>nUkupnaBrutoPovrsinaPr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IF(PrikazNaslovaPodnaslovaEtaza=0,"PRVI SPRAT (1)","PRVI SPRAT (1) - NOVOPROJEKTOVANO STANJE")</f>
        <v>PRVI SPRAT (1)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80</v>
      </c>
      <c r="H20" s="42">
        <f>SUM(nSprat1[Neto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81</v>
      </c>
      <c r="H22" s="42">
        <f>SUM(nSprat1[Neto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82</v>
      </c>
      <c r="H24" s="42">
        <f>nUkupnaBrutoPovrsinaS1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IF(PrikazNaslovaPodnaslovaEtaza=0,"DRUGI SPRAT (2)","DRUGI SPRAT (2) - NOVOPROJEKTOVANO STANJE")</f>
        <v>DRUGI SPRAT (2)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55</v>
      </c>
    </row>
    <row r="20" spans="3:9" ht="15.75" x14ac:dyDescent="0.25">
      <c r="C20" s="40"/>
      <c r="D20" s="18"/>
      <c r="E20" s="18"/>
      <c r="F20" s="18"/>
      <c r="G20" s="41" t="s">
        <v>83</v>
      </c>
      <c r="H20" s="42">
        <f>SUM(nSprat2[Neto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84</v>
      </c>
      <c r="H22" s="42">
        <f>SUM(nSprat2[Neto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85</v>
      </c>
      <c r="H24" s="42">
        <f>nUkupnaBrutoPovrsinaS2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IF(PrikazNaslovaPodnaslovaEtaza=0,"TREĆI SPRAT (3)","TREĆI SPRAT (3) - NOVOPROJEKTOVANO STANJE")</f>
        <v>TREĆI SPRAT (3)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86</v>
      </c>
      <c r="H20" s="42">
        <f>SUM(nSprat3[Neto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87</v>
      </c>
      <c r="H22" s="42">
        <f>SUM(nSprat3[Neto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88</v>
      </c>
      <c r="H24" s="42">
        <f>nUkupnaBrutoPovrsinaS3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IF(PrikazNaslovaPodnaslovaEtaza=0,"ČETVRTI SPRAT (4)","ČETVRTI SPRAT (4) - NOVOPROJEKTOVANO STANJE")</f>
        <v>ČETVRTI SPRAT (4)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89</v>
      </c>
      <c r="H20" s="42">
        <f>SUM(nSprat4[Neto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90</v>
      </c>
      <c r="H22" s="42">
        <f>SUM(nSprat4[Neto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91</v>
      </c>
      <c r="H24" s="42">
        <f>nUkupnaBrutoPovrsinaS4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IF(PrikazNaslovaPodnaslovaEtaza=0,"PETI SPRAT (5)","PETI SPRAT (5) - NOVOPROJEKTOVANO STANJE")</f>
        <v>PETI SPRAT (5)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92</v>
      </c>
      <c r="H20" s="42">
        <f>SUM(nSprat5[Neto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93</v>
      </c>
      <c r="H22" s="42">
        <f>SUM(nSprat5[Neto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94</v>
      </c>
      <c r="H24" s="42">
        <f>nUkupnaBrutoPovrsinaS5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IF(PrikazNaslovaPodnaslovaEtaza=0,"POTKROVLJE (Pk)","POTKROVLJE (Pk) - NOVOPROJEKTOVANO STANJE")</f>
        <v>POTKROVLJE (Pk)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95</v>
      </c>
      <c r="H20" s="42">
        <f>SUM(nPk[Neto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96</v>
      </c>
      <c r="H22" s="42">
        <f>SUM(nPk[Neto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97</v>
      </c>
      <c r="H24" s="42">
        <f>nUkupnaBrutoPovrsinaPk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C1:H20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1"/>
      <c r="D1" s="191"/>
      <c r="E1" s="191"/>
      <c r="F1" s="191"/>
      <c r="G1" s="191"/>
      <c r="H1" s="191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5"/>
      <c r="D9" s="74"/>
      <c r="E9" s="74"/>
      <c r="F9" s="74"/>
      <c r="G9" s="74"/>
      <c r="H9" s="46"/>
    </row>
    <row r="10" spans="3:8" x14ac:dyDescent="0.2">
      <c r="C10" s="20"/>
      <c r="D10" s="74"/>
      <c r="E10" s="74"/>
      <c r="F10" s="74"/>
      <c r="G10" s="74"/>
      <c r="H10" s="46"/>
    </row>
    <row r="11" spans="3:8" ht="15.75" x14ac:dyDescent="0.25">
      <c r="C11" s="20"/>
      <c r="D11" s="190" t="str">
        <f>IF(PrikazNaslovaPodnaslovaEtaza=0,"REKAPITULACIJA","REKAPITULACIJA NOVOPROJEKTOVANOG STANJA")</f>
        <v>REKAPITULACIJA</v>
      </c>
      <c r="E11" s="190"/>
      <c r="F11" s="190"/>
      <c r="G11" s="190"/>
      <c r="H11" s="46"/>
    </row>
    <row r="12" spans="3:8" x14ac:dyDescent="0.2">
      <c r="C12" s="20"/>
      <c r="D12" s="74"/>
      <c r="E12" s="74"/>
      <c r="F12" s="74"/>
      <c r="G12" s="74"/>
      <c r="H12" s="46"/>
    </row>
    <row r="13" spans="3:8" ht="22.5" x14ac:dyDescent="0.2">
      <c r="C13" s="20"/>
      <c r="D13" s="47" t="s">
        <v>59</v>
      </c>
      <c r="E13" s="48" t="s">
        <v>53</v>
      </c>
      <c r="F13" s="49" t="s">
        <v>60</v>
      </c>
      <c r="G13" s="50" t="s">
        <v>61</v>
      </c>
      <c r="H13" s="46"/>
    </row>
    <row r="14" spans="3:8" x14ac:dyDescent="0.2">
      <c r="C14" s="20"/>
      <c r="D14" s="51" t="str">
        <f>IF(pEtazaPo=0,"/","Podrum (Po)")</f>
        <v>/</v>
      </c>
      <c r="E14" s="52">
        <f>IF(nEtazaPo=0,0,SUM(nPo[Neto površina]))</f>
        <v>0</v>
      </c>
      <c r="F14" s="52">
        <f>IF(nEtazaPo=0,0,SUM(nPo[Neto površina])*0.97)</f>
        <v>0</v>
      </c>
      <c r="G14" s="52">
        <f>IF(nEtazaPo=0,0,nUkupnaBrutoPovrsinaPo)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IF(nEtazaSu=0,0,SUM(nSu[Neto površina]))</f>
        <v>0</v>
      </c>
      <c r="F15" s="52">
        <f>IF(nEtazaSu=0,0,SUM(nSu[Neto površina])*0.97)</f>
        <v>0</v>
      </c>
      <c r="G15" s="52">
        <f>IF(nEtazaSu=0,0,nUkupnaBrutoPovrsinaSu)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IF(nEtazaPr=0,0,SUM(nPr[Neto površina]))</f>
        <v>0</v>
      </c>
      <c r="F16" s="52">
        <f>IF(nEtazaPr=0,0,SUM(nPr[Neto površina])*0.97)</f>
        <v>0</v>
      </c>
      <c r="G16" s="52">
        <f>IF(nEtazaPr=0,0,nUkupnaBrutoPovrsinaPr)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IF(nEtazaS1=0,0,SUM(nSprat1[Neto površina]))</f>
        <v>0</v>
      </c>
      <c r="F17" s="52">
        <f>IF(nEtazaS1=0,0,SUM(nSprat1[Neto površina])*0.97)</f>
        <v>0</v>
      </c>
      <c r="G17" s="52">
        <f>IF(nEtazaS1=0,0,nUkupnaBrutoPovrsinaS1)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IF(nEtazaS2=0,0,SUM(nSprat2[Neto površina]))</f>
        <v>0</v>
      </c>
      <c r="F18" s="52">
        <f>IF(nEtazaS2=0,0,SUM(nSprat2[Neto površina])*0.97)</f>
        <v>0</v>
      </c>
      <c r="G18" s="52">
        <f>IF(nEtazaS2=0,0,nUkupnaBrutoPovrsinaS2)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IF(nEtazaS3=0,0,SUM(nSprat3[Neto površina]))</f>
        <v>0</v>
      </c>
      <c r="F19" s="52">
        <f>IF(nEtazaS3=0,0,SUM(nSprat3[Neto površina])*0.97)</f>
        <v>0</v>
      </c>
      <c r="G19" s="52">
        <f>IF(nEtazaS3=0,0,nUkupnaBrutoPovrsinaS3)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IF(nEtazaS4=0,0,SUM(nSprat4[Neto površina]))</f>
        <v>0</v>
      </c>
      <c r="F20" s="52">
        <f>IF(nEtazaS4=0,0,SUM(nSprat4[Neto površina])*0.97)</f>
        <v>0</v>
      </c>
      <c r="G20" s="52">
        <f>IF(nEtazaS4=0,0,nUkupnaBrutoPovrsinaS4)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IF(nEtazaS5=0,0,SUM(nSprat5[Neto površina]))</f>
        <v>0</v>
      </c>
      <c r="F21" s="52">
        <f>IF(nEtazaS5=0,0,SUM(nSprat5[Neto površina])*0.97)</f>
        <v>0</v>
      </c>
      <c r="G21" s="52">
        <f>IF(nEtazaS5=0,0,nUkupnaBrutoPovrsinaS5)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IF(nEtazaPk=0,0,SUM(nPk[Neto površina]))</f>
        <v>0</v>
      </c>
      <c r="F22" s="54">
        <f>IF(nEtazaPk=0,0,SUM(nPk[Neto površina])*0.97)</f>
        <v>0</v>
      </c>
      <c r="G22" s="54">
        <f>IF(nEtazaPk=0,0,nUkupnaBrutoPovrsinaPk)</f>
        <v>0</v>
      </c>
      <c r="H22" s="46"/>
    </row>
    <row r="23" spans="3:8" x14ac:dyDescent="0.2">
      <c r="C23" s="20"/>
      <c r="D23" s="74"/>
      <c r="E23" s="74"/>
      <c r="F23" s="74"/>
      <c r="G23" s="74"/>
      <c r="H23" s="46"/>
    </row>
    <row r="24" spans="3:8" ht="15.75" x14ac:dyDescent="0.25">
      <c r="C24" s="20"/>
      <c r="D24" s="74"/>
      <c r="E24" s="74"/>
      <c r="F24" s="55" t="s">
        <v>71</v>
      </c>
      <c r="G24" s="56">
        <f>SUM(E14:E22)</f>
        <v>0</v>
      </c>
      <c r="H24" s="46"/>
    </row>
    <row r="25" spans="3:8" x14ac:dyDescent="0.2">
      <c r="C25" s="20"/>
      <c r="D25" s="74"/>
      <c r="E25" s="74"/>
      <c r="F25" s="74"/>
      <c r="G25" s="74"/>
      <c r="H25" s="46"/>
    </row>
    <row r="26" spans="3:8" ht="15.75" x14ac:dyDescent="0.25">
      <c r="C26" s="20"/>
      <c r="D26" s="74"/>
      <c r="E26" s="74"/>
      <c r="F26" s="55" t="s">
        <v>72</v>
      </c>
      <c r="G26" s="56">
        <f>SUM(F14:F22)</f>
        <v>0</v>
      </c>
      <c r="H26" s="46"/>
    </row>
    <row r="27" spans="3:8" x14ac:dyDescent="0.2">
      <c r="C27" s="20"/>
      <c r="D27" s="74"/>
      <c r="E27" s="74"/>
      <c r="F27" s="74"/>
      <c r="G27" s="74"/>
      <c r="H27" s="46"/>
    </row>
    <row r="28" spans="3:8" ht="15.75" x14ac:dyDescent="0.25">
      <c r="C28" s="20"/>
      <c r="D28" s="74"/>
      <c r="E28" s="74"/>
      <c r="F28" s="55" t="s">
        <v>73</v>
      </c>
      <c r="G28" s="56">
        <f>SUM(G14:G22)</f>
        <v>0</v>
      </c>
      <c r="H28" s="46"/>
    </row>
    <row r="29" spans="3:8" ht="15.75" x14ac:dyDescent="0.25">
      <c r="C29" s="20"/>
      <c r="D29" s="57"/>
      <c r="E29" s="57"/>
      <c r="F29" s="58"/>
      <c r="G29" s="59"/>
      <c r="H29" s="46"/>
    </row>
    <row r="30" spans="3:8" x14ac:dyDescent="0.2">
      <c r="C30" s="20"/>
      <c r="D30" s="193" t="str">
        <f>IF(ProjektnaOrganizacijaA=0,"...",ProjektnaOrganizacijaA)</f>
        <v>...</v>
      </c>
      <c r="E30" s="193"/>
      <c r="F30" s="193"/>
      <c r="G30" s="193"/>
      <c r="H30" s="46"/>
    </row>
    <row r="31" spans="3:8" x14ac:dyDescent="0.2">
      <c r="C31" s="20"/>
      <c r="D31" s="194" t="s">
        <v>5</v>
      </c>
      <c r="E31" s="194"/>
      <c r="F31" s="194"/>
      <c r="G31" s="194"/>
      <c r="H31" s="46"/>
    </row>
    <row r="32" spans="3:8" ht="15.75" x14ac:dyDescent="0.25">
      <c r="C32" s="20"/>
      <c r="D32" s="164"/>
      <c r="E32" s="164"/>
      <c r="F32" s="55"/>
      <c r="G32" s="56"/>
      <c r="H32" s="46"/>
    </row>
    <row r="33" spans="3:8" ht="15.75" x14ac:dyDescent="0.25">
      <c r="C33" s="20"/>
      <c r="D33" s="164"/>
      <c r="E33" s="164"/>
      <c r="F33" s="55"/>
      <c r="G33" s="56"/>
      <c r="H33" s="46"/>
    </row>
    <row r="34" spans="3:8" ht="15.75" x14ac:dyDescent="0.25">
      <c r="C34" s="20"/>
      <c r="D34" s="164"/>
      <c r="E34" s="164"/>
      <c r="F34" s="55"/>
      <c r="G34" s="56"/>
      <c r="H34" s="46"/>
    </row>
    <row r="35" spans="3:8" ht="15.75" x14ac:dyDescent="0.25">
      <c r="C35" s="20"/>
      <c r="D35" s="164"/>
      <c r="E35" s="164"/>
      <c r="F35" s="55"/>
      <c r="G35" s="56"/>
      <c r="H35" s="46"/>
    </row>
    <row r="36" spans="3:8" x14ac:dyDescent="0.2">
      <c r="C36" s="20"/>
      <c r="D36" s="195" t="str">
        <f>IF(OdgovorniProjektantA=0,"...",OdgovorniProjektantA)</f>
        <v>...</v>
      </c>
      <c r="E36" s="195"/>
      <c r="F36" s="195"/>
      <c r="G36" s="195"/>
      <c r="H36" s="46"/>
    </row>
    <row r="37" spans="3:8" x14ac:dyDescent="0.2">
      <c r="C37" s="20"/>
      <c r="D37" s="192" t="s">
        <v>44</v>
      </c>
      <c r="E37" s="192"/>
      <c r="F37" s="192"/>
      <c r="G37" s="192"/>
      <c r="H37" s="46"/>
    </row>
    <row r="38" spans="3:8" ht="15.75" x14ac:dyDescent="0.25">
      <c r="C38" s="46"/>
      <c r="D38" s="74"/>
      <c r="E38" s="74"/>
      <c r="F38" s="55"/>
      <c r="G38" s="56"/>
      <c r="H38" s="46"/>
    </row>
    <row r="39" spans="3:8" x14ac:dyDescent="0.2">
      <c r="C39" s="14"/>
      <c r="D39" s="14"/>
      <c r="E39" s="14"/>
      <c r="F39" s="14"/>
      <c r="G39" s="14"/>
      <c r="H39" s="14"/>
    </row>
    <row r="40" spans="3:8" x14ac:dyDescent="0.2">
      <c r="H40" s="60"/>
    </row>
    <row r="98" ht="15" customHeight="1" x14ac:dyDescent="0.2"/>
    <row r="180" ht="15.75" customHeight="1" x14ac:dyDescent="0.2"/>
    <row r="201" ht="15" customHeight="1" x14ac:dyDescent="0.2"/>
  </sheetData>
  <mergeCells count="6">
    <mergeCell ref="D37:G37"/>
    <mergeCell ref="C1:H1"/>
    <mergeCell ref="D11:G11"/>
    <mergeCell ref="D30:G30"/>
    <mergeCell ref="D31:G31"/>
    <mergeCell ref="D36:G36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46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130</vt:i4>
      </vt:variant>
    </vt:vector>
  </HeadingPairs>
  <TitlesOfParts>
    <vt:vector size="162" baseType="lpstr">
      <vt:lpstr>Index</vt:lpstr>
      <vt:lpstr>11</vt:lpstr>
      <vt:lpstr>Revident</vt:lpstr>
      <vt:lpstr>12</vt:lpstr>
      <vt:lpstr>13</vt:lpstr>
      <vt:lpstr>14</vt:lpstr>
      <vt:lpstr>15</vt:lpstr>
      <vt:lpstr>151</vt:lpstr>
      <vt:lpstr>16</vt:lpstr>
      <vt:lpstr>p161</vt:lpstr>
      <vt:lpstr>n161</vt:lpstr>
      <vt:lpstr>pPo</vt:lpstr>
      <vt:lpstr>pSu</vt:lpstr>
      <vt:lpstr>pPr</vt:lpstr>
      <vt:lpstr>pS1</vt:lpstr>
      <vt:lpstr>pS2</vt:lpstr>
      <vt:lpstr>pS3</vt:lpstr>
      <vt:lpstr>pS4</vt:lpstr>
      <vt:lpstr>pS5</vt:lpstr>
      <vt:lpstr>pPk</vt:lpstr>
      <vt:lpstr>pRekapitulacija</vt:lpstr>
      <vt:lpstr>nPo</vt:lpstr>
      <vt:lpstr>nSu</vt:lpstr>
      <vt:lpstr>nPr</vt:lpstr>
      <vt:lpstr>nS1</vt:lpstr>
      <vt:lpstr>nS2</vt:lpstr>
      <vt:lpstr>nS3</vt:lpstr>
      <vt:lpstr>nS4</vt:lpstr>
      <vt:lpstr>nS5</vt:lpstr>
      <vt:lpstr>nPk</vt:lpstr>
      <vt:lpstr>nRekapitulacija</vt:lpstr>
      <vt:lpstr>17</vt:lpstr>
      <vt:lpstr>Datum</vt:lpstr>
      <vt:lpstr>EvidencioniBroj</vt:lpstr>
      <vt:lpstr>Investitor</vt:lpstr>
      <vt:lpstr>InvestitorIzKonteksta</vt:lpstr>
      <vt:lpstr>Mesto</vt:lpstr>
      <vt:lpstr>'n161'!Naslov</vt:lpstr>
      <vt:lpstr>nPk!Naslov</vt:lpstr>
      <vt:lpstr>nPo!Naslov</vt:lpstr>
      <vt:lpstr>nPr!Naslov</vt:lpstr>
      <vt:lpstr>'nS1'!Naslov</vt:lpstr>
      <vt:lpstr>'nS2'!Naslov</vt:lpstr>
      <vt:lpstr>'nS3'!Naslov</vt:lpstr>
      <vt:lpstr>'nS4'!Naslov</vt:lpstr>
      <vt:lpstr>'nS5'!Naslov</vt:lpstr>
      <vt:lpstr>nSu!Naslov</vt:lpstr>
      <vt:lpstr>'p161'!Naslov</vt:lpstr>
      <vt:lpstr>pPk!Naslov</vt:lpstr>
      <vt:lpstr>pPo!Naslov</vt:lpstr>
      <vt:lpstr>pPr!Naslov</vt:lpstr>
      <vt:lpstr>'pS1'!Naslov</vt:lpstr>
      <vt:lpstr>'pS2'!Naslov</vt:lpstr>
      <vt:lpstr>'pS3'!Naslov</vt:lpstr>
      <vt:lpstr>'pS4'!Naslov</vt:lpstr>
      <vt:lpstr>'pS5'!Naslov</vt:lpstr>
      <vt:lpstr>pSu!Naslov</vt:lpstr>
      <vt:lpstr>nEtazaPk</vt:lpstr>
      <vt:lpstr>nEtazaPo</vt:lpstr>
      <vt:lpstr>nEtazaPr</vt:lpstr>
      <vt:lpstr>nEtazaS1</vt:lpstr>
      <vt:lpstr>nEtazaS2</vt:lpstr>
      <vt:lpstr>nEtazaS3</vt:lpstr>
      <vt:lpstr>nEtazaS4</vt:lpstr>
      <vt:lpstr>nEtazaS5</vt:lpstr>
      <vt:lpstr>nEtazaSu</vt:lpstr>
      <vt:lpstr>nSpratnaVisninaPk</vt:lpstr>
      <vt:lpstr>nSpratnaVisninaPo</vt:lpstr>
      <vt:lpstr>nSpratnaVisninaPr</vt:lpstr>
      <vt:lpstr>nSpratnaVisninaS1</vt:lpstr>
      <vt:lpstr>nSpratnaVisninaS2</vt:lpstr>
      <vt:lpstr>nSpratnaVisninaS3</vt:lpstr>
      <vt:lpstr>nSpratnaVisninaS4</vt:lpstr>
      <vt:lpstr>nSpratnaVisninaS5</vt:lpstr>
      <vt:lpstr>nSpratnaVisninaSu</vt:lpstr>
      <vt:lpstr>nUkupnaBrutoPovrsinaPk</vt:lpstr>
      <vt:lpstr>nUkupnaBrutoPovrsinaPo</vt:lpstr>
      <vt:lpstr>nUkupnaBrutoPovrsinaPr</vt:lpstr>
      <vt:lpstr>nUkupnaBrutoPovrsinaS1</vt:lpstr>
      <vt:lpstr>nUkupnaBrutoPovrsinaS2</vt:lpstr>
      <vt:lpstr>nUkupnaBrutoPovrsinaS3</vt:lpstr>
      <vt:lpstr>nUkupnaBrutoPovrsinaS4</vt:lpstr>
      <vt:lpstr>nUkupnaBrutoPovrsinaS5</vt:lpstr>
      <vt:lpstr>nUkupnaBrutoPovrsinaSu</vt:lpstr>
      <vt:lpstr>nVisinaSlemena</vt:lpstr>
      <vt:lpstr>nVisinaVenca</vt:lpstr>
      <vt:lpstr>Objekat</vt:lpstr>
      <vt:lpstr>ObjekatIzKonteksta</vt:lpstr>
      <vt:lpstr>OdgovorniProjektantA</vt:lpstr>
      <vt:lpstr>OdgovorniProjektantSlikaA</vt:lpstr>
      <vt:lpstr>OdgovorniProjektantSlikaR</vt:lpstr>
      <vt:lpstr>OdgovornoLiceA</vt:lpstr>
      <vt:lpstr>pEtazaPk</vt:lpstr>
      <vt:lpstr>pEtazaPo</vt:lpstr>
      <vt:lpstr>pEtazaPr</vt:lpstr>
      <vt:lpstr>pEtazaS1</vt:lpstr>
      <vt:lpstr>pEtazaS2</vt:lpstr>
      <vt:lpstr>pEtazaS3</vt:lpstr>
      <vt:lpstr>pEtazaS4</vt:lpstr>
      <vt:lpstr>pEtazaS5</vt:lpstr>
      <vt:lpstr>pEtazaSu</vt:lpstr>
      <vt:lpstr>Pilot</vt:lpstr>
      <vt:lpstr>PrikazNaslovaPodnaslovaEtaza</vt:lpstr>
      <vt:lpstr>'11'!Print_Area</vt:lpstr>
      <vt:lpstr>'12'!Print_Area</vt:lpstr>
      <vt:lpstr>'13'!Print_Area</vt:lpstr>
      <vt:lpstr>'14'!Print_Area</vt:lpstr>
      <vt:lpstr>'15'!Print_Area</vt:lpstr>
      <vt:lpstr>'151'!Print_Area</vt:lpstr>
      <vt:lpstr>'16'!Print_Area</vt:lpstr>
      <vt:lpstr>'17'!Print_Area</vt:lpstr>
      <vt:lpstr>'n161'!Print_Area</vt:lpstr>
      <vt:lpstr>nPk!Print_Area</vt:lpstr>
      <vt:lpstr>nPo!Print_Area</vt:lpstr>
      <vt:lpstr>nPr!Print_Area</vt:lpstr>
      <vt:lpstr>nRekapitulacija!Print_Area</vt:lpstr>
      <vt:lpstr>'nS1'!Print_Area</vt:lpstr>
      <vt:lpstr>'nS2'!Print_Area</vt:lpstr>
      <vt:lpstr>'nS3'!Print_Area</vt:lpstr>
      <vt:lpstr>'nS4'!Print_Area</vt:lpstr>
      <vt:lpstr>'nS5'!Print_Area</vt:lpstr>
      <vt:lpstr>nSu!Print_Area</vt:lpstr>
      <vt:lpstr>'p161'!Print_Area</vt:lpstr>
      <vt:lpstr>pPk!Print_Area</vt:lpstr>
      <vt:lpstr>pPo!Print_Area</vt:lpstr>
      <vt:lpstr>pPr!Print_Area</vt:lpstr>
      <vt:lpstr>pRekapitulacija!Print_Area</vt:lpstr>
      <vt:lpstr>'pS1'!Print_Area</vt:lpstr>
      <vt:lpstr>'pS2'!Print_Area</vt:lpstr>
      <vt:lpstr>'pS3'!Print_Area</vt:lpstr>
      <vt:lpstr>'pS4'!Print_Area</vt:lpstr>
      <vt:lpstr>'pS5'!Print_Area</vt:lpstr>
      <vt:lpstr>pSu!Print_Area</vt:lpstr>
      <vt:lpstr>Revident!Print_Area</vt:lpstr>
      <vt:lpstr>ProjektnaOrganizacijaA</vt:lpstr>
      <vt:lpstr>ProjektnaOrganizacijaR</vt:lpstr>
      <vt:lpstr>ProjektnaOrganizacijaSlikaA</vt:lpstr>
      <vt:lpstr>ProjektnaOrganizacijaSlikaR</vt:lpstr>
      <vt:lpstr>pSpratnaVisninaPk</vt:lpstr>
      <vt:lpstr>pSpratnaVisninaPo</vt:lpstr>
      <vt:lpstr>pSpratnaVisninaPr</vt:lpstr>
      <vt:lpstr>pSpratnaVisninaS1</vt:lpstr>
      <vt:lpstr>pSpratnaVisninaS2</vt:lpstr>
      <vt:lpstr>pSpratnaVisninaS3</vt:lpstr>
      <vt:lpstr>pSpratnaVisninaS4</vt:lpstr>
      <vt:lpstr>pSpratnaVisninaS5</vt:lpstr>
      <vt:lpstr>pSpratnaVisninaSu</vt:lpstr>
      <vt:lpstr>pUkupnaBrutoPovrsinaPk</vt:lpstr>
      <vt:lpstr>pUkupnaBrutoPovrsinaPo</vt:lpstr>
      <vt:lpstr>pUkupnaBrutoPovrsinaPr</vt:lpstr>
      <vt:lpstr>pUkupnaBrutoPovrsinaS1</vt:lpstr>
      <vt:lpstr>pUkupnaBrutoPovrsinaS2</vt:lpstr>
      <vt:lpstr>pUkupnaBrutoPovrsinaS3</vt:lpstr>
      <vt:lpstr>pUkupnaBrutoPovrsinaS4</vt:lpstr>
      <vt:lpstr>pUkupnaBrutoPovrsinaS5</vt:lpstr>
      <vt:lpstr>pUkupnaBrutoPovrsinaSu</vt:lpstr>
      <vt:lpstr>PutanjaBaze</vt:lpstr>
      <vt:lpstr>pVisinaSlemena</vt:lpstr>
      <vt:lpstr>pVisinaVenca</vt:lpstr>
      <vt:lpstr>RevidentA</vt:lpstr>
      <vt:lpstr>VrstaRadova</vt:lpstr>
      <vt:lpstr>VrstaRadovaIzKonteksta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2017-11-29T12:21:35Z</cp:lastPrinted>
  <dcterms:created xsi:type="dcterms:W3CDTF">2017-10-15T17:16:37Z</dcterms:created>
  <dcterms:modified xsi:type="dcterms:W3CDTF">2017-12-21T20:58:29Z</dcterms:modified>
</cp:coreProperties>
</file>