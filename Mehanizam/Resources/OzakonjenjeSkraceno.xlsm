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svg" ContentType="image/svg+xml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vukst\Dropbox\Mehanizam\Mehanizam\Resources\"/>
    </mc:Choice>
  </mc:AlternateContent>
  <bookViews>
    <workbookView xWindow="120" yWindow="150" windowWidth="24975" windowHeight="12015"/>
  </bookViews>
  <sheets>
    <sheet name="Index" sheetId="51" r:id="rId1"/>
    <sheet name="41" sheetId="23" r:id="rId2"/>
    <sheet name="42" sheetId="24" r:id="rId3"/>
    <sheet name="450" sheetId="27" r:id="rId4"/>
    <sheet name="451" sheetId="30" r:id="rId5"/>
    <sheet name="460" sheetId="28" r:id="rId6"/>
    <sheet name="461" sheetId="49" r:id="rId7"/>
    <sheet name="470" sheetId="29" r:id="rId8"/>
  </sheets>
  <definedNames>
    <definedName name="Datum">Index!$F$24</definedName>
    <definedName name="EvidencioniBroj">Index!$F$28</definedName>
    <definedName name="Investitor">Index!$F$39</definedName>
    <definedName name="LokacijaObjekta">Index!$F$71</definedName>
    <definedName name="Mesto">Index!$F$32</definedName>
    <definedName name="Objekat">Index!$F$46</definedName>
    <definedName name="OdgovorniProjektant">Index!$F$64</definedName>
    <definedName name="OdgovornoLice">Index!$F$57</definedName>
    <definedName name="Pilot">Index!$F$8</definedName>
    <definedName name="_xlnm.Print_Area" localSheetId="1">'41'!$D$8:$D$41</definedName>
    <definedName name="_xlnm.Print_Area" localSheetId="2">'42'!$D$8:$E$27</definedName>
    <definedName name="_xlnm.Print_Area" localSheetId="3">'450'!$D$8:$D$52</definedName>
    <definedName name="_xlnm.Print_Area" localSheetId="4">'451'!$D$8:$D$26</definedName>
    <definedName name="_xlnm.Print_Area" localSheetId="5">'460'!$D$8:$D$52</definedName>
    <definedName name="_xlnm.Print_Area" localSheetId="6">'461'!$D$8:$E$52</definedName>
    <definedName name="_xlnm.Print_Area" localSheetId="7">'470'!$D$8:$D$52</definedName>
    <definedName name="_xlnm.Print_Area" localSheetId="0">Index!$D$2:$H$89</definedName>
    <definedName name="ProjektnaOrganizacija">Index!$F$53</definedName>
    <definedName name="PutanjaBaze">Index!$F$15</definedName>
    <definedName name="SpisakParcela">Index!$F$75</definedName>
    <definedName name="UkupnaBrutoPovrsina">Index!$F$82</definedName>
    <definedName name="VisinaSlemena">Index!$F$86</definedName>
  </definedNames>
  <calcPr calcId="162913"/>
</workbook>
</file>

<file path=xl/calcChain.xml><?xml version="1.0" encoding="utf-8"?>
<calcChain xmlns="http://schemas.openxmlformats.org/spreadsheetml/2006/main">
  <c r="D50" i="49" l="1"/>
  <c r="D22" i="30" l="1"/>
  <c r="D16" i="30"/>
  <c r="D14" i="30"/>
  <c r="A26" i="51"/>
  <c r="A25" i="51"/>
  <c r="A23" i="51"/>
  <c r="A22" i="51"/>
  <c r="A21" i="51"/>
  <c r="D40" i="23" l="1"/>
  <c r="D26" i="23" l="1"/>
  <c r="D16" i="23"/>
  <c r="A24" i="51" l="1"/>
  <c r="A20" i="51"/>
  <c r="A6" i="51" l="1"/>
  <c r="A5" i="51"/>
  <c r="E15" i="49" l="1"/>
  <c r="D44" i="49"/>
  <c r="D24" i="30"/>
  <c r="D38" i="23"/>
  <c r="D34" i="23"/>
  <c r="D20" i="23"/>
  <c r="D14" i="23"/>
  <c r="E82" i="51" l="1"/>
  <c r="E75" i="51"/>
  <c r="E71" i="51"/>
  <c r="E64" i="51"/>
  <c r="E57" i="51"/>
  <c r="E53" i="51"/>
  <c r="E46" i="51"/>
  <c r="E39" i="51"/>
  <c r="E32" i="51"/>
  <c r="E28" i="51"/>
  <c r="E24" i="51"/>
  <c r="E15" i="51"/>
  <c r="E8" i="51"/>
  <c r="E86" i="51" l="1"/>
</calcChain>
</file>

<file path=xl/sharedStrings.xml><?xml version="1.0" encoding="utf-8"?>
<sst xmlns="http://schemas.openxmlformats.org/spreadsheetml/2006/main" count="102" uniqueCount="82">
  <si>
    <t>Investitor</t>
  </si>
  <si>
    <t>Objekat</t>
  </si>
  <si>
    <t>OPŠTI PODACI O OBJEKTU I LOKACIJI</t>
  </si>
  <si>
    <t>DIMENZIJE OBJEKTA</t>
  </si>
  <si>
    <t>Datum</t>
  </si>
  <si>
    <t>Mesto</t>
  </si>
  <si>
    <t>Vrsta tehničke dokumentacije</t>
  </si>
  <si>
    <t>Projektant</t>
  </si>
  <si>
    <t>Odgovorno lice</t>
  </si>
  <si>
    <t>Odgovorni projektant</t>
  </si>
  <si>
    <t>Broj tehničke dokumentacije</t>
  </si>
  <si>
    <t>Mesto i datum</t>
  </si>
  <si>
    <t>Tekstualna dokumentacija</t>
  </si>
  <si>
    <t>Numerička dokumentacija</t>
  </si>
  <si>
    <t>a</t>
  </si>
  <si>
    <t>b</t>
  </si>
  <si>
    <t>Snimak izvedenog stanja</t>
  </si>
  <si>
    <t>4.1.</t>
  </si>
  <si>
    <t>4.2.</t>
  </si>
  <si>
    <t>4.5.</t>
  </si>
  <si>
    <t>4.5.1.</t>
  </si>
  <si>
    <t>4.6.</t>
  </si>
  <si>
    <t>4.6.1.</t>
  </si>
  <si>
    <t>Opšti podaci o objektu</t>
  </si>
  <si>
    <t>4.7.</t>
  </si>
  <si>
    <t>Vlasnik nezakonito izgrađenog objekta</t>
  </si>
  <si>
    <t>Tekstualna
dokumentacija</t>
  </si>
  <si>
    <t>Numericka
dokumentacija</t>
  </si>
  <si>
    <t>Spisak katastarskih parcela i katastarska opština</t>
  </si>
  <si>
    <t>Visina slemena</t>
  </si>
  <si>
    <t>4.5.1. OPŠTI PODACI O OBJEKTU</t>
  </si>
  <si>
    <t>Tabelarni prikaz visina</t>
  </si>
  <si>
    <t>h</t>
  </si>
  <si>
    <t>Visina slemena:</t>
  </si>
  <si>
    <t>PODEŠAVANJA</t>
  </si>
  <si>
    <t>Pilot</t>
  </si>
  <si>
    <t>Naziv pilota</t>
  </si>
  <si>
    <t>Baza</t>
  </si>
  <si>
    <t>Informacije</t>
  </si>
  <si>
    <t>Putanja baze podataka (.accdb)</t>
  </si>
  <si>
    <t>PODACI</t>
  </si>
  <si>
    <t>Evidencija</t>
  </si>
  <si>
    <t>(primer: 23.11.2017)</t>
  </si>
  <si>
    <t>Evidencioni broj</t>
  </si>
  <si>
    <t>(primer: 23-1/11/2017)</t>
  </si>
  <si>
    <t>(primer: Ćuprija 35230)</t>
  </si>
  <si>
    <t>(primer: Vuk Stojanović, JMBG 1234567891234, Ćuprija 35230, Alekse Šantića 3)</t>
  </si>
  <si>
    <t>Projektne organizacije</t>
  </si>
  <si>
    <t>(primer: Stoing (DOO), Ćuprija 35230, Alekse Šantića 3)</t>
  </si>
  <si>
    <t>(primer: Vesna Stojanović, Dipl. inž. građ.)</t>
  </si>
  <si>
    <t>Odgovorni projektanti</t>
  </si>
  <si>
    <t>(primer: Zoran Stojanović, Dipl. inž. građ. sa brojem licence 317 A335 04)</t>
  </si>
  <si>
    <t>Opšti podaci o objektu i lokaciji</t>
  </si>
  <si>
    <t>(primer: k. p. br. 100 k. o. Ćuprija)</t>
  </si>
  <si>
    <t>Dimenzije objekta</t>
  </si>
  <si>
    <t>(primer: 100)</t>
  </si>
  <si>
    <t>Ukupna BRUTO izgrađena površina (m²)</t>
  </si>
  <si>
    <t>(primer: 80)</t>
  </si>
  <si>
    <t>PRILOZI</t>
  </si>
  <si>
    <t>Projektna organizacija</t>
  </si>
  <si>
    <t>Odgovorni projektant arhitekture</t>
  </si>
  <si>
    <t>4.1. Naslovna strana snimka izvedenog stanja</t>
  </si>
  <si>
    <t>4.2. Sadržaj snimka izvedenog stanja</t>
  </si>
  <si>
    <t>4.5.0. Tekstualna dokumentacija</t>
  </si>
  <si>
    <t>4.5.1. Opšti podaci o objektu i lokaciji</t>
  </si>
  <si>
    <t>4.6.0. Numerička dokumentacija</t>
  </si>
  <si>
    <t>4.6.1. Tabelarni prikaz visina</t>
  </si>
  <si>
    <t>Odgovorno lice projektne organizacije</t>
  </si>
  <si>
    <t>D:\Stoing (DOO)\Baze\Informacije\Informacije.accdb</t>
  </si>
  <si>
    <t>4.6.1. TABELARNI PRIKAZ VISINA</t>
  </si>
  <si>
    <t>Ukupna BRUTO izgrađena površina objekta po elaboratu geodetskih radova</t>
  </si>
  <si>
    <t>Lokacija objekta (adresa)</t>
  </si>
  <si>
    <t>Skraceno ozakonjenje</t>
  </si>
  <si>
    <t>(primer: Skraceno ozakonjenje)</t>
  </si>
  <si>
    <t>(primer: Ćuprija 35230, Alekse Šantića 3)</t>
  </si>
  <si>
    <t>4.7.0. Fotografije</t>
  </si>
  <si>
    <t>Fotografije</t>
  </si>
  <si>
    <t>(primer: Stambena zgrada sa jednim stanom - porodična kuća, spratnosti Pr+2+Pk)</t>
  </si>
  <si>
    <t>4.1. NASLOVNA STRANA SNIMKA IZVEDENOG STANJA ZA POMOĆNE OBJEKTE</t>
  </si>
  <si>
    <t>4.2. SADRŽAJ SNIMKA IZVEDENOG STANJA POMOĆNOG OBJEKTA</t>
  </si>
  <si>
    <t>Naslovna strana snimka izvedenog stanja pomoćnog objekta</t>
  </si>
  <si>
    <t>Sadržaj snimka izvedenog stanja pomoćnog objekta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</si>
</sst>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9" x14ac:knownFonts="1">
    <font>
      <sz val="12"/>
      <color theme="1"/>
      <name val="Arial"/>
      <family val="2"/>
    </font>
    <font>
      <sz val="12"/>
      <color theme="1"/>
      <name val="Arial"/>
      <family val="2"/>
      <charset val="238"/>
    </font>
    <font>
      <sz val="12"/>
      <color theme="1"/>
      <name val="Arial"/>
      <family val="2"/>
      <charset val="238"/>
    </font>
    <font>
      <b/>
      <sz val="10"/>
      <color theme="1" tint="0.249977111117893"/>
      <name val="Arial"/>
      <family val="2"/>
      <charset val="238"/>
    </font>
    <font>
      <sz val="12"/>
      <color theme="1"/>
      <name val="Arial"/>
      <family val="2"/>
    </font>
    <font>
      <b/>
      <sz val="12"/>
      <color theme="1"/>
      <name val="Arial"/>
      <family val="2"/>
      <charset val="238"/>
    </font>
    <font>
      <sz val="12"/>
      <color theme="0" tint="-0.249977111117893"/>
      <name val="Arial"/>
      <family val="2"/>
    </font>
    <font>
      <sz val="12"/>
      <color theme="5" tint="-0.249977111117893"/>
      <name val="Arial"/>
      <family val="2"/>
    </font>
    <font>
      <sz val="12"/>
      <name val="Arial"/>
      <family val="2"/>
    </font>
    <font>
      <i/>
      <sz val="8"/>
      <color rgb="FF808080"/>
      <name val="Arial"/>
      <family val="2"/>
      <charset val="238"/>
    </font>
    <font>
      <b/>
      <sz val="12"/>
      <name val="Arial"/>
      <family val="2"/>
      <charset val="238"/>
    </font>
    <font>
      <sz val="10"/>
      <color theme="1" tint="0.249977111117893"/>
      <name val="Arial"/>
      <family val="2"/>
      <charset val="238"/>
    </font>
    <font>
      <sz val="58"/>
      <color theme="1"/>
      <name val="Brush Script MT"/>
      <family val="4"/>
    </font>
    <font>
      <i/>
      <sz val="10"/>
      <color rgb="FF808080"/>
      <name val="Arial"/>
      <family val="2"/>
      <charset val="238"/>
    </font>
    <font>
      <i/>
      <sz val="8"/>
      <color theme="1" tint="0.499984740745262"/>
      <name val="Arial"/>
      <family val="2"/>
      <charset val="238"/>
    </font>
    <font>
      <i/>
      <sz val="8"/>
      <color theme="0" tint="-0.14996795556505021"/>
      <name val="Arial"/>
      <family val="2"/>
      <charset val="238"/>
    </font>
    <font>
      <sz val="12"/>
      <color theme="0" tint="-0.249977111117893"/>
      <name val="Arial"/>
      <family val="2"/>
      <charset val="238"/>
    </font>
    <font>
      <sz val="12"/>
      <color theme="1"/>
      <name val="Arial"/>
      <family val="2"/>
      <charset val="238"/>
    </font>
    <font>
      <sz val="12"/>
      <color theme="5" tint="-0.249977111117893"/>
      <name val="Arial"/>
      <family val="2"/>
      <charset val="238"/>
    </font>
    <font>
      <b/>
      <u/>
      <sz val="11"/>
      <color theme="1" tint="0.249977111117893"/>
      <name val="Arial"/>
      <family val="2"/>
      <charset val="238"/>
    </font>
    <font>
      <sz val="10"/>
      <color theme="1"/>
      <name val="Arial"/>
      <family val="2"/>
      <charset val="238"/>
    </font>
    <font>
      <i/>
      <sz val="8"/>
      <color theme="1" tint="0.249977111117893"/>
      <name val="Arial"/>
      <family val="2"/>
      <charset val="238"/>
    </font>
    <font>
      <sz val="10"/>
      <name val="Arial"/>
      <family val="2"/>
      <charset val="238"/>
    </font>
    <font>
      <sz val="9"/>
      <color theme="0" tint="-0.249977111117893"/>
      <name val="Forte"/>
      <family val="4"/>
    </font>
    <font>
      <u/>
      <sz val="12"/>
      <color theme="10"/>
      <name val="Arial"/>
      <family val="2"/>
    </font>
    <font>
      <sz val="10"/>
      <color rgb="FF404040"/>
      <name val="Arial"/>
      <family val="2"/>
    </font>
    <font>
      <sz val="12"/>
      <color theme="1"/>
      <name val="Wingdings 2"/>
      <family val="1"/>
      <charset val="2"/>
    </font>
    <font>
      <sz val="12"/>
      <color theme="1" tint="0.249977111117893"/>
      <name val="Wingdings 2"/>
      <family val="1"/>
      <charset val="2"/>
    </font>
    <font>
      <sz val="12"/>
      <name val="Arial"/>
      <family val="2"/>
      <charset val="238"/>
    </font>
  </fonts>
  <fills count="7">
    <fill>
      <patternFill patternType="none"/>
    </fill>
    <fill>
      <patternFill patternType="gray125"/>
    </fill>
    <fill>
      <patternFill patternType="solid">
        <fgColor theme="1" tint="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theme="0" tint="-0.499984740745262"/>
        <bgColor indexed="64"/>
      </patternFill>
    </fill>
  </fills>
  <borders count="24">
    <border>
      <left/>
      <right/>
      <top/>
      <bottom/>
      <diagonal/>
    </border>
    <border>
      <left/>
      <right/>
      <top/>
      <bottom style="thick">
        <color theme="0" tint="-4.9989318521683403E-2"/>
      </bottom>
      <diagonal/>
    </border>
    <border>
      <left/>
      <right/>
      <top style="thin">
        <color rgb="FF808080"/>
      </top>
      <bottom/>
      <diagonal/>
    </border>
    <border>
      <left/>
      <right/>
      <top/>
      <bottom style="thin">
        <color rgb="FF808080"/>
      </bottom>
      <diagonal/>
    </border>
    <border>
      <left/>
      <right/>
      <top/>
      <bottom style="thin">
        <color theme="1" tint="0.499984740745262"/>
      </bottom>
      <diagonal/>
    </border>
    <border>
      <left/>
      <right/>
      <top/>
      <bottom style="thin">
        <color theme="0" tint="-0.499984740745262"/>
      </bottom>
      <diagonal/>
    </border>
    <border>
      <left/>
      <right/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/>
      <top style="thin">
        <color theme="0" tint="-0.499984740745262"/>
      </top>
      <bottom/>
      <diagonal/>
    </border>
    <border>
      <left/>
      <right/>
      <top style="thin">
        <color theme="0" tint="-0.499984740745262"/>
      </top>
      <bottom/>
      <diagonal/>
    </border>
    <border>
      <left style="medium">
        <color theme="0" tint="-0.499984740745262"/>
      </left>
      <right/>
      <top style="medium">
        <color theme="0" tint="-0.499984740745262"/>
      </top>
      <bottom/>
      <diagonal/>
    </border>
    <border>
      <left/>
      <right/>
      <top style="medium">
        <color theme="0" tint="-0.499984740745262"/>
      </top>
      <bottom/>
      <diagonal/>
    </border>
    <border>
      <left/>
      <right style="medium">
        <color theme="0" tint="-0.499984740745262"/>
      </right>
      <top style="medium">
        <color theme="0" tint="-0.499984740745262"/>
      </top>
      <bottom/>
      <diagonal/>
    </border>
    <border>
      <left style="medium">
        <color theme="0" tint="-0.499984740745262"/>
      </left>
      <right/>
      <top/>
      <bottom/>
      <diagonal/>
    </border>
    <border>
      <left/>
      <right style="medium">
        <color theme="0" tint="-0.499984740745262"/>
      </right>
      <top/>
      <bottom/>
      <diagonal/>
    </border>
    <border>
      <left/>
      <right style="medium">
        <color theme="1" tint="0.499984740745262"/>
      </right>
      <top/>
      <bottom/>
      <diagonal/>
    </border>
    <border>
      <left style="medium">
        <color theme="0" tint="-0.499984740745262"/>
      </left>
      <right/>
      <top/>
      <bottom style="medium">
        <color theme="1" tint="0.499984740745262"/>
      </bottom>
      <diagonal/>
    </border>
    <border>
      <left/>
      <right/>
      <top/>
      <bottom style="medium">
        <color theme="1" tint="0.499984740745262"/>
      </bottom>
      <diagonal/>
    </border>
    <border>
      <left/>
      <right style="medium">
        <color theme="0" tint="-0.499984740745262"/>
      </right>
      <top/>
      <bottom style="medium">
        <color theme="1" tint="0.499984740745262"/>
      </bottom>
      <diagonal/>
    </border>
    <border>
      <left style="medium">
        <color theme="0" tint="-0.499984740745262"/>
      </left>
      <right/>
      <top/>
      <bottom style="medium">
        <color theme="0" tint="-0.499984740745262"/>
      </bottom>
      <diagonal/>
    </border>
    <border>
      <left/>
      <right/>
      <top/>
      <bottom style="medium">
        <color theme="0" tint="-0.499984740745262"/>
      </bottom>
      <diagonal/>
    </border>
    <border>
      <left/>
      <right style="medium">
        <color theme="0" tint="-0.499984740745262"/>
      </right>
      <top/>
      <bottom style="medium">
        <color theme="0" tint="-0.499984740745262"/>
      </bottom>
      <diagonal/>
    </border>
    <border>
      <left style="medium">
        <color theme="1" tint="0.499984740745262"/>
      </left>
      <right/>
      <top/>
      <bottom style="medium">
        <color theme="1" tint="0.499984740745262"/>
      </bottom>
      <diagonal/>
    </border>
    <border>
      <left/>
      <right style="medium">
        <color theme="1" tint="0.499984740745262"/>
      </right>
      <top/>
      <bottom style="medium">
        <color theme="1" tint="0.499984740745262"/>
      </bottom>
      <diagonal/>
    </border>
    <border>
      <left/>
      <right/>
      <top/>
      <bottom style="medium">
        <color theme="0" tint="-4.9989318521683403E-2"/>
      </bottom>
      <diagonal/>
    </border>
  </borders>
  <cellStyleXfs count="6">
    <xf numFmtId="0" fontId="0" fillId="0" borderId="0"/>
    <xf numFmtId="0" fontId="2" fillId="0" borderId="0"/>
    <xf numFmtId="0" fontId="4" fillId="0" borderId="0"/>
    <xf numFmtId="0" fontId="2" fillId="0" borderId="0"/>
    <xf numFmtId="0" fontId="1" fillId="0" borderId="0"/>
    <xf numFmtId="0" fontId="24" fillId="0" borderId="0" applyNumberFormat="0" applyFill="0" applyBorder="0" applyAlignment="0" applyProtection="0"/>
  </cellStyleXfs>
  <cellXfs count="106">
    <xf numFmtId="0" fontId="0" fillId="0" borderId="0" xfId="0"/>
    <xf numFmtId="0" fontId="4" fillId="2" borderId="1" xfId="2" applyFill="1" applyBorder="1"/>
    <xf numFmtId="0" fontId="4" fillId="0" borderId="0" xfId="2"/>
    <xf numFmtId="0" fontId="4" fillId="3" borderId="0" xfId="2" applyFont="1" applyFill="1" applyAlignment="1">
      <alignment horizontal="justify"/>
    </xf>
    <xf numFmtId="0" fontId="4" fillId="4" borderId="0" xfId="2" applyFont="1" applyFill="1" applyAlignment="1">
      <alignment horizontal="justify"/>
    </xf>
    <xf numFmtId="0" fontId="4" fillId="5" borderId="0" xfId="2" applyFont="1" applyFill="1" applyAlignment="1">
      <alignment horizontal="justify"/>
    </xf>
    <xf numFmtId="0" fontId="4" fillId="0" borderId="0" xfId="2" applyFont="1" applyAlignment="1">
      <alignment horizontal="justify"/>
    </xf>
    <xf numFmtId="0" fontId="5" fillId="0" borderId="0" xfId="2" applyFont="1" applyAlignment="1">
      <alignment horizontal="center"/>
    </xf>
    <xf numFmtId="0" fontId="8" fillId="0" borderId="2" xfId="2" applyFont="1" applyBorder="1" applyAlignment="1">
      <alignment horizontal="justify" wrapText="1"/>
    </xf>
    <xf numFmtId="0" fontId="4" fillId="0" borderId="0" xfId="2" applyAlignment="1">
      <alignment horizontal="justify"/>
    </xf>
    <xf numFmtId="0" fontId="9" fillId="0" borderId="0" xfId="2" applyFont="1" applyAlignment="1">
      <alignment horizontal="left" vertical="top"/>
    </xf>
    <xf numFmtId="0" fontId="8" fillId="0" borderId="0" xfId="2" applyFont="1" applyAlignment="1">
      <alignment horizontal="justify" wrapText="1"/>
    </xf>
    <xf numFmtId="0" fontId="8" fillId="0" borderId="0" xfId="2" applyFont="1" applyAlignment="1">
      <alignment horizontal="justify"/>
    </xf>
    <xf numFmtId="0" fontId="9" fillId="0" borderId="3" xfId="2" applyFont="1" applyBorder="1" applyAlignment="1">
      <alignment horizontal="left" vertical="top"/>
    </xf>
    <xf numFmtId="0" fontId="4" fillId="2" borderId="0" xfId="2" applyFont="1" applyFill="1" applyAlignment="1">
      <alignment horizontal="justify"/>
    </xf>
    <xf numFmtId="0" fontId="0" fillId="5" borderId="0" xfId="2" applyFont="1" applyFill="1" applyAlignment="1">
      <alignment horizontal="justify"/>
    </xf>
    <xf numFmtId="0" fontId="9" fillId="0" borderId="4" xfId="2" applyFont="1" applyBorder="1" applyAlignment="1">
      <alignment horizontal="left" vertical="top"/>
    </xf>
    <xf numFmtId="0" fontId="0" fillId="0" borderId="0" xfId="2" applyFont="1" applyAlignment="1">
      <alignment horizontal="justify"/>
    </xf>
    <xf numFmtId="0" fontId="8" fillId="2" borderId="1" xfId="2" applyFont="1" applyFill="1" applyBorder="1"/>
    <xf numFmtId="0" fontId="8" fillId="0" borderId="0" xfId="2" applyFont="1"/>
    <xf numFmtId="0" fontId="2" fillId="0" borderId="0" xfId="1" applyFont="1" applyFill="1" applyAlignment="1">
      <alignment horizontal="justify"/>
    </xf>
    <xf numFmtId="0" fontId="2" fillId="0" borderId="0" xfId="1" applyFont="1" applyAlignment="1">
      <alignment horizontal="justify"/>
    </xf>
    <xf numFmtId="0" fontId="5" fillId="0" borderId="0" xfId="1" applyFont="1" applyAlignment="1">
      <alignment horizontal="justify"/>
    </xf>
    <xf numFmtId="0" fontId="8" fillId="2" borderId="0" xfId="2" applyFont="1" applyFill="1"/>
    <xf numFmtId="0" fontId="10" fillId="0" borderId="0" xfId="2" applyFont="1" applyAlignment="1">
      <alignment horizontal="center"/>
    </xf>
    <xf numFmtId="0" fontId="9" fillId="0" borderId="5" xfId="2" applyFont="1" applyBorder="1" applyAlignment="1">
      <alignment horizontal="left" vertical="top"/>
    </xf>
    <xf numFmtId="0" fontId="9" fillId="0" borderId="0" xfId="2" applyFont="1" applyBorder="1" applyAlignment="1">
      <alignment horizontal="left" vertical="top"/>
    </xf>
    <xf numFmtId="0" fontId="11" fillId="0" borderId="0" xfId="4" applyFont="1" applyAlignment="1">
      <alignment horizontal="right" vertical="center"/>
    </xf>
    <xf numFmtId="0" fontId="0" fillId="4" borderId="0" xfId="0" applyFill="1"/>
    <xf numFmtId="0" fontId="4" fillId="3" borderId="0" xfId="2" applyFill="1"/>
    <xf numFmtId="0" fontId="4" fillId="4" borderId="0" xfId="2" applyFill="1"/>
    <xf numFmtId="0" fontId="15" fillId="6" borderId="7" xfId="2" applyFont="1" applyFill="1" applyBorder="1" applyAlignment="1">
      <alignment horizontal="left" vertical="center"/>
    </xf>
    <xf numFmtId="0" fontId="15" fillId="6" borderId="8" xfId="2" applyFont="1" applyFill="1" applyBorder="1" applyAlignment="1">
      <alignment horizontal="right" vertical="center"/>
    </xf>
    <xf numFmtId="0" fontId="8" fillId="0" borderId="6" xfId="2" applyFont="1" applyFill="1" applyBorder="1" applyAlignment="1">
      <alignment horizontal="justify"/>
    </xf>
    <xf numFmtId="4" fontId="8" fillId="0" borderId="6" xfId="2" applyNumberFormat="1" applyFont="1" applyFill="1" applyBorder="1" applyAlignment="1">
      <alignment horizontal="right"/>
    </xf>
    <xf numFmtId="0" fontId="4" fillId="0" borderId="4" xfId="2" applyFont="1" applyBorder="1" applyAlignment="1">
      <alignment horizontal="justify"/>
    </xf>
    <xf numFmtId="0" fontId="11" fillId="0" borderId="0" xfId="2" applyFont="1" applyAlignment="1">
      <alignment horizontal="right" vertical="center"/>
    </xf>
    <xf numFmtId="0" fontId="1" fillId="0" borderId="0" xfId="1" applyFont="1" applyAlignment="1">
      <alignment horizontal="justify"/>
    </xf>
    <xf numFmtId="0" fontId="5" fillId="0" borderId="0" xfId="0" applyNumberFormat="1" applyFont="1" applyFill="1" applyBorder="1" applyAlignment="1" applyProtection="1">
      <alignment horizontal="justify"/>
    </xf>
    <xf numFmtId="0" fontId="18" fillId="4" borderId="0" xfId="1" applyFont="1" applyFill="1" applyAlignment="1">
      <alignment horizontal="center"/>
    </xf>
    <xf numFmtId="0" fontId="17" fillId="0" borderId="0" xfId="0" applyNumberFormat="1" applyFont="1" applyFill="1" applyBorder="1" applyAlignment="1" applyProtection="1">
      <alignment horizontal="justify"/>
    </xf>
    <xf numFmtId="0" fontId="4" fillId="3" borderId="0" xfId="2" applyFill="1" applyProtection="1"/>
    <xf numFmtId="0" fontId="1" fillId="3" borderId="0" xfId="4" applyFill="1" applyProtection="1"/>
    <xf numFmtId="0" fontId="4" fillId="0" borderId="0" xfId="2" applyProtection="1"/>
    <xf numFmtId="0" fontId="19" fillId="0" borderId="0" xfId="4" applyFont="1" applyBorder="1" applyAlignment="1" applyProtection="1">
      <alignment horizontal="center" vertical="center"/>
    </xf>
    <xf numFmtId="0" fontId="1" fillId="4" borderId="0" xfId="4" applyFill="1" applyProtection="1"/>
    <xf numFmtId="0" fontId="3" fillId="0" borderId="0" xfId="2" applyFont="1" applyAlignment="1" applyProtection="1">
      <alignment horizontal="left" vertical="center"/>
    </xf>
    <xf numFmtId="0" fontId="1" fillId="0" borderId="0" xfId="4" applyProtection="1"/>
    <xf numFmtId="0" fontId="4" fillId="0" borderId="9" xfId="2" applyBorder="1" applyProtection="1"/>
    <xf numFmtId="0" fontId="1" fillId="0" borderId="10" xfId="4" applyBorder="1" applyProtection="1"/>
    <xf numFmtId="0" fontId="4" fillId="0" borderId="11" xfId="2" applyBorder="1" applyProtection="1"/>
    <xf numFmtId="0" fontId="4" fillId="0" borderId="12" xfId="2" applyBorder="1" applyProtection="1"/>
    <xf numFmtId="0" fontId="11" fillId="0" borderId="0" xfId="4" applyFont="1" applyBorder="1" applyAlignment="1" applyProtection="1">
      <alignment horizontal="left" vertical="center"/>
    </xf>
    <xf numFmtId="0" fontId="4" fillId="0" borderId="13" xfId="2" applyBorder="1" applyProtection="1"/>
    <xf numFmtId="0" fontId="4" fillId="0" borderId="14" xfId="2" applyBorder="1" applyProtection="1"/>
    <xf numFmtId="0" fontId="7" fillId="0" borderId="0" xfId="4" applyFont="1" applyFill="1" applyBorder="1" applyAlignment="1" applyProtection="1">
      <alignment horizontal="center"/>
    </xf>
    <xf numFmtId="0" fontId="20" fillId="0" borderId="5" xfId="4" applyNumberFormat="1" applyFont="1" applyBorder="1" applyAlignment="1" applyProtection="1">
      <alignment horizontal="justify"/>
    </xf>
    <xf numFmtId="0" fontId="7" fillId="0" borderId="13" xfId="4" applyFont="1" applyFill="1" applyBorder="1" applyAlignment="1" applyProtection="1">
      <alignment horizontal="center"/>
    </xf>
    <xf numFmtId="0" fontId="21" fillId="0" borderId="0" xfId="4" applyFont="1" applyBorder="1" applyAlignment="1" applyProtection="1">
      <alignment horizontal="left" vertical="top"/>
    </xf>
    <xf numFmtId="0" fontId="4" fillId="0" borderId="15" xfId="2" applyBorder="1" applyProtection="1"/>
    <xf numFmtId="0" fontId="1" fillId="0" borderId="16" xfId="4" applyBorder="1" applyProtection="1"/>
    <xf numFmtId="0" fontId="4" fillId="0" borderId="17" xfId="2" applyBorder="1" applyProtection="1"/>
    <xf numFmtId="0" fontId="3" fillId="3" borderId="0" xfId="2" applyFont="1" applyFill="1" applyAlignment="1" applyProtection="1">
      <alignment horizontal="left" vertical="center"/>
    </xf>
    <xf numFmtId="0" fontId="20" fillId="0" borderId="5" xfId="4" applyNumberFormat="1" applyFont="1" applyBorder="1" applyAlignment="1" applyProtection="1">
      <alignment horizontal="justify"/>
      <protection locked="0"/>
    </xf>
    <xf numFmtId="0" fontId="4" fillId="0" borderId="0" xfId="2" applyBorder="1" applyProtection="1"/>
    <xf numFmtId="0" fontId="1" fillId="0" borderId="0" xfId="4" applyBorder="1" applyProtection="1"/>
    <xf numFmtId="14" fontId="22" fillId="0" borderId="5" xfId="4" applyNumberFormat="1" applyFont="1" applyBorder="1" applyAlignment="1" applyProtection="1">
      <alignment horizontal="justify"/>
      <protection locked="0"/>
    </xf>
    <xf numFmtId="0" fontId="21" fillId="0" borderId="0" xfId="4" applyFont="1" applyBorder="1" applyAlignment="1" applyProtection="1">
      <alignment horizontal="justify" vertical="top"/>
    </xf>
    <xf numFmtId="0" fontId="4" fillId="0" borderId="18" xfId="2" applyBorder="1" applyProtection="1"/>
    <xf numFmtId="0" fontId="1" fillId="0" borderId="19" xfId="4" applyBorder="1" applyProtection="1"/>
    <xf numFmtId="0" fontId="4" fillId="0" borderId="20" xfId="2" applyBorder="1" applyProtection="1"/>
    <xf numFmtId="0" fontId="20" fillId="0" borderId="5" xfId="4" applyFont="1" applyBorder="1" applyAlignment="1" applyProtection="1">
      <alignment horizontal="justify"/>
      <protection locked="0"/>
    </xf>
    <xf numFmtId="0" fontId="4" fillId="0" borderId="21" xfId="2" applyBorder="1" applyProtection="1"/>
    <xf numFmtId="0" fontId="4" fillId="0" borderId="22" xfId="2" applyBorder="1" applyProtection="1"/>
    <xf numFmtId="0" fontId="4" fillId="0" borderId="10" xfId="2" applyBorder="1" applyProtection="1"/>
    <xf numFmtId="0" fontId="4" fillId="0" borderId="19" xfId="2" applyBorder="1" applyProtection="1"/>
    <xf numFmtId="0" fontId="4" fillId="2" borderId="0" xfId="2" applyFill="1" applyProtection="1"/>
    <xf numFmtId="0" fontId="4" fillId="3" borderId="0" xfId="2" applyFill="1" applyBorder="1" applyProtection="1"/>
    <xf numFmtId="0" fontId="0" fillId="3" borderId="0" xfId="0" applyFill="1" applyBorder="1" applyProtection="1"/>
    <xf numFmtId="0" fontId="11" fillId="3" borderId="0" xfId="2" applyFont="1" applyFill="1" applyAlignment="1" applyProtection="1">
      <alignment horizontal="left" vertical="center"/>
    </xf>
    <xf numFmtId="0" fontId="0" fillId="3" borderId="0" xfId="0" applyFill="1" applyProtection="1"/>
    <xf numFmtId="0" fontId="11" fillId="3" borderId="0" xfId="2" applyFont="1" applyFill="1" applyAlignment="1" applyProtection="1">
      <alignment horizontal="left" vertical="center" indent="1"/>
    </xf>
    <xf numFmtId="0" fontId="1" fillId="4" borderId="0" xfId="4" applyFill="1" applyBorder="1" applyProtection="1"/>
    <xf numFmtId="0" fontId="4" fillId="2" borderId="23" xfId="2" applyFill="1" applyBorder="1" applyProtection="1"/>
    <xf numFmtId="0" fontId="23" fillId="4" borderId="0" xfId="0" applyNumberFormat="1" applyFont="1" applyFill="1" applyBorder="1" applyAlignment="1" applyProtection="1">
      <alignment horizontal="center" vertical="center"/>
    </xf>
    <xf numFmtId="0" fontId="23" fillId="5" borderId="0" xfId="0" applyNumberFormat="1" applyFont="1" applyFill="1" applyBorder="1" applyAlignment="1" applyProtection="1">
      <alignment horizontal="center" vertical="center"/>
    </xf>
    <xf numFmtId="0" fontId="25" fillId="4" borderId="0" xfId="5" applyNumberFormat="1" applyFont="1" applyFill="1" applyBorder="1" applyAlignment="1" applyProtection="1">
      <alignment horizontal="center"/>
    </xf>
    <xf numFmtId="0" fontId="27" fillId="3" borderId="0" xfId="0" applyFont="1" applyFill="1" applyAlignment="1" applyProtection="1">
      <alignment horizontal="center" vertical="top"/>
    </xf>
    <xf numFmtId="0" fontId="26" fillId="3" borderId="0" xfId="0" applyFont="1" applyFill="1" applyAlignment="1" applyProtection="1">
      <alignment horizontal="center" vertical="top"/>
    </xf>
    <xf numFmtId="0" fontId="20" fillId="0" borderId="5" xfId="4" applyFont="1" applyBorder="1" applyAlignment="1" applyProtection="1">
      <alignment horizontal="justify" wrapText="1"/>
      <protection locked="0"/>
    </xf>
    <xf numFmtId="0" fontId="4" fillId="0" borderId="0" xfId="2" applyFont="1" applyAlignment="1">
      <alignment horizontal="justify"/>
    </xf>
    <xf numFmtId="0" fontId="4" fillId="0" borderId="0" xfId="2" applyFont="1" applyAlignment="1">
      <alignment horizontal="justify"/>
    </xf>
    <xf numFmtId="0" fontId="13" fillId="0" borderId="4" xfId="2" applyFont="1" applyBorder="1" applyAlignment="1">
      <alignment horizontal="right" vertical="center"/>
    </xf>
    <xf numFmtId="0" fontId="28" fillId="0" borderId="0" xfId="2" applyFont="1" applyBorder="1" applyAlignment="1">
      <alignment horizontal="justify" vertical="center"/>
    </xf>
    <xf numFmtId="4" fontId="20" fillId="0" borderId="5" xfId="4" applyNumberFormat="1" applyFont="1" applyBorder="1" applyAlignment="1" applyProtection="1">
      <alignment horizontal="justify"/>
      <protection locked="0"/>
    </xf>
    <xf numFmtId="0" fontId="6" fillId="2" borderId="1" xfId="1" applyFont="1" applyFill="1" applyBorder="1" applyAlignment="1">
      <alignment horizontal="left" vertical="center"/>
    </xf>
    <xf numFmtId="0" fontId="6" fillId="2" borderId="1" xfId="2" applyFont="1" applyFill="1" applyBorder="1" applyAlignment="1">
      <alignment horizontal="left" vertical="center"/>
    </xf>
    <xf numFmtId="0" fontId="5" fillId="0" borderId="0" xfId="1" applyFont="1" applyAlignment="1">
      <alignment horizontal="center"/>
    </xf>
    <xf numFmtId="0" fontId="12" fillId="0" borderId="0" xfId="2" applyFont="1" applyAlignment="1">
      <alignment horizontal="center" vertical="center" wrapText="1"/>
    </xf>
    <xf numFmtId="0" fontId="12" fillId="0" borderId="0" xfId="2" applyFont="1" applyAlignment="1">
      <alignment horizontal="center" vertical="center"/>
    </xf>
    <xf numFmtId="0" fontId="14" fillId="0" borderId="4" xfId="2" applyFont="1" applyBorder="1" applyAlignment="1">
      <alignment horizontal="left" vertical="top"/>
    </xf>
    <xf numFmtId="0" fontId="16" fillId="2" borderId="1" xfId="2" applyFont="1" applyFill="1" applyBorder="1" applyAlignment="1">
      <alignment horizontal="left" vertical="center"/>
    </xf>
    <xf numFmtId="0" fontId="5" fillId="0" borderId="0" xfId="2" applyFont="1" applyAlignment="1">
      <alignment horizontal="center"/>
    </xf>
    <xf numFmtId="0" fontId="4" fillId="0" borderId="0" xfId="2" applyFont="1" applyAlignment="1">
      <alignment horizontal="justify"/>
    </xf>
    <xf numFmtId="0" fontId="14" fillId="0" borderId="0" xfId="2" applyFont="1" applyBorder="1" applyAlignment="1">
      <alignment horizontal="left" vertical="top"/>
    </xf>
    <xf numFmtId="0" fontId="4" fillId="0" borderId="0" xfId="2" applyFont="1" applyAlignment="1">
      <alignment horizontal="left"/>
    </xf>
  </cellXfs>
  <cellStyles count="6">
    <cellStyle name="Hyperlink" xfId="5" builtinId="8"/>
    <cellStyle name="Normal" xfId="0" builtinId="0"/>
    <cellStyle name="Normal 2" xfId="1"/>
    <cellStyle name="Normal 2 2" xfId="2"/>
    <cellStyle name="Normal 3" xfId="3"/>
    <cellStyle name="Normal 3 2" xfId="4"/>
  </cellStyles>
  <dxfs count="2">
    <dxf>
      <font>
        <b val="0"/>
        <i val="0"/>
        <color theme="0" tint="-0.14996795556505021"/>
      </font>
      <fill>
        <patternFill>
          <bgColor theme="0" tint="-0.499984740745262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</border>
    </dxf>
    <dxf>
      <font>
        <color auto="1"/>
      </font>
      <fill>
        <patternFill patternType="none">
          <bgColor auto="1"/>
        </patternFill>
      </fill>
      <border>
        <left/>
        <right/>
        <top/>
        <bottom style="thin">
          <color theme="0" tint="-0.499984740745262"/>
        </bottom>
        <vertical/>
        <horizontal style="thin">
          <color theme="0" tint="-0.499984740745262"/>
        </horizontal>
      </border>
    </dxf>
  </dxfs>
  <tableStyles count="2" defaultTableStyle="TableStyleMedium9" defaultPivotStyle="PivotStyleLight16">
    <tableStyle name="Mehanizam2" pivot="0" count="2">
      <tableStyleElement type="wholeTable" dxfId="1"/>
      <tableStyleElement type="headerRow" dxfId="0"/>
    </tableStyle>
    <tableStyle name="Pilot1" pivot="0" count="0"/>
  </tableStyles>
  <colors>
    <mruColors>
      <color rgb="FF9C0006"/>
      <color rgb="FF9C6500"/>
      <color rgb="FFC0C0C0"/>
      <color rgb="FF0061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#PutanjaBaze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Datum"/><Relationship Id="rId2" Type="http://schemas.openxmlformats.org/officeDocument/2006/relationships/hyperlink" Target="#PutanjaBaze"/><Relationship Id="rId1" Type="http://schemas.openxmlformats.org/officeDocument/2006/relationships/hyperlink" Target="#'41'!A2"/><Relationship Id="rId6" Type="http://schemas.openxmlformats.org/officeDocument/2006/relationships/image" Target="../media/image8.svg"/><Relationship Id="rId4" Type="http://schemas.openxmlformats.org/officeDocument/2006/relationships/image" Target="../media/image4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Datum"/><Relationship Id="rId2" Type="http://schemas.openxmlformats.org/officeDocument/2006/relationships/hyperlink" Target="#PutanjaBaze"/><Relationship Id="rId1" Type="http://schemas.openxmlformats.org/officeDocument/2006/relationships/hyperlink" Target="#'42'!A2"/><Relationship Id="rId6" Type="http://schemas.openxmlformats.org/officeDocument/2006/relationships/image" Target="../media/image80.svg"/><Relationship Id="rId4" Type="http://schemas.openxmlformats.org/officeDocument/2006/relationships/image" Target="../media/image4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#Datum"/><Relationship Id="rId2" Type="http://schemas.openxmlformats.org/officeDocument/2006/relationships/hyperlink" Target="#PutanjaBaze"/><Relationship Id="rId1" Type="http://schemas.openxmlformats.org/officeDocument/2006/relationships/hyperlink" Target="#'450'!A2"/><Relationship Id="rId6" Type="http://schemas.openxmlformats.org/officeDocument/2006/relationships/image" Target="../media/image8.svg"/><Relationship Id="rId4" Type="http://schemas.openxmlformats.org/officeDocument/2006/relationships/image" Target="../media/image4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hyperlink" Target="#Datum"/><Relationship Id="rId2" Type="http://schemas.openxmlformats.org/officeDocument/2006/relationships/hyperlink" Target="#PutanjaBaze"/><Relationship Id="rId1" Type="http://schemas.openxmlformats.org/officeDocument/2006/relationships/hyperlink" Target="#'451'!A2"/><Relationship Id="rId6" Type="http://schemas.openxmlformats.org/officeDocument/2006/relationships/image" Target="../media/image8.svg"/><Relationship Id="rId4" Type="http://schemas.openxmlformats.org/officeDocument/2006/relationships/image" Target="../media/image4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hyperlink" Target="#Datum"/><Relationship Id="rId2" Type="http://schemas.openxmlformats.org/officeDocument/2006/relationships/hyperlink" Target="#PutanjaBaze"/><Relationship Id="rId1" Type="http://schemas.openxmlformats.org/officeDocument/2006/relationships/hyperlink" Target="#'460'!A2"/><Relationship Id="rId6" Type="http://schemas.openxmlformats.org/officeDocument/2006/relationships/image" Target="../media/image8.svg"/><Relationship Id="rId4" Type="http://schemas.openxmlformats.org/officeDocument/2006/relationships/image" Target="../media/image4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hyperlink" Target="#Datum"/><Relationship Id="rId2" Type="http://schemas.openxmlformats.org/officeDocument/2006/relationships/hyperlink" Target="#PutanjaBaze"/><Relationship Id="rId1" Type="http://schemas.openxmlformats.org/officeDocument/2006/relationships/hyperlink" Target="#'461'!A2"/><Relationship Id="rId6" Type="http://schemas.openxmlformats.org/officeDocument/2006/relationships/image" Target="../media/image8.svg"/><Relationship Id="rId4" Type="http://schemas.openxmlformats.org/officeDocument/2006/relationships/image" Target="../media/image4.pn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hyperlink" Target="#Datum"/><Relationship Id="rId2" Type="http://schemas.openxmlformats.org/officeDocument/2006/relationships/hyperlink" Target="#PutanjaBaze"/><Relationship Id="rId1" Type="http://schemas.openxmlformats.org/officeDocument/2006/relationships/hyperlink" Target="#'470'!A2"/><Relationship Id="rId6" Type="http://schemas.openxmlformats.org/officeDocument/2006/relationships/image" Target="../media/image8.svg"/><Relationship Id="rId4" Type="http://schemas.openxmlformats.org/officeDocument/2006/relationships/image" Target="../media/image4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png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png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png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png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png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0</xdr:colOff>
      <xdr:row>14</xdr:row>
      <xdr:rowOff>38100</xdr:rowOff>
    </xdr:from>
    <xdr:to>
      <xdr:col>6</xdr:col>
      <xdr:colOff>152400</xdr:colOff>
      <xdr:row>15</xdr:row>
      <xdr:rowOff>0</xdr:rowOff>
    </xdr:to>
    <xdr:pic macro="[0]!OdaberiPutanjuBaze">
      <xdr:nvPicPr>
        <xdr:cNvPr id="2" name="Odaberi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39275" y="2933700"/>
          <a:ext cx="152400" cy="152400"/>
        </a:xfrm>
        <a:prstGeom prst="rect">
          <a:avLst/>
        </a:prstGeom>
      </xdr:spPr>
    </xdr:pic>
    <xdr:clientData/>
  </xdr:twoCellAnchor>
  <xdr:twoCellAnchor>
    <xdr:from>
      <xdr:col>1</xdr:col>
      <xdr:colOff>2247900</xdr:colOff>
      <xdr:row>2</xdr:row>
      <xdr:rowOff>0</xdr:rowOff>
    </xdr:from>
    <xdr:to>
      <xdr:col>2</xdr:col>
      <xdr:colOff>0</xdr:colOff>
      <xdr:row>3</xdr:row>
      <xdr:rowOff>180676</xdr:rowOff>
    </xdr:to>
    <xdr:sp macro="[0]!PDF" textlink="">
      <xdr:nvSpPr>
        <xdr:cNvPr id="16" name="PDF"/>
        <xdr:cNvSpPr/>
      </xdr:nvSpPr>
      <xdr:spPr>
        <a:xfrm>
          <a:off x="2438400" y="571500"/>
          <a:ext cx="381000" cy="371176"/>
        </a:xfrm>
        <a:prstGeom prst="ellipse">
          <a:avLst/>
        </a:prstGeom>
        <a:solidFill>
          <a:schemeClr val="bg1">
            <a:lumMod val="95000"/>
          </a:schemeClr>
        </a:solidFill>
        <a:ln w="3175">
          <a:solidFill>
            <a:schemeClr val="tx1">
              <a:lumMod val="75000"/>
              <a:lumOff val="2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sr-Latn-RS" sz="1000">
              <a:solidFill>
                <a:schemeClr val="tx1">
                  <a:lumMod val="75000"/>
                  <a:lumOff val="25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PDF</a:t>
          </a:r>
        </a:p>
      </xdr:txBody>
    </xdr:sp>
    <xdr:clientData/>
  </xdr:twoCellAnchor>
  <xdr:twoCellAnchor>
    <xdr:from>
      <xdr:col>1</xdr:col>
      <xdr:colOff>1676400</xdr:colOff>
      <xdr:row>2</xdr:row>
      <xdr:rowOff>0</xdr:rowOff>
    </xdr:from>
    <xdr:to>
      <xdr:col>1</xdr:col>
      <xdr:colOff>2057400</xdr:colOff>
      <xdr:row>3</xdr:row>
      <xdr:rowOff>180676</xdr:rowOff>
    </xdr:to>
    <xdr:sp macro="[0]!RastezanjeRedova" textlink="">
      <xdr:nvSpPr>
        <xdr:cNvPr id="17" name="Red"/>
        <xdr:cNvSpPr/>
      </xdr:nvSpPr>
      <xdr:spPr>
        <a:xfrm>
          <a:off x="1866900" y="571500"/>
          <a:ext cx="381000" cy="371176"/>
        </a:xfrm>
        <a:prstGeom prst="ellipse">
          <a:avLst/>
        </a:prstGeom>
        <a:solidFill>
          <a:schemeClr val="bg1">
            <a:lumMod val="95000"/>
          </a:schemeClr>
        </a:solidFill>
        <a:ln w="3175">
          <a:solidFill>
            <a:schemeClr val="tx1">
              <a:lumMod val="75000"/>
              <a:lumOff val="2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sr-Latn-RS" sz="1000">
              <a:solidFill>
                <a:schemeClr val="tx1">
                  <a:lumMod val="75000"/>
                  <a:lumOff val="25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Red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8</xdr:col>
      <xdr:colOff>189294</xdr:colOff>
      <xdr:row>1</xdr:row>
      <xdr:rowOff>9525</xdr:rowOff>
    </xdr:to>
    <xdr:grpSp>
      <xdr:nvGrpSpPr>
        <xdr:cNvPr id="60" name="Zaglavlje"/>
        <xdr:cNvGrpSpPr/>
      </xdr:nvGrpSpPr>
      <xdr:grpSpPr>
        <a:xfrm>
          <a:off x="0" y="0"/>
          <a:ext cx="9942894" cy="390525"/>
          <a:chOff x="-25424" y="0"/>
          <a:chExt cx="10006235" cy="390525"/>
        </a:xfrm>
      </xdr:grpSpPr>
      <xdr:sp macro="" textlink="">
        <xdr:nvSpPr>
          <xdr:cNvPr id="61" name="Logo"/>
          <xdr:cNvSpPr/>
        </xdr:nvSpPr>
        <xdr:spPr>
          <a:xfrm>
            <a:off x="-25424" y="0"/>
            <a:ext cx="338903" cy="381000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sr-Latn-RS" sz="240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Stoing, symbol" panose="020B0603050302020204" pitchFamily="34" charset="2"/>
              </a:rPr>
              <a:t>,</a:t>
            </a:r>
          </a:p>
        </xdr:txBody>
      </xdr:sp>
      <xdr:sp macro="" textlink="">
        <xdr:nvSpPr>
          <xdr:cNvPr id="62" name="Naslov"/>
          <xdr:cNvSpPr/>
        </xdr:nvSpPr>
        <xdr:spPr>
          <a:xfrm>
            <a:off x="313637" y="0"/>
            <a:ext cx="9502184" cy="390525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54000" tIns="0" rIns="0" bIns="0" rtlCol="0" anchor="ctr"/>
          <a:lstStyle/>
          <a:p>
            <a:pPr algn="l"/>
            <a:r>
              <a:rPr lang="sr-Latn-RS" sz="1200" b="0" i="0" u="none" baseline="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Arial" panose="020B0604020202020204" pitchFamily="34" charset="0"/>
                <a:cs typeface="Arial" panose="020B0604020202020204" pitchFamily="34" charset="0"/>
              </a:rPr>
              <a:t>Pilot - Izveštaj zatečenog stanja</a:t>
            </a:r>
          </a:p>
        </xdr:txBody>
      </xdr:sp>
      <xdr:sp macro="" textlink="">
        <xdr:nvSpPr>
          <xdr:cNvPr id="63" name="Gore">
            <a:hlinkClick xmlns:r="http://schemas.openxmlformats.org/officeDocument/2006/relationships" r:id="rId2" tooltip="Gore"/>
          </xdr:cNvPr>
          <xdr:cNvSpPr/>
        </xdr:nvSpPr>
        <xdr:spPr>
          <a:xfrm>
            <a:off x="9790311" y="85725"/>
            <a:ext cx="190500" cy="190500"/>
          </a:xfrm>
          <a:prstGeom prst="upArrow">
            <a:avLst/>
          </a:prstGeom>
          <a:solidFill>
            <a:schemeClr val="bg1">
              <a:lumMod val="75000"/>
            </a:schemeClr>
          </a:solidFill>
          <a:ln>
            <a:noFill/>
          </a:ln>
          <a:effectLst>
            <a:outerShdw blurRad="50800" dist="127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sr-Latn-RS" sz="10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5</xdr:col>
      <xdr:colOff>23563</xdr:colOff>
      <xdr:row>1</xdr:row>
      <xdr:rowOff>9525</xdr:rowOff>
    </xdr:to>
    <xdr:grpSp>
      <xdr:nvGrpSpPr>
        <xdr:cNvPr id="2" name="Zaglavlje"/>
        <xdr:cNvGrpSpPr/>
      </xdr:nvGrpSpPr>
      <xdr:grpSpPr>
        <a:xfrm>
          <a:off x="0" y="0"/>
          <a:ext cx="7653088" cy="390525"/>
          <a:chOff x="0" y="0"/>
          <a:chExt cx="7653088" cy="390525"/>
        </a:xfrm>
      </xdr:grpSpPr>
      <xdr:sp macro="" textlink="">
        <xdr:nvSpPr>
          <xdr:cNvPr id="3" name="Logo"/>
          <xdr:cNvSpPr/>
        </xdr:nvSpPr>
        <xdr:spPr>
          <a:xfrm>
            <a:off x="0" y="0"/>
            <a:ext cx="380822" cy="381000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sr-Latn-RS" sz="240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Stoing, symbol" panose="020B0603050302020204" pitchFamily="34" charset="2"/>
              </a:rPr>
              <a:t>,</a:t>
            </a:r>
          </a:p>
        </xdr:txBody>
      </xdr:sp>
      <xdr:sp macro="" textlink="">
        <xdr:nvSpPr>
          <xdr:cNvPr id="4" name="Naslov"/>
          <xdr:cNvSpPr/>
        </xdr:nvSpPr>
        <xdr:spPr>
          <a:xfrm>
            <a:off x="381000" y="0"/>
            <a:ext cx="7058025" cy="390525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54000" tIns="0" rIns="0" bIns="0" rtlCol="0" anchor="ctr"/>
          <a:lstStyle/>
          <a:p>
            <a:pPr algn="l"/>
            <a:r>
              <a:rPr lang="sr-Latn-RS" sz="1200" b="0" i="0" u="none" baseline="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Arial" panose="020B0604020202020204" pitchFamily="34" charset="0"/>
                <a:cs typeface="Arial" panose="020B0604020202020204" pitchFamily="34" charset="0"/>
              </a:rPr>
              <a:t>Pilot - Izveštaj zatečenog stanja</a:t>
            </a:r>
          </a:p>
        </xdr:txBody>
      </xdr:sp>
      <xdr:sp macro="" textlink="">
        <xdr:nvSpPr>
          <xdr:cNvPr id="5" name="Gore">
            <a:hlinkClick xmlns:r="http://schemas.openxmlformats.org/officeDocument/2006/relationships" r:id="rId1" tooltip="Gore"/>
          </xdr:cNvPr>
          <xdr:cNvSpPr/>
        </xdr:nvSpPr>
        <xdr:spPr>
          <a:xfrm>
            <a:off x="7439025" y="85725"/>
            <a:ext cx="214063" cy="190500"/>
          </a:xfrm>
          <a:prstGeom prst="upArrow">
            <a:avLst/>
          </a:prstGeom>
          <a:solidFill>
            <a:schemeClr val="bg1">
              <a:lumMod val="75000"/>
            </a:schemeClr>
          </a:solidFill>
          <a:ln>
            <a:noFill/>
          </a:ln>
          <a:effectLst>
            <a:outerShdw blurRad="50800" dist="127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sr-Latn-RS" sz="10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</xdr:grpSp>
    <xdr:clientData/>
  </xdr:twoCellAnchor>
  <xdr:twoCellAnchor>
    <xdr:from>
      <xdr:col>2</xdr:col>
      <xdr:colOff>0</xdr:colOff>
      <xdr:row>2</xdr:row>
      <xdr:rowOff>0</xdr:rowOff>
    </xdr:from>
    <xdr:to>
      <xdr:col>5</xdr:col>
      <xdr:colOff>0</xdr:colOff>
      <xdr:row>4</xdr:row>
      <xdr:rowOff>10123</xdr:rowOff>
    </xdr:to>
    <xdr:grpSp>
      <xdr:nvGrpSpPr>
        <xdr:cNvPr id="6" name="Navigacija"/>
        <xdr:cNvGrpSpPr/>
      </xdr:nvGrpSpPr>
      <xdr:grpSpPr>
        <a:xfrm>
          <a:off x="381000" y="581025"/>
          <a:ext cx="7248525" cy="391123"/>
          <a:chOff x="381000" y="581025"/>
          <a:chExt cx="7248525" cy="391123"/>
        </a:xfrm>
      </xdr:grpSpPr>
      <xdr:sp macro="" textlink="">
        <xdr:nvSpPr>
          <xdr:cNvPr id="7" name="Podesavanja">
            <a:hlinkClick xmlns:r="http://schemas.openxmlformats.org/officeDocument/2006/relationships" r:id="rId2" tooltip="Podešavanja"/>
          </xdr:cNvPr>
          <xdr:cNvSpPr/>
        </xdr:nvSpPr>
        <xdr:spPr>
          <a:xfrm>
            <a:off x="571500" y="581025"/>
            <a:ext cx="814060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sp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Podešavanja</a:t>
            </a:r>
          </a:p>
        </xdr:txBody>
      </xdr:sp>
      <xdr:sp macro="" textlink="">
        <xdr:nvSpPr>
          <xdr:cNvPr id="8" name="Podaci">
            <a:hlinkClick xmlns:r="http://schemas.openxmlformats.org/officeDocument/2006/relationships" r:id="rId3" tooltip="Podaci"/>
          </xdr:cNvPr>
          <xdr:cNvSpPr/>
        </xdr:nvSpPr>
        <xdr:spPr>
          <a:xfrm>
            <a:off x="571500" y="781050"/>
            <a:ext cx="464734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sp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Podaci</a:t>
            </a:r>
          </a:p>
        </xdr:txBody>
      </xdr:sp>
      <xdr:sp macro="[0]!PDF" textlink="">
        <xdr:nvSpPr>
          <xdr:cNvPr id="9" name="PDF"/>
          <xdr:cNvSpPr/>
        </xdr:nvSpPr>
        <xdr:spPr>
          <a:xfrm>
            <a:off x="7248525" y="581025"/>
            <a:ext cx="381000" cy="371475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PDF</a:t>
            </a:r>
          </a:p>
        </xdr:txBody>
      </xdr:sp>
      <xdr:pic>
        <xdr:nvPicPr>
          <xdr:cNvPr id="10" name="Nazad" descr="Back">
            <a:extLst>
              <a:ext uri="{FF2B5EF4-FFF2-40B4-BE49-F238E27FC236}">
                <a16:creationId xmlns:a16="http://schemas.microsoft.com/office/drawing/2014/main" id="{7DE1ABB1-D455-4E15-BE3C-1433BE90F6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xmlns="" r:embed="rId6"/>
              </a:ext>
            </a:extLst>
          </a:blip>
          <a:stretch>
            <a:fillRect/>
          </a:stretch>
        </xdr:blipFill>
        <xdr:spPr>
          <a:xfrm>
            <a:off x="381000" y="591746"/>
            <a:ext cx="190500" cy="190500"/>
          </a:xfrm>
          <a:prstGeom prst="rect">
            <a:avLst/>
          </a:prstGeom>
        </xdr:spPr>
      </xdr:pic>
      <xdr:sp macro="[0]!RastezanjeRedova" textlink="">
        <xdr:nvSpPr>
          <xdr:cNvPr id="11" name="Red"/>
          <xdr:cNvSpPr/>
        </xdr:nvSpPr>
        <xdr:spPr>
          <a:xfrm>
            <a:off x="6677025" y="581324"/>
            <a:ext cx="381000" cy="371176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Red</a:t>
            </a: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23563</xdr:colOff>
      <xdr:row>1</xdr:row>
      <xdr:rowOff>9525</xdr:rowOff>
    </xdr:to>
    <xdr:grpSp>
      <xdr:nvGrpSpPr>
        <xdr:cNvPr id="2" name="Zaglavlje"/>
        <xdr:cNvGrpSpPr/>
      </xdr:nvGrpSpPr>
      <xdr:grpSpPr>
        <a:xfrm>
          <a:off x="0" y="0"/>
          <a:ext cx="6662488" cy="390525"/>
          <a:chOff x="0" y="0"/>
          <a:chExt cx="6662488" cy="390525"/>
        </a:xfrm>
      </xdr:grpSpPr>
      <xdr:sp macro="" textlink="">
        <xdr:nvSpPr>
          <xdr:cNvPr id="3" name="Logo"/>
          <xdr:cNvSpPr/>
        </xdr:nvSpPr>
        <xdr:spPr>
          <a:xfrm>
            <a:off x="0" y="0"/>
            <a:ext cx="380822" cy="381000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sr-Latn-RS" sz="240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Stoing, symbol" panose="020B0603050302020204" pitchFamily="34" charset="2"/>
              </a:rPr>
              <a:t>,</a:t>
            </a:r>
          </a:p>
        </xdr:txBody>
      </xdr:sp>
      <xdr:sp macro="" textlink="">
        <xdr:nvSpPr>
          <xdr:cNvPr id="4" name="Naslov"/>
          <xdr:cNvSpPr/>
        </xdr:nvSpPr>
        <xdr:spPr>
          <a:xfrm>
            <a:off x="381000" y="0"/>
            <a:ext cx="6067425" cy="390525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54000" tIns="0" rIns="0" bIns="0" rtlCol="0" anchor="ctr"/>
          <a:lstStyle/>
          <a:p>
            <a:pPr algn="l"/>
            <a:r>
              <a:rPr lang="sr-Latn-RS" sz="1200" b="0" i="0" u="none" baseline="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Arial" panose="020B0604020202020204" pitchFamily="34" charset="0"/>
                <a:cs typeface="Arial" panose="020B0604020202020204" pitchFamily="34" charset="0"/>
              </a:rPr>
              <a:t>Pilot - Izveštaj zatečenog stanja</a:t>
            </a:r>
          </a:p>
        </xdr:txBody>
      </xdr:sp>
      <xdr:sp macro="" textlink="">
        <xdr:nvSpPr>
          <xdr:cNvPr id="5" name="Gore">
            <a:hlinkClick xmlns:r="http://schemas.openxmlformats.org/officeDocument/2006/relationships" r:id="rId1" tooltip="Gore"/>
          </xdr:cNvPr>
          <xdr:cNvSpPr/>
        </xdr:nvSpPr>
        <xdr:spPr>
          <a:xfrm>
            <a:off x="6448425" y="85725"/>
            <a:ext cx="214063" cy="190500"/>
          </a:xfrm>
          <a:prstGeom prst="upArrow">
            <a:avLst/>
          </a:prstGeom>
          <a:solidFill>
            <a:schemeClr val="bg1">
              <a:lumMod val="75000"/>
            </a:schemeClr>
          </a:solidFill>
          <a:ln>
            <a:noFill/>
          </a:ln>
          <a:effectLst>
            <a:outerShdw blurRad="50800" dist="127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sr-Latn-RS" sz="10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</xdr:grpSp>
    <xdr:clientData/>
  </xdr:twoCellAnchor>
  <xdr:twoCellAnchor>
    <xdr:from>
      <xdr:col>2</xdr:col>
      <xdr:colOff>0</xdr:colOff>
      <xdr:row>2</xdr:row>
      <xdr:rowOff>0</xdr:rowOff>
    </xdr:from>
    <xdr:to>
      <xdr:col>6</xdr:col>
      <xdr:colOff>0</xdr:colOff>
      <xdr:row>4</xdr:row>
      <xdr:rowOff>10123</xdr:rowOff>
    </xdr:to>
    <xdr:grpSp>
      <xdr:nvGrpSpPr>
        <xdr:cNvPr id="12" name="Navigacija"/>
        <xdr:cNvGrpSpPr/>
      </xdr:nvGrpSpPr>
      <xdr:grpSpPr>
        <a:xfrm>
          <a:off x="381000" y="581025"/>
          <a:ext cx="6257925" cy="391123"/>
          <a:chOff x="381000" y="570902"/>
          <a:chExt cx="6257925" cy="391123"/>
        </a:xfrm>
      </xdr:grpSpPr>
      <xdr:sp macro="" textlink="">
        <xdr:nvSpPr>
          <xdr:cNvPr id="13" name="Podesavanja">
            <a:hlinkClick xmlns:r="http://schemas.openxmlformats.org/officeDocument/2006/relationships" r:id="rId2" tooltip="Podešavanja"/>
          </xdr:cNvPr>
          <xdr:cNvSpPr/>
        </xdr:nvSpPr>
        <xdr:spPr>
          <a:xfrm>
            <a:off x="571500" y="570902"/>
            <a:ext cx="814060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Podešavanja</a:t>
            </a:r>
          </a:p>
        </xdr:txBody>
      </xdr:sp>
      <xdr:sp macro="" textlink="">
        <xdr:nvSpPr>
          <xdr:cNvPr id="15" name="Podaci">
            <a:hlinkClick xmlns:r="http://schemas.openxmlformats.org/officeDocument/2006/relationships" r:id="rId3" tooltip="Podaci"/>
          </xdr:cNvPr>
          <xdr:cNvSpPr/>
        </xdr:nvSpPr>
        <xdr:spPr>
          <a:xfrm>
            <a:off x="571500" y="770927"/>
            <a:ext cx="464734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Podaci</a:t>
            </a:r>
          </a:p>
        </xdr:txBody>
      </xdr:sp>
      <xdr:sp macro="[0]!PDF" textlink="">
        <xdr:nvSpPr>
          <xdr:cNvPr id="16" name="PDF"/>
          <xdr:cNvSpPr/>
        </xdr:nvSpPr>
        <xdr:spPr>
          <a:xfrm>
            <a:off x="6257925" y="570902"/>
            <a:ext cx="381000" cy="371475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PDF</a:t>
            </a:r>
          </a:p>
        </xdr:txBody>
      </xdr:sp>
      <xdr:pic>
        <xdr:nvPicPr>
          <xdr:cNvPr id="17" name="Nazad" descr="Back">
            <a:extLst>
              <a:ext uri="{FF2B5EF4-FFF2-40B4-BE49-F238E27FC236}">
                <a16:creationId xmlns:a16="http://schemas.microsoft.com/office/drawing/2014/main" id="{7DE1ABB1-D455-4E15-BE3C-1433BE90F6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xmlns="" r:embed="rId6"/>
              </a:ext>
            </a:extLst>
          </a:blip>
          <a:stretch>
            <a:fillRect/>
          </a:stretch>
        </xdr:blipFill>
        <xdr:spPr>
          <a:xfrm>
            <a:off x="381000" y="581623"/>
            <a:ext cx="190500" cy="190500"/>
          </a:xfrm>
          <a:prstGeom prst="rect">
            <a:avLst/>
          </a:prstGeom>
        </xdr:spPr>
      </xdr:pic>
      <xdr:sp macro="[0]!RastezanjeRedova" textlink="">
        <xdr:nvSpPr>
          <xdr:cNvPr id="18" name="Red"/>
          <xdr:cNvSpPr/>
        </xdr:nvSpPr>
        <xdr:spPr>
          <a:xfrm>
            <a:off x="5724525" y="571201"/>
            <a:ext cx="381000" cy="371176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Red</a:t>
            </a: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5</xdr:col>
      <xdr:colOff>0</xdr:colOff>
      <xdr:row>1</xdr:row>
      <xdr:rowOff>9525</xdr:rowOff>
    </xdr:to>
    <xdr:grpSp>
      <xdr:nvGrpSpPr>
        <xdr:cNvPr id="2" name="Zaglavlje"/>
        <xdr:cNvGrpSpPr/>
      </xdr:nvGrpSpPr>
      <xdr:grpSpPr>
        <a:xfrm>
          <a:off x="0" y="0"/>
          <a:ext cx="6743700" cy="390525"/>
          <a:chOff x="0" y="0"/>
          <a:chExt cx="6743700" cy="390525"/>
        </a:xfrm>
      </xdr:grpSpPr>
      <xdr:sp macro="" textlink="">
        <xdr:nvSpPr>
          <xdr:cNvPr id="3" name="Logo"/>
          <xdr:cNvSpPr/>
        </xdr:nvSpPr>
        <xdr:spPr>
          <a:xfrm>
            <a:off x="0" y="0"/>
            <a:ext cx="380822" cy="381000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sr-Latn-RS" sz="240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Stoing, symbol" panose="020B0603050302020204" pitchFamily="34" charset="2"/>
              </a:rPr>
              <a:t>,</a:t>
            </a:r>
          </a:p>
        </xdr:txBody>
      </xdr:sp>
      <xdr:sp macro="" textlink="">
        <xdr:nvSpPr>
          <xdr:cNvPr id="4" name="Naslov"/>
          <xdr:cNvSpPr/>
        </xdr:nvSpPr>
        <xdr:spPr>
          <a:xfrm>
            <a:off x="381000" y="0"/>
            <a:ext cx="6172200" cy="390525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54000" tIns="0" rIns="0" bIns="0" rtlCol="0" anchor="ctr"/>
          <a:lstStyle/>
          <a:p>
            <a:pPr algn="l"/>
            <a:r>
              <a:rPr lang="sr-Latn-RS" sz="1200" b="0" i="0" u="none" baseline="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Arial" panose="020B0604020202020204" pitchFamily="34" charset="0"/>
                <a:cs typeface="Arial" panose="020B0604020202020204" pitchFamily="34" charset="0"/>
              </a:rPr>
              <a:t>Pilot - Izveštaj zatečenog stanja</a:t>
            </a:r>
          </a:p>
        </xdr:txBody>
      </xdr:sp>
      <xdr:sp macro="" textlink="">
        <xdr:nvSpPr>
          <xdr:cNvPr id="5" name="Gore">
            <a:hlinkClick xmlns:r="http://schemas.openxmlformats.org/officeDocument/2006/relationships" r:id="rId1" tooltip="Gore"/>
          </xdr:cNvPr>
          <xdr:cNvSpPr/>
        </xdr:nvSpPr>
        <xdr:spPr>
          <a:xfrm>
            <a:off x="6529637" y="85725"/>
            <a:ext cx="214063" cy="190500"/>
          </a:xfrm>
          <a:prstGeom prst="upArrow">
            <a:avLst/>
          </a:prstGeom>
          <a:solidFill>
            <a:schemeClr val="bg1">
              <a:lumMod val="75000"/>
            </a:schemeClr>
          </a:solidFill>
          <a:ln>
            <a:noFill/>
          </a:ln>
          <a:effectLst>
            <a:outerShdw blurRad="50800" dist="127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sr-Latn-RS" sz="10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</xdr:grpSp>
    <xdr:clientData/>
  </xdr:twoCellAnchor>
  <xdr:twoCellAnchor>
    <xdr:from>
      <xdr:col>2</xdr:col>
      <xdr:colOff>0</xdr:colOff>
      <xdr:row>2</xdr:row>
      <xdr:rowOff>0</xdr:rowOff>
    </xdr:from>
    <xdr:to>
      <xdr:col>5</xdr:col>
      <xdr:colOff>0</xdr:colOff>
      <xdr:row>4</xdr:row>
      <xdr:rowOff>10123</xdr:rowOff>
    </xdr:to>
    <xdr:grpSp>
      <xdr:nvGrpSpPr>
        <xdr:cNvPr id="6" name="Navigacija"/>
        <xdr:cNvGrpSpPr/>
      </xdr:nvGrpSpPr>
      <xdr:grpSpPr>
        <a:xfrm>
          <a:off x="381000" y="581025"/>
          <a:ext cx="6362700" cy="391123"/>
          <a:chOff x="381000" y="581025"/>
          <a:chExt cx="6362700" cy="391123"/>
        </a:xfrm>
      </xdr:grpSpPr>
      <xdr:sp macro="" textlink="">
        <xdr:nvSpPr>
          <xdr:cNvPr id="7" name="Podesavanja">
            <a:hlinkClick xmlns:r="http://schemas.openxmlformats.org/officeDocument/2006/relationships" r:id="rId2" tooltip="Podešavanja"/>
          </xdr:cNvPr>
          <xdr:cNvSpPr/>
        </xdr:nvSpPr>
        <xdr:spPr>
          <a:xfrm>
            <a:off x="571500" y="581025"/>
            <a:ext cx="814060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sp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Podešavanja</a:t>
            </a:r>
          </a:p>
        </xdr:txBody>
      </xdr:sp>
      <xdr:sp macro="" textlink="">
        <xdr:nvSpPr>
          <xdr:cNvPr id="8" name="Podaci">
            <a:hlinkClick xmlns:r="http://schemas.openxmlformats.org/officeDocument/2006/relationships" r:id="rId3" tooltip="Podaci"/>
          </xdr:cNvPr>
          <xdr:cNvSpPr/>
        </xdr:nvSpPr>
        <xdr:spPr>
          <a:xfrm>
            <a:off x="571500" y="781050"/>
            <a:ext cx="464734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sp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Podaci</a:t>
            </a:r>
          </a:p>
        </xdr:txBody>
      </xdr:sp>
      <xdr:sp macro="[0]!PDF" textlink="">
        <xdr:nvSpPr>
          <xdr:cNvPr id="9" name="PDF"/>
          <xdr:cNvSpPr/>
        </xdr:nvSpPr>
        <xdr:spPr>
          <a:xfrm>
            <a:off x="6362700" y="581025"/>
            <a:ext cx="381000" cy="371475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PDF</a:t>
            </a:r>
          </a:p>
        </xdr:txBody>
      </xdr:sp>
      <xdr:pic>
        <xdr:nvPicPr>
          <xdr:cNvPr id="10" name="Nazad" descr="Back">
            <a:extLst>
              <a:ext uri="{FF2B5EF4-FFF2-40B4-BE49-F238E27FC236}">
                <a16:creationId xmlns:a16="http://schemas.microsoft.com/office/drawing/2014/main" id="{7DE1ABB1-D455-4E15-BE3C-1433BE90F6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xmlns="" r:embed="rId6"/>
              </a:ext>
            </a:extLst>
          </a:blip>
          <a:stretch>
            <a:fillRect/>
          </a:stretch>
        </xdr:blipFill>
        <xdr:spPr>
          <a:xfrm>
            <a:off x="381000" y="591746"/>
            <a:ext cx="190500" cy="190500"/>
          </a:xfrm>
          <a:prstGeom prst="rect">
            <a:avLst/>
          </a:prstGeom>
        </xdr:spPr>
      </xdr:pic>
      <xdr:sp macro="[0]!RastezanjeRedova" textlink="">
        <xdr:nvSpPr>
          <xdr:cNvPr id="11" name="Red"/>
          <xdr:cNvSpPr/>
        </xdr:nvSpPr>
        <xdr:spPr>
          <a:xfrm>
            <a:off x="5791200" y="581324"/>
            <a:ext cx="381000" cy="371176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Red</a:t>
            </a:r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5</xdr:col>
      <xdr:colOff>0</xdr:colOff>
      <xdr:row>1</xdr:row>
      <xdr:rowOff>9525</xdr:rowOff>
    </xdr:to>
    <xdr:grpSp>
      <xdr:nvGrpSpPr>
        <xdr:cNvPr id="2" name="Zaglavlje"/>
        <xdr:cNvGrpSpPr/>
      </xdr:nvGrpSpPr>
      <xdr:grpSpPr>
        <a:xfrm>
          <a:off x="0" y="0"/>
          <a:ext cx="6743700" cy="390525"/>
          <a:chOff x="0" y="0"/>
          <a:chExt cx="6743700" cy="390525"/>
        </a:xfrm>
      </xdr:grpSpPr>
      <xdr:sp macro="" textlink="">
        <xdr:nvSpPr>
          <xdr:cNvPr id="3" name="Logo"/>
          <xdr:cNvSpPr/>
        </xdr:nvSpPr>
        <xdr:spPr>
          <a:xfrm>
            <a:off x="0" y="0"/>
            <a:ext cx="380822" cy="381000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sr-Latn-RS" sz="240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Stoing, symbol" panose="020B0603050302020204" pitchFamily="34" charset="2"/>
              </a:rPr>
              <a:t>,</a:t>
            </a:r>
          </a:p>
        </xdr:txBody>
      </xdr:sp>
      <xdr:sp macro="" textlink="">
        <xdr:nvSpPr>
          <xdr:cNvPr id="4" name="Naslov"/>
          <xdr:cNvSpPr/>
        </xdr:nvSpPr>
        <xdr:spPr>
          <a:xfrm>
            <a:off x="381000" y="0"/>
            <a:ext cx="6172200" cy="390525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54000" tIns="0" rIns="0" bIns="0" rtlCol="0" anchor="ctr"/>
          <a:lstStyle/>
          <a:p>
            <a:pPr algn="l"/>
            <a:r>
              <a:rPr lang="sr-Latn-RS" sz="1200" b="0" i="0" u="none" baseline="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Arial" panose="020B0604020202020204" pitchFamily="34" charset="0"/>
                <a:cs typeface="Arial" panose="020B0604020202020204" pitchFamily="34" charset="0"/>
              </a:rPr>
              <a:t>Pilot - Izveštaj zatečenog stanja</a:t>
            </a:r>
          </a:p>
        </xdr:txBody>
      </xdr:sp>
      <xdr:sp macro="" textlink="">
        <xdr:nvSpPr>
          <xdr:cNvPr id="5" name="Gore">
            <a:hlinkClick xmlns:r="http://schemas.openxmlformats.org/officeDocument/2006/relationships" r:id="rId1" tooltip="Gore"/>
          </xdr:cNvPr>
          <xdr:cNvSpPr/>
        </xdr:nvSpPr>
        <xdr:spPr>
          <a:xfrm>
            <a:off x="6529637" y="85725"/>
            <a:ext cx="214063" cy="190500"/>
          </a:xfrm>
          <a:prstGeom prst="upArrow">
            <a:avLst/>
          </a:prstGeom>
          <a:solidFill>
            <a:schemeClr val="bg1">
              <a:lumMod val="75000"/>
            </a:schemeClr>
          </a:solidFill>
          <a:ln>
            <a:noFill/>
          </a:ln>
          <a:effectLst>
            <a:outerShdw blurRad="50800" dist="127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sr-Latn-RS" sz="10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</xdr:grpSp>
    <xdr:clientData/>
  </xdr:twoCellAnchor>
  <xdr:twoCellAnchor>
    <xdr:from>
      <xdr:col>2</xdr:col>
      <xdr:colOff>0</xdr:colOff>
      <xdr:row>2</xdr:row>
      <xdr:rowOff>0</xdr:rowOff>
    </xdr:from>
    <xdr:to>
      <xdr:col>5</xdr:col>
      <xdr:colOff>0</xdr:colOff>
      <xdr:row>4</xdr:row>
      <xdr:rowOff>10123</xdr:rowOff>
    </xdr:to>
    <xdr:grpSp>
      <xdr:nvGrpSpPr>
        <xdr:cNvPr id="6" name="Navigacija"/>
        <xdr:cNvGrpSpPr/>
      </xdr:nvGrpSpPr>
      <xdr:grpSpPr>
        <a:xfrm>
          <a:off x="381000" y="581025"/>
          <a:ext cx="6362700" cy="391123"/>
          <a:chOff x="381000" y="581025"/>
          <a:chExt cx="6362700" cy="391123"/>
        </a:xfrm>
      </xdr:grpSpPr>
      <xdr:sp macro="" textlink="">
        <xdr:nvSpPr>
          <xdr:cNvPr id="7" name="Podesavanja">
            <a:hlinkClick xmlns:r="http://schemas.openxmlformats.org/officeDocument/2006/relationships" r:id="rId2" tooltip="Podešavanja"/>
          </xdr:cNvPr>
          <xdr:cNvSpPr/>
        </xdr:nvSpPr>
        <xdr:spPr>
          <a:xfrm>
            <a:off x="571500" y="581025"/>
            <a:ext cx="814060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sp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Podešavanja</a:t>
            </a:r>
          </a:p>
        </xdr:txBody>
      </xdr:sp>
      <xdr:sp macro="" textlink="">
        <xdr:nvSpPr>
          <xdr:cNvPr id="8" name="Podaci">
            <a:hlinkClick xmlns:r="http://schemas.openxmlformats.org/officeDocument/2006/relationships" r:id="rId3" tooltip="Podaci"/>
          </xdr:cNvPr>
          <xdr:cNvSpPr/>
        </xdr:nvSpPr>
        <xdr:spPr>
          <a:xfrm>
            <a:off x="571500" y="781050"/>
            <a:ext cx="464734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sp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Podaci</a:t>
            </a:r>
          </a:p>
        </xdr:txBody>
      </xdr:sp>
      <xdr:sp macro="[0]!PDF" textlink="">
        <xdr:nvSpPr>
          <xdr:cNvPr id="9" name="PDF"/>
          <xdr:cNvSpPr/>
        </xdr:nvSpPr>
        <xdr:spPr>
          <a:xfrm>
            <a:off x="6362700" y="581025"/>
            <a:ext cx="381000" cy="371475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PDF</a:t>
            </a:r>
          </a:p>
        </xdr:txBody>
      </xdr:sp>
      <xdr:pic>
        <xdr:nvPicPr>
          <xdr:cNvPr id="10" name="Nazad" descr="Back">
            <a:extLst>
              <a:ext uri="{FF2B5EF4-FFF2-40B4-BE49-F238E27FC236}">
                <a16:creationId xmlns:a16="http://schemas.microsoft.com/office/drawing/2014/main" id="{7DE1ABB1-D455-4E15-BE3C-1433BE90F6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xmlns="" r:embed="rId6"/>
              </a:ext>
            </a:extLst>
          </a:blip>
          <a:stretch>
            <a:fillRect/>
          </a:stretch>
        </xdr:blipFill>
        <xdr:spPr>
          <a:xfrm>
            <a:off x="381000" y="591746"/>
            <a:ext cx="190500" cy="190500"/>
          </a:xfrm>
          <a:prstGeom prst="rect">
            <a:avLst/>
          </a:prstGeom>
        </xdr:spPr>
      </xdr:pic>
      <xdr:sp macro="[0]!RastezanjeRedova" textlink="">
        <xdr:nvSpPr>
          <xdr:cNvPr id="11" name="Red"/>
          <xdr:cNvSpPr/>
        </xdr:nvSpPr>
        <xdr:spPr>
          <a:xfrm>
            <a:off x="5791200" y="581324"/>
            <a:ext cx="381000" cy="371176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Red</a:t>
            </a:r>
          </a:p>
        </xdr:txBody>
      </xdr:sp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5</xdr:col>
      <xdr:colOff>0</xdr:colOff>
      <xdr:row>1</xdr:row>
      <xdr:rowOff>9525</xdr:rowOff>
    </xdr:to>
    <xdr:grpSp>
      <xdr:nvGrpSpPr>
        <xdr:cNvPr id="2" name="Zaglavlje"/>
        <xdr:cNvGrpSpPr/>
      </xdr:nvGrpSpPr>
      <xdr:grpSpPr>
        <a:xfrm>
          <a:off x="0" y="0"/>
          <a:ext cx="6743700" cy="390525"/>
          <a:chOff x="0" y="0"/>
          <a:chExt cx="6743700" cy="390525"/>
        </a:xfrm>
      </xdr:grpSpPr>
      <xdr:sp macro="" textlink="">
        <xdr:nvSpPr>
          <xdr:cNvPr id="3" name="Logo"/>
          <xdr:cNvSpPr/>
        </xdr:nvSpPr>
        <xdr:spPr>
          <a:xfrm>
            <a:off x="0" y="0"/>
            <a:ext cx="380822" cy="381000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sr-Latn-RS" sz="240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Stoing, symbol" panose="020B0603050302020204" pitchFamily="34" charset="2"/>
              </a:rPr>
              <a:t>,</a:t>
            </a:r>
          </a:p>
        </xdr:txBody>
      </xdr:sp>
      <xdr:sp macro="" textlink="">
        <xdr:nvSpPr>
          <xdr:cNvPr id="4" name="Naslov"/>
          <xdr:cNvSpPr/>
        </xdr:nvSpPr>
        <xdr:spPr>
          <a:xfrm>
            <a:off x="381000" y="0"/>
            <a:ext cx="6172200" cy="390525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54000" tIns="0" rIns="0" bIns="0" rtlCol="0" anchor="ctr"/>
          <a:lstStyle/>
          <a:p>
            <a:pPr algn="l"/>
            <a:r>
              <a:rPr lang="sr-Latn-RS" sz="1200" b="0" i="0" u="none" baseline="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Arial" panose="020B0604020202020204" pitchFamily="34" charset="0"/>
                <a:cs typeface="Arial" panose="020B0604020202020204" pitchFamily="34" charset="0"/>
              </a:rPr>
              <a:t>Pilot - Izveštaj zatečenog stanja</a:t>
            </a:r>
          </a:p>
        </xdr:txBody>
      </xdr:sp>
      <xdr:sp macro="" textlink="">
        <xdr:nvSpPr>
          <xdr:cNvPr id="5" name="Gore">
            <a:hlinkClick xmlns:r="http://schemas.openxmlformats.org/officeDocument/2006/relationships" r:id="rId1" tooltip="Gore"/>
          </xdr:cNvPr>
          <xdr:cNvSpPr/>
        </xdr:nvSpPr>
        <xdr:spPr>
          <a:xfrm>
            <a:off x="6529637" y="85725"/>
            <a:ext cx="214063" cy="190500"/>
          </a:xfrm>
          <a:prstGeom prst="upArrow">
            <a:avLst/>
          </a:prstGeom>
          <a:solidFill>
            <a:schemeClr val="bg1">
              <a:lumMod val="75000"/>
            </a:schemeClr>
          </a:solidFill>
          <a:ln>
            <a:noFill/>
          </a:ln>
          <a:effectLst>
            <a:outerShdw blurRad="50800" dist="127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sr-Latn-RS" sz="10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</xdr:grpSp>
    <xdr:clientData/>
  </xdr:twoCellAnchor>
  <xdr:twoCellAnchor>
    <xdr:from>
      <xdr:col>2</xdr:col>
      <xdr:colOff>0</xdr:colOff>
      <xdr:row>2</xdr:row>
      <xdr:rowOff>0</xdr:rowOff>
    </xdr:from>
    <xdr:to>
      <xdr:col>5</xdr:col>
      <xdr:colOff>0</xdr:colOff>
      <xdr:row>4</xdr:row>
      <xdr:rowOff>10123</xdr:rowOff>
    </xdr:to>
    <xdr:grpSp>
      <xdr:nvGrpSpPr>
        <xdr:cNvPr id="6" name="Navigacija"/>
        <xdr:cNvGrpSpPr/>
      </xdr:nvGrpSpPr>
      <xdr:grpSpPr>
        <a:xfrm>
          <a:off x="381000" y="581025"/>
          <a:ext cx="6362700" cy="391123"/>
          <a:chOff x="381000" y="581025"/>
          <a:chExt cx="6362700" cy="391123"/>
        </a:xfrm>
      </xdr:grpSpPr>
      <xdr:sp macro="" textlink="">
        <xdr:nvSpPr>
          <xdr:cNvPr id="7" name="Podesavanja">
            <a:hlinkClick xmlns:r="http://schemas.openxmlformats.org/officeDocument/2006/relationships" r:id="rId2" tooltip="Podešavanja"/>
          </xdr:cNvPr>
          <xdr:cNvSpPr/>
        </xdr:nvSpPr>
        <xdr:spPr>
          <a:xfrm>
            <a:off x="571500" y="581025"/>
            <a:ext cx="814060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sp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Podešavanja</a:t>
            </a:r>
          </a:p>
        </xdr:txBody>
      </xdr:sp>
      <xdr:sp macro="" textlink="">
        <xdr:nvSpPr>
          <xdr:cNvPr id="8" name="Podaci">
            <a:hlinkClick xmlns:r="http://schemas.openxmlformats.org/officeDocument/2006/relationships" r:id="rId3" tooltip="Podaci"/>
          </xdr:cNvPr>
          <xdr:cNvSpPr/>
        </xdr:nvSpPr>
        <xdr:spPr>
          <a:xfrm>
            <a:off x="571500" y="781050"/>
            <a:ext cx="464734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sp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Podaci</a:t>
            </a:r>
          </a:p>
        </xdr:txBody>
      </xdr:sp>
      <xdr:sp macro="[0]!PDF" textlink="">
        <xdr:nvSpPr>
          <xdr:cNvPr id="9" name="PDF"/>
          <xdr:cNvSpPr/>
        </xdr:nvSpPr>
        <xdr:spPr>
          <a:xfrm>
            <a:off x="6362700" y="581025"/>
            <a:ext cx="381000" cy="371475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PDF</a:t>
            </a:r>
          </a:p>
        </xdr:txBody>
      </xdr:sp>
      <xdr:pic>
        <xdr:nvPicPr>
          <xdr:cNvPr id="10" name="Nazad" descr="Back">
            <a:extLst>
              <a:ext uri="{FF2B5EF4-FFF2-40B4-BE49-F238E27FC236}">
                <a16:creationId xmlns:a16="http://schemas.microsoft.com/office/drawing/2014/main" id="{7DE1ABB1-D455-4E15-BE3C-1433BE90F6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xmlns="" r:embed="rId6"/>
              </a:ext>
            </a:extLst>
          </a:blip>
          <a:stretch>
            <a:fillRect/>
          </a:stretch>
        </xdr:blipFill>
        <xdr:spPr>
          <a:xfrm>
            <a:off x="381000" y="591746"/>
            <a:ext cx="190500" cy="190500"/>
          </a:xfrm>
          <a:prstGeom prst="rect">
            <a:avLst/>
          </a:prstGeom>
        </xdr:spPr>
      </xdr:pic>
      <xdr:sp macro="[0]!RastezanjeRedova" textlink="">
        <xdr:nvSpPr>
          <xdr:cNvPr id="11" name="Red"/>
          <xdr:cNvSpPr/>
        </xdr:nvSpPr>
        <xdr:spPr>
          <a:xfrm>
            <a:off x="5791200" y="581324"/>
            <a:ext cx="381000" cy="371176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Red</a:t>
            </a:r>
          </a:p>
        </xdr:txBody>
      </xdr:sp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23563</xdr:colOff>
      <xdr:row>1</xdr:row>
      <xdr:rowOff>9525</xdr:rowOff>
    </xdr:to>
    <xdr:grpSp>
      <xdr:nvGrpSpPr>
        <xdr:cNvPr id="2" name="Zaglavlje"/>
        <xdr:cNvGrpSpPr/>
      </xdr:nvGrpSpPr>
      <xdr:grpSpPr>
        <a:xfrm>
          <a:off x="0" y="0"/>
          <a:ext cx="6700588" cy="390525"/>
          <a:chOff x="0" y="0"/>
          <a:chExt cx="6700588" cy="390525"/>
        </a:xfrm>
      </xdr:grpSpPr>
      <xdr:sp macro="" textlink="">
        <xdr:nvSpPr>
          <xdr:cNvPr id="3" name="Logo"/>
          <xdr:cNvSpPr/>
        </xdr:nvSpPr>
        <xdr:spPr>
          <a:xfrm>
            <a:off x="0" y="0"/>
            <a:ext cx="380822" cy="381000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sr-Latn-RS" sz="240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Stoing, symbol" panose="020B0603050302020204" pitchFamily="34" charset="2"/>
              </a:rPr>
              <a:t>,</a:t>
            </a:r>
          </a:p>
        </xdr:txBody>
      </xdr:sp>
      <xdr:sp macro="" textlink="">
        <xdr:nvSpPr>
          <xdr:cNvPr id="4" name="Naslov"/>
          <xdr:cNvSpPr/>
        </xdr:nvSpPr>
        <xdr:spPr>
          <a:xfrm>
            <a:off x="381000" y="0"/>
            <a:ext cx="6105525" cy="390525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54000" tIns="0" rIns="0" bIns="0" rtlCol="0" anchor="ctr"/>
          <a:lstStyle/>
          <a:p>
            <a:pPr algn="l"/>
            <a:r>
              <a:rPr lang="sr-Latn-RS" sz="1200" b="0" i="0" u="none" baseline="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Arial" panose="020B0604020202020204" pitchFamily="34" charset="0"/>
                <a:cs typeface="Arial" panose="020B0604020202020204" pitchFamily="34" charset="0"/>
              </a:rPr>
              <a:t>Pilot - Izveštaj zatečenog stanja</a:t>
            </a:r>
          </a:p>
        </xdr:txBody>
      </xdr:sp>
      <xdr:sp macro="" textlink="">
        <xdr:nvSpPr>
          <xdr:cNvPr id="5" name="Gore">
            <a:hlinkClick xmlns:r="http://schemas.openxmlformats.org/officeDocument/2006/relationships" r:id="rId1" tooltip="Gore"/>
          </xdr:cNvPr>
          <xdr:cNvSpPr/>
        </xdr:nvSpPr>
        <xdr:spPr>
          <a:xfrm>
            <a:off x="6486525" y="85725"/>
            <a:ext cx="214063" cy="190500"/>
          </a:xfrm>
          <a:prstGeom prst="upArrow">
            <a:avLst/>
          </a:prstGeom>
          <a:solidFill>
            <a:schemeClr val="bg1">
              <a:lumMod val="75000"/>
            </a:schemeClr>
          </a:solidFill>
          <a:ln>
            <a:noFill/>
          </a:ln>
          <a:effectLst>
            <a:outerShdw blurRad="50800" dist="127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sr-Latn-RS" sz="10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</xdr:grpSp>
    <xdr:clientData/>
  </xdr:twoCellAnchor>
  <xdr:twoCellAnchor>
    <xdr:from>
      <xdr:col>2</xdr:col>
      <xdr:colOff>0</xdr:colOff>
      <xdr:row>2</xdr:row>
      <xdr:rowOff>0</xdr:rowOff>
    </xdr:from>
    <xdr:to>
      <xdr:col>6</xdr:col>
      <xdr:colOff>0</xdr:colOff>
      <xdr:row>4</xdr:row>
      <xdr:rowOff>10123</xdr:rowOff>
    </xdr:to>
    <xdr:grpSp>
      <xdr:nvGrpSpPr>
        <xdr:cNvPr id="6" name="Navigacija"/>
        <xdr:cNvGrpSpPr/>
      </xdr:nvGrpSpPr>
      <xdr:grpSpPr>
        <a:xfrm>
          <a:off x="381000" y="581025"/>
          <a:ext cx="6296025" cy="391123"/>
          <a:chOff x="381000" y="581025"/>
          <a:chExt cx="6296025" cy="391123"/>
        </a:xfrm>
      </xdr:grpSpPr>
      <xdr:sp macro="" textlink="">
        <xdr:nvSpPr>
          <xdr:cNvPr id="7" name="Podesavanja">
            <a:hlinkClick xmlns:r="http://schemas.openxmlformats.org/officeDocument/2006/relationships" r:id="rId2" tooltip="Podešavanja"/>
          </xdr:cNvPr>
          <xdr:cNvSpPr/>
        </xdr:nvSpPr>
        <xdr:spPr>
          <a:xfrm>
            <a:off x="571500" y="581025"/>
            <a:ext cx="814060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sp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Podešavanja</a:t>
            </a:r>
          </a:p>
        </xdr:txBody>
      </xdr:sp>
      <xdr:sp macro="" textlink="">
        <xdr:nvSpPr>
          <xdr:cNvPr id="8" name="Podaci">
            <a:hlinkClick xmlns:r="http://schemas.openxmlformats.org/officeDocument/2006/relationships" r:id="rId3" tooltip="Podaci"/>
          </xdr:cNvPr>
          <xdr:cNvSpPr/>
        </xdr:nvSpPr>
        <xdr:spPr>
          <a:xfrm>
            <a:off x="571500" y="781050"/>
            <a:ext cx="464734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sp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Podaci</a:t>
            </a:r>
          </a:p>
        </xdr:txBody>
      </xdr:sp>
      <xdr:sp macro="[0]!PDF" textlink="">
        <xdr:nvSpPr>
          <xdr:cNvPr id="9" name="PDF"/>
          <xdr:cNvSpPr/>
        </xdr:nvSpPr>
        <xdr:spPr>
          <a:xfrm>
            <a:off x="6296025" y="581025"/>
            <a:ext cx="381000" cy="371475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PDF</a:t>
            </a:r>
          </a:p>
        </xdr:txBody>
      </xdr:sp>
      <xdr:pic>
        <xdr:nvPicPr>
          <xdr:cNvPr id="10" name="Nazad" descr="Back">
            <a:extLst>
              <a:ext uri="{FF2B5EF4-FFF2-40B4-BE49-F238E27FC236}">
                <a16:creationId xmlns:a16="http://schemas.microsoft.com/office/drawing/2014/main" id="{7DE1ABB1-D455-4E15-BE3C-1433BE90F6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xmlns="" r:embed="rId6"/>
              </a:ext>
            </a:extLst>
          </a:blip>
          <a:stretch>
            <a:fillRect/>
          </a:stretch>
        </xdr:blipFill>
        <xdr:spPr>
          <a:xfrm>
            <a:off x="381000" y="591746"/>
            <a:ext cx="190500" cy="190500"/>
          </a:xfrm>
          <a:prstGeom prst="rect">
            <a:avLst/>
          </a:prstGeom>
        </xdr:spPr>
      </xdr:pic>
      <xdr:sp macro="[0]!RastezanjeRedova" textlink="">
        <xdr:nvSpPr>
          <xdr:cNvPr id="11" name="Red"/>
          <xdr:cNvSpPr/>
        </xdr:nvSpPr>
        <xdr:spPr>
          <a:xfrm>
            <a:off x="5724525" y="581324"/>
            <a:ext cx="381000" cy="371176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Red</a:t>
            </a:r>
          </a:p>
        </xdr:txBody>
      </xdr:sp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5</xdr:col>
      <xdr:colOff>0</xdr:colOff>
      <xdr:row>1</xdr:row>
      <xdr:rowOff>9525</xdr:rowOff>
    </xdr:to>
    <xdr:grpSp>
      <xdr:nvGrpSpPr>
        <xdr:cNvPr id="2" name="Zaglavlje"/>
        <xdr:cNvGrpSpPr/>
      </xdr:nvGrpSpPr>
      <xdr:grpSpPr>
        <a:xfrm>
          <a:off x="0" y="0"/>
          <a:ext cx="6743700" cy="390525"/>
          <a:chOff x="0" y="0"/>
          <a:chExt cx="6743700" cy="390525"/>
        </a:xfrm>
      </xdr:grpSpPr>
      <xdr:sp macro="" textlink="">
        <xdr:nvSpPr>
          <xdr:cNvPr id="3" name="Logo"/>
          <xdr:cNvSpPr/>
        </xdr:nvSpPr>
        <xdr:spPr>
          <a:xfrm>
            <a:off x="0" y="0"/>
            <a:ext cx="380822" cy="381000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sr-Latn-RS" sz="240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Stoing, symbol" panose="020B0603050302020204" pitchFamily="34" charset="2"/>
              </a:rPr>
              <a:t>,</a:t>
            </a:r>
          </a:p>
        </xdr:txBody>
      </xdr:sp>
      <xdr:sp macro="" textlink="">
        <xdr:nvSpPr>
          <xdr:cNvPr id="4" name="Naslov"/>
          <xdr:cNvSpPr/>
        </xdr:nvSpPr>
        <xdr:spPr>
          <a:xfrm>
            <a:off x="381000" y="0"/>
            <a:ext cx="6172200" cy="390525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54000" tIns="0" rIns="0" bIns="0" rtlCol="0" anchor="ctr"/>
          <a:lstStyle/>
          <a:p>
            <a:pPr algn="l"/>
            <a:r>
              <a:rPr lang="sr-Latn-RS" sz="1200" b="0" i="0" u="none" baseline="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Arial" panose="020B0604020202020204" pitchFamily="34" charset="0"/>
                <a:cs typeface="Arial" panose="020B0604020202020204" pitchFamily="34" charset="0"/>
              </a:rPr>
              <a:t>Pilot - Izveštaj zatečenog stanja</a:t>
            </a:r>
          </a:p>
        </xdr:txBody>
      </xdr:sp>
      <xdr:sp macro="" textlink="">
        <xdr:nvSpPr>
          <xdr:cNvPr id="5" name="Gore">
            <a:hlinkClick xmlns:r="http://schemas.openxmlformats.org/officeDocument/2006/relationships" r:id="rId1" tooltip="Gore"/>
          </xdr:cNvPr>
          <xdr:cNvSpPr/>
        </xdr:nvSpPr>
        <xdr:spPr>
          <a:xfrm>
            <a:off x="6529637" y="85725"/>
            <a:ext cx="214063" cy="190500"/>
          </a:xfrm>
          <a:prstGeom prst="upArrow">
            <a:avLst/>
          </a:prstGeom>
          <a:solidFill>
            <a:schemeClr val="bg1">
              <a:lumMod val="75000"/>
            </a:schemeClr>
          </a:solidFill>
          <a:ln>
            <a:noFill/>
          </a:ln>
          <a:effectLst>
            <a:outerShdw blurRad="50800" dist="127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sr-Latn-RS" sz="10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</xdr:grpSp>
    <xdr:clientData/>
  </xdr:twoCellAnchor>
  <xdr:twoCellAnchor>
    <xdr:from>
      <xdr:col>2</xdr:col>
      <xdr:colOff>0</xdr:colOff>
      <xdr:row>2</xdr:row>
      <xdr:rowOff>0</xdr:rowOff>
    </xdr:from>
    <xdr:to>
      <xdr:col>5</xdr:col>
      <xdr:colOff>0</xdr:colOff>
      <xdr:row>4</xdr:row>
      <xdr:rowOff>10123</xdr:rowOff>
    </xdr:to>
    <xdr:grpSp>
      <xdr:nvGrpSpPr>
        <xdr:cNvPr id="6" name="Navigacija"/>
        <xdr:cNvGrpSpPr/>
      </xdr:nvGrpSpPr>
      <xdr:grpSpPr>
        <a:xfrm>
          <a:off x="381000" y="581025"/>
          <a:ext cx="6362700" cy="391123"/>
          <a:chOff x="381000" y="581025"/>
          <a:chExt cx="6362700" cy="391123"/>
        </a:xfrm>
      </xdr:grpSpPr>
      <xdr:sp macro="" textlink="">
        <xdr:nvSpPr>
          <xdr:cNvPr id="7" name="Podesavanja">
            <a:hlinkClick xmlns:r="http://schemas.openxmlformats.org/officeDocument/2006/relationships" r:id="rId2" tooltip="Podešavanja"/>
          </xdr:cNvPr>
          <xdr:cNvSpPr/>
        </xdr:nvSpPr>
        <xdr:spPr>
          <a:xfrm>
            <a:off x="571500" y="581025"/>
            <a:ext cx="814060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sp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Podešavanja</a:t>
            </a:r>
          </a:p>
        </xdr:txBody>
      </xdr:sp>
      <xdr:sp macro="" textlink="">
        <xdr:nvSpPr>
          <xdr:cNvPr id="8" name="Podaci">
            <a:hlinkClick xmlns:r="http://schemas.openxmlformats.org/officeDocument/2006/relationships" r:id="rId3" tooltip="Podaci"/>
          </xdr:cNvPr>
          <xdr:cNvSpPr/>
        </xdr:nvSpPr>
        <xdr:spPr>
          <a:xfrm>
            <a:off x="571500" y="781050"/>
            <a:ext cx="464734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sp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Podaci</a:t>
            </a:r>
          </a:p>
        </xdr:txBody>
      </xdr:sp>
      <xdr:sp macro="[0]!PDF" textlink="">
        <xdr:nvSpPr>
          <xdr:cNvPr id="9" name="PDF"/>
          <xdr:cNvSpPr/>
        </xdr:nvSpPr>
        <xdr:spPr>
          <a:xfrm>
            <a:off x="6362700" y="581025"/>
            <a:ext cx="381000" cy="371475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PDF</a:t>
            </a:r>
          </a:p>
        </xdr:txBody>
      </xdr:sp>
      <xdr:pic>
        <xdr:nvPicPr>
          <xdr:cNvPr id="10" name="Nazad" descr="Back">
            <a:extLst>
              <a:ext uri="{FF2B5EF4-FFF2-40B4-BE49-F238E27FC236}">
                <a16:creationId xmlns:a16="http://schemas.microsoft.com/office/drawing/2014/main" id="{7DE1ABB1-D455-4E15-BE3C-1433BE90F6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xmlns="" r:embed="rId6"/>
              </a:ext>
            </a:extLst>
          </a:blip>
          <a:stretch>
            <a:fillRect/>
          </a:stretch>
        </xdr:blipFill>
        <xdr:spPr>
          <a:xfrm>
            <a:off x="381000" y="591746"/>
            <a:ext cx="190500" cy="190500"/>
          </a:xfrm>
          <a:prstGeom prst="rect">
            <a:avLst/>
          </a:prstGeom>
        </xdr:spPr>
      </xdr:pic>
      <xdr:sp macro="[0]!RastezanjeRedova" textlink="">
        <xdr:nvSpPr>
          <xdr:cNvPr id="11" name="Red"/>
          <xdr:cNvSpPr/>
        </xdr:nvSpPr>
        <xdr:spPr>
          <a:xfrm>
            <a:off x="5791200" y="581324"/>
            <a:ext cx="381000" cy="371176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Red</a:t>
            </a:r>
          </a:p>
        </xdr:txBody>
      </xdr:sp>
    </xdr:grp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>
    <tabColor theme="1" tint="0.249977111117893"/>
  </sheetPr>
  <dimension ref="A1:N185"/>
  <sheetViews>
    <sheetView showGridLines="0" showRowColHeaders="0" tabSelected="1" workbookViewId="0">
      <pane ySplit="1" topLeftCell="A2" activePane="bottomLeft" state="frozen"/>
      <selection pane="bottomLeft" activeCell="F15" sqref="F15"/>
    </sheetView>
  </sheetViews>
  <sheetFormatPr defaultRowHeight="15" x14ac:dyDescent="0.2"/>
  <cols>
    <col min="1" max="1" width="2.21875" style="43" customWidth="1"/>
    <col min="2" max="2" width="30.6640625" style="43" customWidth="1"/>
    <col min="3" max="5" width="2.21875" style="43" customWidth="1"/>
    <col min="6" max="6" width="69.77734375" style="43" customWidth="1"/>
    <col min="7" max="193" width="2.21875" style="43" customWidth="1"/>
    <col min="194" max="16384" width="8.88671875" style="43"/>
  </cols>
  <sheetData>
    <row r="1" spans="1:9" s="83" customFormat="1" ht="30" customHeight="1" thickBot="1" x14ac:dyDescent="0.25"/>
    <row r="2" spans="1:9" s="64" customFormat="1" x14ac:dyDescent="0.2">
      <c r="A2" s="80"/>
      <c r="B2" s="77"/>
      <c r="C2" s="78"/>
      <c r="F2" s="65"/>
      <c r="I2" s="82"/>
    </row>
    <row r="3" spans="1:9" x14ac:dyDescent="0.2">
      <c r="A3" s="80"/>
      <c r="B3" s="62" t="s">
        <v>34</v>
      </c>
      <c r="C3" s="78"/>
      <c r="F3" s="44" t="s">
        <v>34</v>
      </c>
      <c r="I3" s="45"/>
    </row>
    <row r="4" spans="1:9" x14ac:dyDescent="0.2">
      <c r="A4" s="80"/>
      <c r="B4" s="77"/>
      <c r="C4" s="78"/>
      <c r="F4" s="44"/>
      <c r="I4" s="45"/>
    </row>
    <row r="5" spans="1:9" ht="15.75" thickBot="1" x14ac:dyDescent="0.25">
      <c r="A5" s="87" t="str">
        <f>IF(Pilot=0,"","P")</f>
        <v>P</v>
      </c>
      <c r="B5" s="79" t="s">
        <v>35</v>
      </c>
      <c r="C5" s="78"/>
      <c r="E5" s="46" t="s">
        <v>35</v>
      </c>
      <c r="F5" s="47"/>
      <c r="I5" s="45"/>
    </row>
    <row r="6" spans="1:9" x14ac:dyDescent="0.2">
      <c r="A6" s="87" t="str">
        <f>IF(PutanjaBaze=0,"","P")</f>
        <v>P</v>
      </c>
      <c r="B6" s="79" t="s">
        <v>37</v>
      </c>
      <c r="C6" s="78"/>
      <c r="E6" s="48"/>
      <c r="F6" s="49"/>
      <c r="G6" s="50"/>
      <c r="I6" s="45"/>
    </row>
    <row r="7" spans="1:9" x14ac:dyDescent="0.2">
      <c r="A7" s="80"/>
      <c r="B7" s="77"/>
      <c r="C7" s="78"/>
      <c r="E7" s="51"/>
      <c r="F7" s="52" t="s">
        <v>36</v>
      </c>
      <c r="G7" s="53"/>
      <c r="I7" s="45"/>
    </row>
    <row r="8" spans="1:9" x14ac:dyDescent="0.2">
      <c r="A8" s="80"/>
      <c r="B8" s="62" t="s">
        <v>58</v>
      </c>
      <c r="C8" s="80"/>
      <c r="D8" s="54"/>
      <c r="E8" s="55" t="str">
        <f>IF(F8=0,"*","")</f>
        <v/>
      </c>
      <c r="F8" s="56" t="s">
        <v>72</v>
      </c>
      <c r="G8" s="57"/>
      <c r="I8" s="45"/>
    </row>
    <row r="9" spans="1:9" x14ac:dyDescent="0.2">
      <c r="A9" s="80"/>
      <c r="B9" s="80"/>
      <c r="C9" s="80"/>
      <c r="E9" s="51"/>
      <c r="F9" s="58" t="s">
        <v>73</v>
      </c>
      <c r="G9" s="53"/>
      <c r="I9" s="45"/>
    </row>
    <row r="10" spans="1:9" ht="15.75" thickBot="1" x14ac:dyDescent="0.25">
      <c r="A10" s="80"/>
      <c r="B10" s="79" t="s">
        <v>61</v>
      </c>
      <c r="C10" s="80"/>
      <c r="E10" s="59"/>
      <c r="F10" s="60"/>
      <c r="G10" s="61"/>
      <c r="I10" s="45"/>
    </row>
    <row r="11" spans="1:9" x14ac:dyDescent="0.2">
      <c r="A11" s="80"/>
      <c r="B11" s="79" t="s">
        <v>62</v>
      </c>
      <c r="C11" s="80"/>
      <c r="F11" s="44"/>
      <c r="I11" s="45"/>
    </row>
    <row r="12" spans="1:9" ht="15.75" thickBot="1" x14ac:dyDescent="0.25">
      <c r="A12" s="80"/>
      <c r="B12" s="62" t="s">
        <v>63</v>
      </c>
      <c r="C12" s="80"/>
      <c r="E12" s="46" t="s">
        <v>37</v>
      </c>
      <c r="F12" s="47"/>
      <c r="I12" s="45"/>
    </row>
    <row r="13" spans="1:9" x14ac:dyDescent="0.2">
      <c r="A13" s="80"/>
      <c r="B13" s="81" t="s">
        <v>64</v>
      </c>
      <c r="C13" s="80"/>
      <c r="E13" s="48"/>
      <c r="F13" s="49"/>
      <c r="G13" s="50"/>
      <c r="I13" s="45"/>
    </row>
    <row r="14" spans="1:9" x14ac:dyDescent="0.2">
      <c r="A14" s="80"/>
      <c r="B14" s="62" t="s">
        <v>65</v>
      </c>
      <c r="C14" s="80"/>
      <c r="E14" s="51"/>
      <c r="F14" s="52" t="s">
        <v>38</v>
      </c>
      <c r="G14" s="53"/>
      <c r="I14" s="45"/>
    </row>
    <row r="15" spans="1:9" x14ac:dyDescent="0.2">
      <c r="A15" s="80"/>
      <c r="B15" s="81" t="s">
        <v>66</v>
      </c>
      <c r="C15" s="80"/>
      <c r="D15" s="54"/>
      <c r="E15" s="55" t="str">
        <f>IF(F15=0,"*","")</f>
        <v/>
      </c>
      <c r="F15" s="63" t="s">
        <v>68</v>
      </c>
      <c r="G15" s="57"/>
      <c r="I15" s="45"/>
    </row>
    <row r="16" spans="1:9" x14ac:dyDescent="0.2">
      <c r="A16" s="80"/>
      <c r="B16" s="62" t="s">
        <v>75</v>
      </c>
      <c r="C16" s="80"/>
      <c r="E16" s="51"/>
      <c r="F16" s="58" t="s">
        <v>39</v>
      </c>
      <c r="G16" s="53"/>
      <c r="I16" s="45"/>
    </row>
    <row r="17" spans="1:14" ht="15.75" thickBot="1" x14ac:dyDescent="0.25">
      <c r="A17" s="80"/>
      <c r="B17" s="80"/>
      <c r="C17" s="41"/>
      <c r="E17" s="59"/>
      <c r="F17" s="60"/>
      <c r="G17" s="61"/>
      <c r="I17" s="45"/>
    </row>
    <row r="18" spans="1:14" x14ac:dyDescent="0.2">
      <c r="A18" s="80"/>
      <c r="B18" s="62" t="s">
        <v>40</v>
      </c>
      <c r="C18" s="41"/>
      <c r="F18" s="47"/>
      <c r="I18" s="45"/>
    </row>
    <row r="19" spans="1:14" x14ac:dyDescent="0.2">
      <c r="A19" s="80"/>
      <c r="B19" s="80"/>
      <c r="C19" s="41"/>
      <c r="E19" s="64"/>
      <c r="F19" s="44" t="s">
        <v>40</v>
      </c>
      <c r="G19" s="64"/>
      <c r="I19" s="45"/>
    </row>
    <row r="20" spans="1:14" x14ac:dyDescent="0.2">
      <c r="A20" s="87" t="str">
        <f>IF(OR(Datum=0,EvidencioniBroj=0,Mesto=0),"","P")</f>
        <v/>
      </c>
      <c r="B20" s="79" t="s">
        <v>41</v>
      </c>
      <c r="C20" s="41"/>
      <c r="E20" s="64"/>
      <c r="F20" s="65"/>
      <c r="G20" s="64"/>
      <c r="I20" s="45"/>
    </row>
    <row r="21" spans="1:14" ht="15.75" thickBot="1" x14ac:dyDescent="0.25">
      <c r="A21" s="88" t="str">
        <f>IF(Investitor=0,"","P")</f>
        <v/>
      </c>
      <c r="B21" s="79" t="s">
        <v>0</v>
      </c>
      <c r="C21" s="80"/>
      <c r="E21" s="46" t="s">
        <v>41</v>
      </c>
      <c r="F21" s="47"/>
      <c r="I21" s="45"/>
    </row>
    <row r="22" spans="1:14" x14ac:dyDescent="0.2">
      <c r="A22" s="88" t="str">
        <f>IF(Objekat=0,"","P")</f>
        <v/>
      </c>
      <c r="B22" s="79" t="s">
        <v>1</v>
      </c>
      <c r="C22" s="80"/>
      <c r="E22" s="48"/>
      <c r="F22" s="49"/>
      <c r="G22" s="50"/>
      <c r="I22" s="45"/>
      <c r="N22" s="64"/>
    </row>
    <row r="23" spans="1:14" x14ac:dyDescent="0.2">
      <c r="A23" s="88" t="str">
        <f>IF(OR(ProjektnaOrganizacija=0,OdgovornoLice=0),"","P")</f>
        <v/>
      </c>
      <c r="B23" s="79" t="s">
        <v>59</v>
      </c>
      <c r="C23" s="80"/>
      <c r="E23" s="51"/>
      <c r="F23" s="52" t="s">
        <v>4</v>
      </c>
      <c r="G23" s="53"/>
      <c r="I23" s="45"/>
    </row>
    <row r="24" spans="1:14" x14ac:dyDescent="0.2">
      <c r="A24" s="88" t="str">
        <f>IF(OdgovorniProjektant=0,"","P")</f>
        <v/>
      </c>
      <c r="B24" s="79" t="s">
        <v>9</v>
      </c>
      <c r="C24" s="80"/>
      <c r="D24" s="54"/>
      <c r="E24" s="55" t="str">
        <f>IF(F24=0,"*","")</f>
        <v>*</v>
      </c>
      <c r="F24" s="66"/>
      <c r="G24" s="57"/>
      <c r="I24" s="45"/>
    </row>
    <row r="25" spans="1:14" x14ac:dyDescent="0.2">
      <c r="A25" s="88" t="str">
        <f>IF(OR(LokacijaObjekta=0,SpisakParcela=0),"","P")</f>
        <v/>
      </c>
      <c r="B25" s="79" t="s">
        <v>52</v>
      </c>
      <c r="C25" s="80"/>
      <c r="E25" s="51"/>
      <c r="F25" s="67" t="s">
        <v>42</v>
      </c>
      <c r="G25" s="53"/>
      <c r="I25" s="45"/>
    </row>
    <row r="26" spans="1:14" x14ac:dyDescent="0.2">
      <c r="A26" s="88" t="str">
        <f>(IF(OR(UkupnaBrutoPovrsina=0,VisinaSlemena=0),"","P"))</f>
        <v/>
      </c>
      <c r="B26" s="79" t="s">
        <v>54</v>
      </c>
      <c r="C26" s="80"/>
      <c r="E26" s="51"/>
      <c r="F26" s="65"/>
      <c r="G26" s="53"/>
      <c r="I26" s="45"/>
    </row>
    <row r="27" spans="1:14" x14ac:dyDescent="0.2">
      <c r="A27" s="80"/>
      <c r="B27" s="80"/>
      <c r="C27" s="80"/>
      <c r="E27" s="51"/>
      <c r="F27" s="52" t="s">
        <v>43</v>
      </c>
      <c r="G27" s="53"/>
      <c r="I27" s="45"/>
    </row>
    <row r="28" spans="1:14" x14ac:dyDescent="0.2">
      <c r="A28" s="80"/>
      <c r="B28" s="80"/>
      <c r="C28" s="80"/>
      <c r="D28" s="54"/>
      <c r="E28" s="55" t="str">
        <f>IF(F28=0,"*","")</f>
        <v>*</v>
      </c>
      <c r="F28" s="63"/>
      <c r="G28" s="57"/>
      <c r="I28" s="45"/>
    </row>
    <row r="29" spans="1:14" x14ac:dyDescent="0.2">
      <c r="A29" s="80"/>
      <c r="B29" s="80"/>
      <c r="C29" s="80"/>
      <c r="D29" s="54"/>
      <c r="E29" s="64"/>
      <c r="F29" s="67" t="s">
        <v>44</v>
      </c>
      <c r="G29" s="53"/>
      <c r="I29" s="45"/>
    </row>
    <row r="30" spans="1:14" x14ac:dyDescent="0.2">
      <c r="A30" s="80"/>
      <c r="B30" s="80"/>
      <c r="C30" s="80"/>
      <c r="D30" s="54"/>
      <c r="E30" s="64"/>
      <c r="F30" s="65"/>
      <c r="G30" s="53"/>
      <c r="I30" s="45"/>
    </row>
    <row r="31" spans="1:14" x14ac:dyDescent="0.2">
      <c r="A31" s="80"/>
      <c r="B31" s="80"/>
      <c r="C31" s="80"/>
      <c r="D31" s="54"/>
      <c r="E31" s="64"/>
      <c r="F31" s="52" t="s">
        <v>5</v>
      </c>
      <c r="G31" s="53"/>
      <c r="I31" s="45"/>
    </row>
    <row r="32" spans="1:14" x14ac:dyDescent="0.2">
      <c r="A32" s="80"/>
      <c r="B32" s="80"/>
      <c r="C32" s="80"/>
      <c r="D32" s="54"/>
      <c r="E32" s="55" t="str">
        <f>IF(F32=0,"*","")</f>
        <v>*</v>
      </c>
      <c r="F32" s="63"/>
      <c r="G32" s="57"/>
      <c r="I32" s="45"/>
    </row>
    <row r="33" spans="1:9" x14ac:dyDescent="0.2">
      <c r="A33" s="80"/>
      <c r="B33" s="41"/>
      <c r="C33" s="42"/>
      <c r="E33" s="51"/>
      <c r="F33" s="67" t="s">
        <v>45</v>
      </c>
      <c r="G33" s="53"/>
      <c r="I33" s="45"/>
    </row>
    <row r="34" spans="1:9" ht="15.75" thickBot="1" x14ac:dyDescent="0.25">
      <c r="A34" s="80"/>
      <c r="B34" s="41"/>
      <c r="C34" s="42"/>
      <c r="E34" s="68"/>
      <c r="F34" s="69"/>
      <c r="G34" s="70"/>
      <c r="I34" s="45"/>
    </row>
    <row r="35" spans="1:9" x14ac:dyDescent="0.2">
      <c r="A35" s="80"/>
      <c r="B35" s="41"/>
      <c r="C35" s="42"/>
      <c r="F35" s="47"/>
      <c r="I35" s="45"/>
    </row>
    <row r="36" spans="1:9" ht="15.75" thickBot="1" x14ac:dyDescent="0.25">
      <c r="A36" s="80"/>
      <c r="B36" s="41"/>
      <c r="C36" s="42"/>
      <c r="E36" s="46" t="s">
        <v>0</v>
      </c>
      <c r="F36" s="47"/>
      <c r="I36" s="45"/>
    </row>
    <row r="37" spans="1:9" x14ac:dyDescent="0.2">
      <c r="A37" s="80"/>
      <c r="B37" s="41"/>
      <c r="C37" s="42"/>
      <c r="E37" s="48"/>
      <c r="F37" s="49"/>
      <c r="G37" s="50"/>
      <c r="I37" s="45"/>
    </row>
    <row r="38" spans="1:9" x14ac:dyDescent="0.2">
      <c r="A38" s="80"/>
      <c r="B38" s="41"/>
      <c r="C38" s="42"/>
      <c r="E38" s="51"/>
      <c r="F38" s="52" t="s">
        <v>0</v>
      </c>
      <c r="G38" s="53"/>
      <c r="I38" s="45"/>
    </row>
    <row r="39" spans="1:9" x14ac:dyDescent="0.2">
      <c r="A39" s="80"/>
      <c r="B39" s="41"/>
      <c r="C39" s="42"/>
      <c r="D39" s="53"/>
      <c r="E39" s="55" t="str">
        <f>IF(F39=0,"*","")</f>
        <v>*</v>
      </c>
      <c r="F39" s="89"/>
      <c r="G39" s="57"/>
      <c r="I39" s="45"/>
    </row>
    <row r="40" spans="1:9" x14ac:dyDescent="0.2">
      <c r="A40" s="80"/>
      <c r="B40" s="41"/>
      <c r="C40" s="42"/>
      <c r="E40" s="51"/>
      <c r="F40" s="67" t="s">
        <v>46</v>
      </c>
      <c r="G40" s="53"/>
      <c r="I40" s="45"/>
    </row>
    <row r="41" spans="1:9" ht="15.75" thickBot="1" x14ac:dyDescent="0.25">
      <c r="A41" s="41"/>
      <c r="B41" s="41"/>
      <c r="C41" s="42"/>
      <c r="D41" s="54"/>
      <c r="E41" s="72"/>
      <c r="F41" s="60"/>
      <c r="G41" s="73"/>
      <c r="I41" s="45"/>
    </row>
    <row r="42" spans="1:9" x14ac:dyDescent="0.2">
      <c r="A42" s="41"/>
      <c r="B42" s="41"/>
      <c r="C42" s="42"/>
      <c r="F42" s="47"/>
      <c r="I42" s="45"/>
    </row>
    <row r="43" spans="1:9" ht="15.75" thickBot="1" x14ac:dyDescent="0.25">
      <c r="A43" s="41"/>
      <c r="B43" s="41"/>
      <c r="C43" s="42"/>
      <c r="E43" s="46" t="s">
        <v>1</v>
      </c>
      <c r="F43" s="47"/>
      <c r="I43" s="45"/>
    </row>
    <row r="44" spans="1:9" x14ac:dyDescent="0.2">
      <c r="A44" s="41"/>
      <c r="B44" s="41"/>
      <c r="C44" s="42"/>
      <c r="E44" s="48"/>
      <c r="F44" s="49"/>
      <c r="G44" s="50"/>
      <c r="I44" s="45"/>
    </row>
    <row r="45" spans="1:9" x14ac:dyDescent="0.2">
      <c r="A45" s="41"/>
      <c r="B45" s="41"/>
      <c r="C45" s="42"/>
      <c r="D45" s="53"/>
      <c r="E45" s="64"/>
      <c r="F45" s="52" t="s">
        <v>1</v>
      </c>
      <c r="G45" s="53"/>
      <c r="I45" s="45"/>
    </row>
    <row r="46" spans="1:9" x14ac:dyDescent="0.2">
      <c r="A46" s="41"/>
      <c r="B46" s="41"/>
      <c r="C46" s="42"/>
      <c r="D46" s="53"/>
      <c r="E46" s="55" t="str">
        <f>IF(F46=0,"*","")</f>
        <v>*</v>
      </c>
      <c r="F46" s="71"/>
      <c r="G46" s="57"/>
      <c r="I46" s="45"/>
    </row>
    <row r="47" spans="1:9" x14ac:dyDescent="0.2">
      <c r="A47" s="41"/>
      <c r="B47" s="41"/>
      <c r="C47" s="42"/>
      <c r="D47" s="53"/>
      <c r="E47" s="64"/>
      <c r="F47" s="67" t="s">
        <v>77</v>
      </c>
      <c r="G47" s="53"/>
      <c r="I47" s="45"/>
    </row>
    <row r="48" spans="1:9" ht="15.75" thickBot="1" x14ac:dyDescent="0.25">
      <c r="A48" s="41"/>
      <c r="B48" s="41"/>
      <c r="C48" s="42"/>
      <c r="D48" s="64"/>
      <c r="E48" s="68"/>
      <c r="F48" s="69"/>
      <c r="G48" s="70"/>
      <c r="I48" s="45"/>
    </row>
    <row r="49" spans="1:9" x14ac:dyDescent="0.2">
      <c r="A49" s="41"/>
      <c r="B49" s="41"/>
      <c r="C49" s="42"/>
      <c r="F49" s="47"/>
      <c r="I49" s="45"/>
    </row>
    <row r="50" spans="1:9" ht="15.75" thickBot="1" x14ac:dyDescent="0.25">
      <c r="A50" s="41"/>
      <c r="B50" s="41"/>
      <c r="C50" s="42"/>
      <c r="E50" s="46" t="s">
        <v>47</v>
      </c>
      <c r="F50" s="47"/>
      <c r="I50" s="45"/>
    </row>
    <row r="51" spans="1:9" x14ac:dyDescent="0.2">
      <c r="A51" s="41"/>
      <c r="B51" s="41"/>
      <c r="C51" s="42"/>
      <c r="E51" s="48"/>
      <c r="F51" s="49"/>
      <c r="G51" s="50"/>
      <c r="I51" s="45"/>
    </row>
    <row r="52" spans="1:9" x14ac:dyDescent="0.2">
      <c r="A52" s="41"/>
      <c r="B52" s="41"/>
      <c r="C52" s="42"/>
      <c r="D52" s="53"/>
      <c r="E52" s="64"/>
      <c r="F52" s="52" t="s">
        <v>59</v>
      </c>
      <c r="G52" s="53"/>
      <c r="I52" s="45"/>
    </row>
    <row r="53" spans="1:9" x14ac:dyDescent="0.2">
      <c r="A53" s="41"/>
      <c r="B53" s="41"/>
      <c r="C53" s="42"/>
      <c r="D53" s="53"/>
      <c r="E53" s="55" t="str">
        <f>IF(F53=0,"*","")</f>
        <v>*</v>
      </c>
      <c r="F53" s="71"/>
      <c r="G53" s="57"/>
      <c r="I53" s="45"/>
    </row>
    <row r="54" spans="1:9" x14ac:dyDescent="0.2">
      <c r="A54" s="41"/>
      <c r="B54" s="41"/>
      <c r="C54" s="42"/>
      <c r="D54" s="53"/>
      <c r="E54" s="64"/>
      <c r="F54" s="67" t="s">
        <v>48</v>
      </c>
      <c r="G54" s="53"/>
      <c r="I54" s="45"/>
    </row>
    <row r="55" spans="1:9" x14ac:dyDescent="0.2">
      <c r="A55" s="41"/>
      <c r="B55" s="41"/>
      <c r="C55" s="42"/>
      <c r="D55" s="53"/>
      <c r="E55" s="64"/>
      <c r="F55" s="65"/>
      <c r="G55" s="53"/>
      <c r="I55" s="45"/>
    </row>
    <row r="56" spans="1:9" x14ac:dyDescent="0.2">
      <c r="A56" s="41"/>
      <c r="B56" s="41"/>
      <c r="C56" s="42"/>
      <c r="D56" s="53"/>
      <c r="E56" s="64"/>
      <c r="F56" s="52" t="s">
        <v>67</v>
      </c>
      <c r="G56" s="53"/>
      <c r="I56" s="45"/>
    </row>
    <row r="57" spans="1:9" x14ac:dyDescent="0.2">
      <c r="A57" s="41"/>
      <c r="B57" s="41"/>
      <c r="C57" s="42"/>
      <c r="D57" s="53"/>
      <c r="E57" s="55" t="str">
        <f>IF(F57=0,"*","")</f>
        <v>*</v>
      </c>
      <c r="F57" s="71"/>
      <c r="G57" s="57"/>
      <c r="I57" s="45"/>
    </row>
    <row r="58" spans="1:9" x14ac:dyDescent="0.2">
      <c r="A58" s="41"/>
      <c r="B58" s="41"/>
      <c r="C58" s="42"/>
      <c r="D58" s="53"/>
      <c r="E58" s="64"/>
      <c r="F58" s="67" t="s">
        <v>49</v>
      </c>
      <c r="G58" s="53"/>
      <c r="I58" s="45"/>
    </row>
    <row r="59" spans="1:9" ht="15.75" thickBot="1" x14ac:dyDescent="0.25">
      <c r="A59" s="41"/>
      <c r="B59" s="41"/>
      <c r="C59" s="42"/>
      <c r="D59" s="53"/>
      <c r="E59" s="75"/>
      <c r="F59" s="69"/>
      <c r="G59" s="70"/>
      <c r="I59" s="45"/>
    </row>
    <row r="60" spans="1:9" x14ac:dyDescent="0.2">
      <c r="A60" s="41"/>
      <c r="B60" s="41"/>
      <c r="C60" s="42"/>
      <c r="E60" s="64"/>
      <c r="F60" s="65"/>
      <c r="G60" s="64"/>
      <c r="I60" s="45"/>
    </row>
    <row r="61" spans="1:9" ht="15.75" thickBot="1" x14ac:dyDescent="0.25">
      <c r="A61" s="41"/>
      <c r="B61" s="41"/>
      <c r="C61" s="42"/>
      <c r="E61" s="46" t="s">
        <v>50</v>
      </c>
      <c r="F61" s="47"/>
      <c r="I61" s="45"/>
    </row>
    <row r="62" spans="1:9" x14ac:dyDescent="0.2">
      <c r="A62" s="41"/>
      <c r="B62" s="41"/>
      <c r="C62" s="42"/>
      <c r="D62" s="53"/>
      <c r="E62" s="74"/>
      <c r="F62" s="49"/>
      <c r="G62" s="50"/>
      <c r="I62" s="45"/>
    </row>
    <row r="63" spans="1:9" x14ac:dyDescent="0.2">
      <c r="A63" s="41"/>
      <c r="B63" s="41"/>
      <c r="C63" s="42"/>
      <c r="D63" s="53"/>
      <c r="E63" s="64"/>
      <c r="F63" s="52" t="s">
        <v>60</v>
      </c>
      <c r="G63" s="53"/>
      <c r="I63" s="45"/>
    </row>
    <row r="64" spans="1:9" x14ac:dyDescent="0.2">
      <c r="A64" s="41"/>
      <c r="B64" s="41"/>
      <c r="C64" s="42"/>
      <c r="D64" s="53"/>
      <c r="E64" s="55" t="str">
        <f>IF(F64=0,"*","")</f>
        <v>*</v>
      </c>
      <c r="F64" s="71"/>
      <c r="G64" s="57"/>
      <c r="I64" s="45"/>
    </row>
    <row r="65" spans="1:9" x14ac:dyDescent="0.2">
      <c r="A65" s="41"/>
      <c r="B65" s="41"/>
      <c r="C65" s="42"/>
      <c r="D65" s="53"/>
      <c r="E65" s="64"/>
      <c r="F65" s="67" t="s">
        <v>51</v>
      </c>
      <c r="G65" s="53"/>
      <c r="I65" s="45"/>
    </row>
    <row r="66" spans="1:9" ht="15.75" thickBot="1" x14ac:dyDescent="0.25">
      <c r="A66" s="41"/>
      <c r="B66" s="41"/>
      <c r="C66" s="42"/>
      <c r="D66" s="53"/>
      <c r="E66" s="75"/>
      <c r="F66" s="69"/>
      <c r="G66" s="70"/>
      <c r="I66" s="45"/>
    </row>
    <row r="67" spans="1:9" x14ac:dyDescent="0.2">
      <c r="A67" s="41"/>
      <c r="B67" s="41"/>
      <c r="C67" s="42"/>
      <c r="F67" s="47"/>
      <c r="I67" s="45"/>
    </row>
    <row r="68" spans="1:9" ht="15.75" thickBot="1" x14ac:dyDescent="0.25">
      <c r="A68" s="41"/>
      <c r="B68" s="41"/>
      <c r="C68" s="42"/>
      <c r="E68" s="46" t="s">
        <v>52</v>
      </c>
      <c r="F68" s="47"/>
      <c r="I68" s="45"/>
    </row>
    <row r="69" spans="1:9" x14ac:dyDescent="0.2">
      <c r="A69" s="41"/>
      <c r="B69" s="41"/>
      <c r="C69" s="42"/>
      <c r="D69" s="53"/>
      <c r="E69" s="74"/>
      <c r="F69" s="49"/>
      <c r="G69" s="50"/>
      <c r="I69" s="45"/>
    </row>
    <row r="70" spans="1:9" x14ac:dyDescent="0.2">
      <c r="A70" s="41"/>
      <c r="B70" s="41"/>
      <c r="C70" s="42"/>
      <c r="D70" s="53"/>
      <c r="E70" s="64"/>
      <c r="F70" s="52" t="s">
        <v>71</v>
      </c>
      <c r="G70" s="53"/>
      <c r="I70" s="45"/>
    </row>
    <row r="71" spans="1:9" x14ac:dyDescent="0.2">
      <c r="A71" s="41"/>
      <c r="B71" s="41"/>
      <c r="C71" s="42"/>
      <c r="D71" s="53"/>
      <c r="E71" s="55" t="str">
        <f>IF(F71=0,"*","")</f>
        <v>*</v>
      </c>
      <c r="F71" s="71"/>
      <c r="G71" s="57"/>
      <c r="I71" s="45"/>
    </row>
    <row r="72" spans="1:9" x14ac:dyDescent="0.2">
      <c r="A72" s="41"/>
      <c r="B72" s="41"/>
      <c r="C72" s="42"/>
      <c r="D72" s="53"/>
      <c r="E72" s="64"/>
      <c r="F72" s="67" t="s">
        <v>74</v>
      </c>
      <c r="G72" s="53"/>
      <c r="I72" s="45"/>
    </row>
    <row r="73" spans="1:9" x14ac:dyDescent="0.2">
      <c r="A73" s="41"/>
      <c r="B73" s="41"/>
      <c r="C73" s="42"/>
      <c r="D73" s="53"/>
      <c r="E73" s="64"/>
      <c r="F73" s="65"/>
      <c r="G73" s="53"/>
      <c r="I73" s="45"/>
    </row>
    <row r="74" spans="1:9" x14ac:dyDescent="0.2">
      <c r="A74" s="41"/>
      <c r="B74" s="41"/>
      <c r="C74" s="42"/>
      <c r="D74" s="53"/>
      <c r="E74" s="64"/>
      <c r="F74" s="52" t="s">
        <v>28</v>
      </c>
      <c r="G74" s="53"/>
      <c r="I74" s="45"/>
    </row>
    <row r="75" spans="1:9" x14ac:dyDescent="0.2">
      <c r="A75" s="41"/>
      <c r="B75" s="41"/>
      <c r="C75" s="42"/>
      <c r="D75" s="53"/>
      <c r="E75" s="55" t="str">
        <f>IF(F75=0,"*","")</f>
        <v>*</v>
      </c>
      <c r="F75" s="71"/>
      <c r="G75" s="57"/>
      <c r="I75" s="45"/>
    </row>
    <row r="76" spans="1:9" x14ac:dyDescent="0.2">
      <c r="A76" s="41"/>
      <c r="B76" s="41"/>
      <c r="C76" s="42"/>
      <c r="E76" s="51"/>
      <c r="F76" s="67" t="s">
        <v>53</v>
      </c>
      <c r="G76" s="53"/>
      <c r="I76" s="45"/>
    </row>
    <row r="77" spans="1:9" ht="15.75" thickBot="1" x14ac:dyDescent="0.25">
      <c r="A77" s="41"/>
      <c r="B77" s="41"/>
      <c r="C77" s="42"/>
      <c r="E77" s="68"/>
      <c r="F77" s="69"/>
      <c r="G77" s="70"/>
      <c r="I77" s="45"/>
    </row>
    <row r="78" spans="1:9" x14ac:dyDescent="0.2">
      <c r="A78" s="41"/>
      <c r="B78" s="41"/>
      <c r="C78" s="42"/>
      <c r="F78" s="47"/>
      <c r="I78" s="45"/>
    </row>
    <row r="79" spans="1:9" ht="15.75" thickBot="1" x14ac:dyDescent="0.25">
      <c r="A79" s="41"/>
      <c r="B79" s="41"/>
      <c r="C79" s="42"/>
      <c r="E79" s="46" t="s">
        <v>54</v>
      </c>
      <c r="F79" s="47"/>
      <c r="I79" s="45"/>
    </row>
    <row r="80" spans="1:9" x14ac:dyDescent="0.2">
      <c r="A80" s="41"/>
      <c r="B80" s="41"/>
      <c r="C80" s="41"/>
      <c r="E80" s="48"/>
      <c r="F80" s="49"/>
      <c r="G80" s="50"/>
      <c r="I80" s="45"/>
    </row>
    <row r="81" spans="1:9" x14ac:dyDescent="0.2">
      <c r="A81" s="41"/>
      <c r="B81" s="41"/>
      <c r="C81" s="41"/>
      <c r="D81" s="53"/>
      <c r="E81" s="64"/>
      <c r="F81" s="52" t="s">
        <v>56</v>
      </c>
      <c r="G81" s="53"/>
      <c r="I81" s="45"/>
    </row>
    <row r="82" spans="1:9" x14ac:dyDescent="0.2">
      <c r="A82" s="41"/>
      <c r="B82" s="41"/>
      <c r="C82" s="41"/>
      <c r="D82" s="53"/>
      <c r="E82" s="55" t="str">
        <f>IF(F82=0,"*","")</f>
        <v>*</v>
      </c>
      <c r="F82" s="94"/>
      <c r="G82" s="57"/>
      <c r="I82" s="45"/>
    </row>
    <row r="83" spans="1:9" x14ac:dyDescent="0.2">
      <c r="A83" s="41"/>
      <c r="B83" s="41"/>
      <c r="C83" s="41"/>
      <c r="D83" s="53"/>
      <c r="E83" s="64"/>
      <c r="F83" s="67" t="s">
        <v>55</v>
      </c>
      <c r="G83" s="53"/>
      <c r="I83" s="45"/>
    </row>
    <row r="84" spans="1:9" x14ac:dyDescent="0.2">
      <c r="A84" s="41"/>
      <c r="B84" s="41"/>
      <c r="C84" s="41"/>
      <c r="D84" s="53"/>
      <c r="E84" s="64"/>
      <c r="F84" s="65"/>
      <c r="G84" s="53"/>
      <c r="H84" s="64"/>
      <c r="I84" s="45"/>
    </row>
    <row r="85" spans="1:9" x14ac:dyDescent="0.2">
      <c r="A85" s="41"/>
      <c r="B85" s="41"/>
      <c r="C85" s="41"/>
      <c r="D85" s="53"/>
      <c r="E85" s="64"/>
      <c r="F85" s="52" t="s">
        <v>29</v>
      </c>
      <c r="G85" s="53"/>
      <c r="I85" s="45"/>
    </row>
    <row r="86" spans="1:9" x14ac:dyDescent="0.2">
      <c r="A86" s="41"/>
      <c r="B86" s="41"/>
      <c r="C86" s="41"/>
      <c r="D86" s="53"/>
      <c r="E86" s="55" t="str">
        <f>IF(F86=0,"*","")</f>
        <v>*</v>
      </c>
      <c r="F86" s="94"/>
      <c r="G86" s="57"/>
      <c r="I86" s="45"/>
    </row>
    <row r="87" spans="1:9" x14ac:dyDescent="0.2">
      <c r="A87" s="41"/>
      <c r="B87" s="41"/>
      <c r="C87" s="41"/>
      <c r="D87" s="53"/>
      <c r="E87" s="64"/>
      <c r="F87" s="67" t="s">
        <v>57</v>
      </c>
      <c r="G87" s="53"/>
      <c r="I87" s="45"/>
    </row>
    <row r="88" spans="1:9" ht="15.75" thickBot="1" x14ac:dyDescent="0.25">
      <c r="A88" s="41"/>
      <c r="B88" s="41"/>
      <c r="C88" s="41"/>
      <c r="E88" s="68"/>
      <c r="F88" s="69"/>
      <c r="G88" s="70"/>
      <c r="I88" s="45"/>
    </row>
    <row r="89" spans="1:9" x14ac:dyDescent="0.2">
      <c r="A89" s="41"/>
      <c r="B89" s="41"/>
      <c r="C89" s="41"/>
      <c r="F89" s="47"/>
      <c r="I89" s="45"/>
    </row>
    <row r="90" spans="1:9" x14ac:dyDescent="0.2">
      <c r="A90" s="76"/>
      <c r="B90" s="76"/>
      <c r="C90" s="76"/>
      <c r="D90" s="76"/>
      <c r="E90" s="76"/>
      <c r="F90" s="76"/>
      <c r="G90" s="76"/>
      <c r="H90" s="76"/>
      <c r="I90" s="76"/>
    </row>
    <row r="164" ht="15.75" customHeight="1" x14ac:dyDescent="0.2"/>
    <row r="185" ht="15" customHeight="1" x14ac:dyDescent="0.2"/>
  </sheetData>
  <sheetProtection sheet="1" selectLockedCells="1"/>
  <dataValidations count="1">
    <dataValidation type="date" allowBlank="1" showInputMessage="1" showErrorMessage="1" errorTitle="Datum" error="Datum je neispravno upisan (primer: 23.11.2017)." sqref="F24">
      <formula1>40544</formula1>
      <formula2>2958465</formula2>
    </dataValidation>
  </dataValidations>
  <pageMargins left="0.39370078740157483" right="0.39370078740157483" top="2.3622047244094491" bottom="1.1811023622047245" header="0" footer="0"/>
  <pageSetup paperSize="151" orientation="portrait" r:id="rId1"/>
  <headerFooter scaleWithDoc="0">
    <oddHeader>&amp;C&amp;G</oddHeader>
    <oddFooter>&amp;C&amp;G</oddFooter>
  </headerFooter>
  <drawing r:id="rId2"/>
  <legacyDrawingHF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C1:E194"/>
  <sheetViews>
    <sheetView showGridLines="0" showRowColHeaders="0" zoomScaleNormal="100" workbookViewId="0">
      <pane ySplit="1" topLeftCell="A2" activePane="bottomLeft" state="frozen"/>
      <selection pane="bottomLeft" activeCell="A2" sqref="A2"/>
    </sheetView>
  </sheetViews>
  <sheetFormatPr defaultRowHeight="15" x14ac:dyDescent="0.2"/>
  <cols>
    <col min="1" max="3" width="2.21875" style="2" customWidth="1"/>
    <col min="4" max="4" width="80.109375" style="2" customWidth="1"/>
    <col min="5" max="191" width="2.21875" style="2" customWidth="1"/>
    <col min="192" max="16384" width="8.88671875" style="2"/>
  </cols>
  <sheetData>
    <row r="1" spans="3:5" s="1" customFormat="1" ht="30" customHeight="1" thickBot="1" x14ac:dyDescent="0.25">
      <c r="C1" s="95"/>
      <c r="D1" s="95"/>
      <c r="E1" s="95"/>
    </row>
    <row r="2" spans="3:5" ht="15.75" thickTop="1" x14ac:dyDescent="0.2"/>
    <row r="6" spans="3:5" x14ac:dyDescent="0.2">
      <c r="C6" s="3"/>
      <c r="D6" s="3"/>
      <c r="E6" s="3"/>
    </row>
    <row r="7" spans="3:5" x14ac:dyDescent="0.2">
      <c r="C7" s="28"/>
      <c r="D7" s="4"/>
      <c r="E7" s="4"/>
    </row>
    <row r="8" spans="3:5" x14ac:dyDescent="0.2">
      <c r="C8" s="28"/>
      <c r="D8" s="6"/>
      <c r="E8" s="5"/>
    </row>
    <row r="9" spans="3:5" x14ac:dyDescent="0.2">
      <c r="C9" s="28"/>
      <c r="D9" s="6"/>
      <c r="E9" s="5"/>
    </row>
    <row r="10" spans="3:5" ht="15.75" x14ac:dyDescent="0.25">
      <c r="C10" s="28"/>
      <c r="D10" s="24" t="s">
        <v>78</v>
      </c>
      <c r="E10" s="15"/>
    </row>
    <row r="11" spans="3:5" x14ac:dyDescent="0.2">
      <c r="C11" s="28"/>
      <c r="D11" s="6"/>
      <c r="E11" s="5"/>
    </row>
    <row r="12" spans="3:5" x14ac:dyDescent="0.2">
      <c r="C12" s="28"/>
      <c r="D12" s="6"/>
      <c r="E12" s="5"/>
    </row>
    <row r="13" spans="3:5" x14ac:dyDescent="0.2">
      <c r="C13" s="28"/>
      <c r="D13" s="6"/>
      <c r="E13" s="5"/>
    </row>
    <row r="14" spans="3:5" s="9" customFormat="1" x14ac:dyDescent="0.2">
      <c r="C14" s="28"/>
      <c r="D14" s="8" t="str">
        <f>IF(Investitor=0,"...",Investitor)</f>
        <v>...</v>
      </c>
      <c r="E14" s="5"/>
    </row>
    <row r="15" spans="3:5" x14ac:dyDescent="0.2">
      <c r="C15" s="28"/>
      <c r="D15" s="10" t="s">
        <v>25</v>
      </c>
      <c r="E15" s="5"/>
    </row>
    <row r="16" spans="3:5" x14ac:dyDescent="0.2">
      <c r="C16" s="28"/>
      <c r="D16" s="11" t="str">
        <f>IF(OR(Objekat=0,LokacijaObjekta=0,SpisakParcela=0),"...",Objekat&amp;", "&amp;LokacijaObjekta&amp;", "&amp;SpisakParcela)</f>
        <v>...</v>
      </c>
      <c r="E16" s="5"/>
    </row>
    <row r="17" spans="3:5" x14ac:dyDescent="0.2">
      <c r="C17" s="28"/>
      <c r="D17" s="10" t="s">
        <v>1</v>
      </c>
      <c r="E17" s="5"/>
    </row>
    <row r="18" spans="3:5" x14ac:dyDescent="0.2">
      <c r="C18" s="28"/>
      <c r="D18" s="12" t="s">
        <v>16</v>
      </c>
      <c r="E18" s="5"/>
    </row>
    <row r="19" spans="3:5" x14ac:dyDescent="0.2">
      <c r="C19" s="28"/>
      <c r="D19" s="16" t="s">
        <v>6</v>
      </c>
      <c r="E19" s="5"/>
    </row>
    <row r="20" spans="3:5" x14ac:dyDescent="0.2">
      <c r="C20" s="28"/>
      <c r="D20" s="12" t="str">
        <f>IF(ProjektnaOrganizacija=0,"...",ProjektnaOrganizacija)</f>
        <v>...</v>
      </c>
      <c r="E20" s="5"/>
    </row>
    <row r="21" spans="3:5" x14ac:dyDescent="0.2">
      <c r="C21" s="28"/>
      <c r="D21" s="10" t="s">
        <v>7</v>
      </c>
      <c r="E21" s="5"/>
    </row>
    <row r="22" spans="3:5" x14ac:dyDescent="0.2">
      <c r="C22" s="28"/>
      <c r="D22" s="6"/>
      <c r="E22" s="5"/>
    </row>
    <row r="23" spans="3:5" x14ac:dyDescent="0.2">
      <c r="C23" s="28"/>
      <c r="D23" s="6"/>
      <c r="E23" s="5"/>
    </row>
    <row r="24" spans="3:5" x14ac:dyDescent="0.2">
      <c r="C24" s="28"/>
      <c r="D24" s="6"/>
      <c r="E24" s="5"/>
    </row>
    <row r="25" spans="3:5" x14ac:dyDescent="0.2">
      <c r="C25" s="28"/>
      <c r="D25" s="6"/>
      <c r="E25" s="5"/>
    </row>
    <row r="26" spans="3:5" x14ac:dyDescent="0.2">
      <c r="C26" s="28"/>
      <c r="D26" s="12" t="str">
        <f>IF(OdgovornoLice=0,"...",OdgovornoLice)</f>
        <v>...</v>
      </c>
      <c r="E26" s="5"/>
    </row>
    <row r="27" spans="3:5" x14ac:dyDescent="0.2">
      <c r="C27" s="28"/>
      <c r="D27" s="13" t="s">
        <v>8</v>
      </c>
      <c r="E27" s="5"/>
    </row>
    <row r="28" spans="3:5" x14ac:dyDescent="0.2">
      <c r="C28" s="28"/>
      <c r="D28" s="17"/>
      <c r="E28" s="5"/>
    </row>
    <row r="29" spans="3:5" x14ac:dyDescent="0.2">
      <c r="C29" s="28"/>
      <c r="D29" s="6"/>
      <c r="E29" s="5"/>
    </row>
    <row r="30" spans="3:5" x14ac:dyDescent="0.2">
      <c r="C30" s="28"/>
      <c r="D30" s="6"/>
      <c r="E30" s="5"/>
    </row>
    <row r="31" spans="3:5" x14ac:dyDescent="0.2">
      <c r="C31" s="28"/>
      <c r="D31" s="6"/>
      <c r="E31" s="5"/>
    </row>
    <row r="32" spans="3:5" x14ac:dyDescent="0.2">
      <c r="C32" s="28"/>
      <c r="D32" s="6"/>
      <c r="E32" s="5"/>
    </row>
    <row r="33" spans="3:5" x14ac:dyDescent="0.2">
      <c r="C33" s="28"/>
      <c r="D33" s="6"/>
      <c r="E33" s="5"/>
    </row>
    <row r="34" spans="3:5" x14ac:dyDescent="0.2">
      <c r="C34" s="28"/>
      <c r="D34" s="12" t="str">
        <f>IF(OdgovorniProjektant=0,"...",OdgovorniProjektant)</f>
        <v>...</v>
      </c>
      <c r="E34" s="5"/>
    </row>
    <row r="35" spans="3:5" x14ac:dyDescent="0.2">
      <c r="C35" s="28"/>
      <c r="D35" s="13" t="s">
        <v>9</v>
      </c>
      <c r="E35" s="5"/>
    </row>
    <row r="36" spans="3:5" x14ac:dyDescent="0.2">
      <c r="C36" s="28"/>
      <c r="D36" s="6"/>
      <c r="E36" s="5"/>
    </row>
    <row r="37" spans="3:5" x14ac:dyDescent="0.2">
      <c r="C37" s="28"/>
      <c r="D37" s="6"/>
      <c r="E37" s="5"/>
    </row>
    <row r="38" spans="3:5" x14ac:dyDescent="0.2">
      <c r="C38" s="28"/>
      <c r="D38" s="12" t="str">
        <f>IF(EvidencioniBroj=0,"...",EvidencioniBroj)</f>
        <v>...</v>
      </c>
      <c r="E38" s="5"/>
    </row>
    <row r="39" spans="3:5" x14ac:dyDescent="0.2">
      <c r="C39" s="28"/>
      <c r="D39" s="10" t="s">
        <v>10</v>
      </c>
      <c r="E39" s="5"/>
    </row>
    <row r="40" spans="3:5" x14ac:dyDescent="0.2">
      <c r="C40" s="28"/>
      <c r="D40" s="12" t="str">
        <f>IF(OR(Datum=0,Mesto=0),"...",Mesto&amp;", "&amp;TEXT(Datum,"DD.MM.YYYY")&amp;". godine")</f>
        <v>...</v>
      </c>
      <c r="E40" s="5"/>
    </row>
    <row r="41" spans="3:5" x14ac:dyDescent="0.2">
      <c r="C41" s="28"/>
      <c r="D41" s="10" t="s">
        <v>11</v>
      </c>
      <c r="E41" s="5"/>
    </row>
    <row r="42" spans="3:5" x14ac:dyDescent="0.2">
      <c r="C42" s="14"/>
      <c r="D42" s="14"/>
      <c r="E42" s="14"/>
    </row>
    <row r="91" ht="15" customHeight="1" x14ac:dyDescent="0.2"/>
    <row r="173" ht="15.75" customHeight="1" x14ac:dyDescent="0.2"/>
    <row r="194" ht="15" customHeight="1" x14ac:dyDescent="0.2"/>
  </sheetData>
  <mergeCells count="1">
    <mergeCell ref="C1:E1"/>
  </mergeCells>
  <pageMargins left="0.39370078740157483" right="0.39370078740157483" top="2.3622047244094491" bottom="1.1811023622047245" header="0" footer="0"/>
  <pageSetup paperSize="151" orientation="portrait" r:id="rId1"/>
  <headerFooter scaleWithDoc="0">
    <oddHeader>&amp;C&amp;G</oddHeader>
    <oddFooter>&amp;C&amp;G</oddFooter>
  </headerFooter>
  <drawing r:id="rId2"/>
  <legacyDrawingHF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C1:F124"/>
  <sheetViews>
    <sheetView showGridLines="0" showRowColHeaders="0" zoomScaleNormal="100" workbookViewId="0">
      <pane ySplit="1" topLeftCell="A2" activePane="bottomLeft" state="frozen"/>
      <selection pane="bottomLeft" activeCell="A2" sqref="A2"/>
    </sheetView>
  </sheetViews>
  <sheetFormatPr defaultRowHeight="15" x14ac:dyDescent="0.2"/>
  <cols>
    <col min="1" max="3" width="2.21875" style="19" customWidth="1"/>
    <col min="4" max="4" width="6.77734375" style="19" customWidth="1"/>
    <col min="5" max="5" width="61.77734375" style="19" customWidth="1"/>
    <col min="6" max="187" width="2.21875" style="19" customWidth="1"/>
    <col min="188" max="16384" width="8.88671875" style="19"/>
  </cols>
  <sheetData>
    <row r="1" spans="3:6" s="18" customFormat="1" ht="30" customHeight="1" thickBot="1" x14ac:dyDescent="0.25">
      <c r="C1" s="96"/>
      <c r="D1" s="96"/>
      <c r="E1" s="96"/>
      <c r="F1" s="96"/>
    </row>
    <row r="2" spans="3:6" ht="15.75" thickTop="1" x14ac:dyDescent="0.2"/>
    <row r="6" spans="3:6" x14ac:dyDescent="0.2">
      <c r="C6" s="3"/>
      <c r="D6" s="3"/>
      <c r="E6" s="3"/>
      <c r="F6" s="3"/>
    </row>
    <row r="7" spans="3:6" x14ac:dyDescent="0.2">
      <c r="C7" s="4"/>
      <c r="D7" s="4"/>
      <c r="E7" s="4"/>
      <c r="F7" s="4"/>
    </row>
    <row r="8" spans="3:6" x14ac:dyDescent="0.2">
      <c r="C8" s="5"/>
      <c r="D8" s="20"/>
      <c r="E8" s="21"/>
      <c r="F8" s="5"/>
    </row>
    <row r="9" spans="3:6" x14ac:dyDescent="0.2">
      <c r="C9" s="5"/>
      <c r="D9" s="20"/>
      <c r="E9" s="21"/>
      <c r="F9" s="5"/>
    </row>
    <row r="10" spans="3:6" ht="15.75" x14ac:dyDescent="0.25">
      <c r="C10" s="5"/>
      <c r="D10" s="97" t="s">
        <v>79</v>
      </c>
      <c r="E10" s="97"/>
      <c r="F10" s="5"/>
    </row>
    <row r="11" spans="3:6" x14ac:dyDescent="0.2">
      <c r="C11" s="5"/>
      <c r="D11" s="20"/>
      <c r="E11" s="21"/>
      <c r="F11" s="5"/>
    </row>
    <row r="12" spans="3:6" x14ac:dyDescent="0.2">
      <c r="C12" s="5"/>
      <c r="D12" s="20"/>
      <c r="E12" s="21"/>
      <c r="F12" s="5"/>
    </row>
    <row r="13" spans="3:6" x14ac:dyDescent="0.2">
      <c r="C13" s="5"/>
      <c r="D13" s="20"/>
      <c r="E13" s="21"/>
      <c r="F13" s="5"/>
    </row>
    <row r="14" spans="3:6" x14ac:dyDescent="0.2">
      <c r="C14" s="5"/>
      <c r="D14" s="21" t="s">
        <v>17</v>
      </c>
      <c r="E14" s="37" t="s">
        <v>80</v>
      </c>
      <c r="F14" s="5"/>
    </row>
    <row r="15" spans="3:6" x14ac:dyDescent="0.2">
      <c r="C15" s="5"/>
      <c r="D15" s="21"/>
      <c r="E15" s="21"/>
      <c r="F15" s="5"/>
    </row>
    <row r="16" spans="3:6" x14ac:dyDescent="0.2">
      <c r="C16" s="5"/>
      <c r="D16" s="21" t="s">
        <v>18</v>
      </c>
      <c r="E16" s="37" t="s">
        <v>81</v>
      </c>
      <c r="F16" s="5"/>
    </row>
    <row r="17" spans="3:6" x14ac:dyDescent="0.2">
      <c r="C17" s="5"/>
      <c r="D17" s="21"/>
      <c r="E17" s="21"/>
      <c r="F17" s="5"/>
    </row>
    <row r="18" spans="3:6" ht="15.75" x14ac:dyDescent="0.25">
      <c r="C18" s="5"/>
      <c r="D18" s="22" t="s">
        <v>19</v>
      </c>
      <c r="E18" s="22" t="s">
        <v>12</v>
      </c>
      <c r="F18" s="5"/>
    </row>
    <row r="19" spans="3:6" x14ac:dyDescent="0.2">
      <c r="C19" s="5"/>
      <c r="D19" s="21"/>
      <c r="E19" s="21"/>
      <c r="F19" s="5"/>
    </row>
    <row r="20" spans="3:6" x14ac:dyDescent="0.2">
      <c r="C20" s="5"/>
      <c r="D20" s="21" t="s">
        <v>20</v>
      </c>
      <c r="E20" s="21" t="s">
        <v>23</v>
      </c>
      <c r="F20" s="5"/>
    </row>
    <row r="21" spans="3:6" x14ac:dyDescent="0.2">
      <c r="C21" s="5"/>
      <c r="D21" s="21"/>
      <c r="E21" s="21"/>
      <c r="F21" s="5"/>
    </row>
    <row r="22" spans="3:6" ht="15.75" x14ac:dyDescent="0.25">
      <c r="C22" s="5"/>
      <c r="D22" s="22" t="s">
        <v>21</v>
      </c>
      <c r="E22" s="22" t="s">
        <v>13</v>
      </c>
      <c r="F22" s="5"/>
    </row>
    <row r="23" spans="3:6" x14ac:dyDescent="0.2">
      <c r="C23" s="5"/>
      <c r="D23" s="21"/>
      <c r="E23" s="21"/>
      <c r="F23" s="5"/>
    </row>
    <row r="24" spans="3:6" x14ac:dyDescent="0.2">
      <c r="C24" s="5"/>
      <c r="D24" s="21" t="s">
        <v>22</v>
      </c>
      <c r="E24" s="37" t="s">
        <v>31</v>
      </c>
      <c r="F24" s="5"/>
    </row>
    <row r="25" spans="3:6" x14ac:dyDescent="0.2">
      <c r="C25" s="5"/>
      <c r="D25" s="21"/>
      <c r="E25" s="21"/>
      <c r="F25" s="5"/>
    </row>
    <row r="26" spans="3:6" ht="15.75" x14ac:dyDescent="0.25">
      <c r="C26" s="85" t="s">
        <v>14</v>
      </c>
      <c r="D26" s="38" t="s">
        <v>24</v>
      </c>
      <c r="E26" s="38" t="s">
        <v>76</v>
      </c>
      <c r="F26" s="84" t="s">
        <v>15</v>
      </c>
    </row>
    <row r="27" spans="3:6" x14ac:dyDescent="0.2">
      <c r="C27" s="39"/>
      <c r="D27" s="40"/>
      <c r="E27" s="40"/>
      <c r="F27" s="86"/>
    </row>
    <row r="28" spans="3:6" x14ac:dyDescent="0.2">
      <c r="C28" s="23"/>
      <c r="D28" s="23"/>
      <c r="E28" s="23"/>
      <c r="F28" s="23"/>
    </row>
    <row r="103" ht="15.75" customHeight="1" x14ac:dyDescent="0.2"/>
    <row r="124" ht="15" customHeight="1" x14ac:dyDescent="0.2"/>
  </sheetData>
  <mergeCells count="2">
    <mergeCell ref="C1:F1"/>
    <mergeCell ref="D10:E10"/>
  </mergeCells>
  <pageMargins left="1.3779527559055118" right="0.39370078740157483" top="1.1811023622047245" bottom="1.1811023622047245" header="0" footer="0"/>
  <pageSetup paperSize="151" orientation="portrait" r:id="rId1"/>
  <headerFooter scaleWithDoc="0">
    <oddHeader>&amp;C&amp;G</oddHeader>
    <oddFooter xml:space="preserve">&amp;C&amp;G&amp;R&amp;"Brush Script MT,Regular"
Strana &amp;P od &amp;N&amp;10
</oddFooter>
  </headerFooter>
  <drawing r:id="rId2"/>
  <legacyDrawingHF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C1:E121"/>
  <sheetViews>
    <sheetView showGridLines="0" showRowColHeaders="0" zoomScaleNormal="100" workbookViewId="0">
      <pane ySplit="1" topLeftCell="A2" activePane="bottomLeft" state="frozen"/>
      <selection pane="bottomLeft" activeCell="A2" sqref="A2"/>
    </sheetView>
  </sheetViews>
  <sheetFormatPr defaultRowHeight="15" x14ac:dyDescent="0.2"/>
  <cols>
    <col min="1" max="3" width="2.21875" style="19" customWidth="1"/>
    <col min="4" max="4" width="69.77734375" style="19" customWidth="1"/>
    <col min="5" max="187" width="2.21875" style="19" customWidth="1"/>
    <col min="188" max="16384" width="8.88671875" style="19"/>
  </cols>
  <sheetData>
    <row r="1" spans="3:5" s="18" customFormat="1" ht="30" customHeight="1" thickBot="1" x14ac:dyDescent="0.25">
      <c r="C1" s="96"/>
      <c r="D1" s="96"/>
      <c r="E1" s="96"/>
    </row>
    <row r="2" spans="3:5" ht="15.75" thickTop="1" x14ac:dyDescent="0.2"/>
    <row r="6" spans="3:5" x14ac:dyDescent="0.2">
      <c r="C6" s="3"/>
      <c r="D6" s="3"/>
      <c r="E6" s="3"/>
    </row>
    <row r="7" spans="3:5" x14ac:dyDescent="0.2">
      <c r="C7" s="5"/>
      <c r="D7" s="4"/>
      <c r="E7" s="5"/>
    </row>
    <row r="8" spans="3:5" x14ac:dyDescent="0.2">
      <c r="C8" s="5"/>
      <c r="D8" s="98" t="s">
        <v>26</v>
      </c>
      <c r="E8" s="5"/>
    </row>
    <row r="9" spans="3:5" x14ac:dyDescent="0.2">
      <c r="C9" s="5"/>
      <c r="D9" s="99"/>
      <c r="E9" s="5"/>
    </row>
    <row r="10" spans="3:5" x14ac:dyDescent="0.2">
      <c r="C10" s="5"/>
      <c r="D10" s="99"/>
      <c r="E10" s="5"/>
    </row>
    <row r="11" spans="3:5" x14ac:dyDescent="0.2">
      <c r="C11" s="5"/>
      <c r="D11" s="99"/>
      <c r="E11" s="5"/>
    </row>
    <row r="12" spans="3:5" x14ac:dyDescent="0.2">
      <c r="C12" s="5"/>
      <c r="D12" s="99"/>
      <c r="E12" s="5"/>
    </row>
    <row r="13" spans="3:5" x14ac:dyDescent="0.2">
      <c r="C13" s="5"/>
      <c r="D13" s="99"/>
      <c r="E13" s="5"/>
    </row>
    <row r="14" spans="3:5" x14ac:dyDescent="0.2">
      <c r="C14" s="5"/>
      <c r="D14" s="99"/>
      <c r="E14" s="5"/>
    </row>
    <row r="15" spans="3:5" x14ac:dyDescent="0.2">
      <c r="C15" s="5"/>
      <c r="D15" s="99"/>
      <c r="E15" s="5"/>
    </row>
    <row r="16" spans="3:5" x14ac:dyDescent="0.2">
      <c r="C16" s="5"/>
      <c r="D16" s="99"/>
      <c r="E16" s="5"/>
    </row>
    <row r="17" spans="3:5" x14ac:dyDescent="0.2">
      <c r="C17" s="5"/>
      <c r="D17" s="99"/>
      <c r="E17" s="5"/>
    </row>
    <row r="18" spans="3:5" x14ac:dyDescent="0.2">
      <c r="C18" s="5"/>
      <c r="D18" s="99"/>
      <c r="E18" s="5"/>
    </row>
    <row r="19" spans="3:5" x14ac:dyDescent="0.2">
      <c r="C19" s="5"/>
      <c r="D19" s="99"/>
      <c r="E19" s="5"/>
    </row>
    <row r="20" spans="3:5" x14ac:dyDescent="0.2">
      <c r="C20" s="5"/>
      <c r="D20" s="99"/>
      <c r="E20" s="5"/>
    </row>
    <row r="21" spans="3:5" x14ac:dyDescent="0.2">
      <c r="C21" s="5"/>
      <c r="D21" s="99"/>
      <c r="E21" s="5"/>
    </row>
    <row r="22" spans="3:5" x14ac:dyDescent="0.2">
      <c r="C22" s="5"/>
      <c r="D22" s="99"/>
      <c r="E22" s="5"/>
    </row>
    <row r="23" spans="3:5" x14ac:dyDescent="0.2">
      <c r="C23" s="5"/>
      <c r="D23" s="99"/>
      <c r="E23" s="5"/>
    </row>
    <row r="24" spans="3:5" x14ac:dyDescent="0.2">
      <c r="C24" s="5"/>
      <c r="D24" s="99"/>
      <c r="E24" s="5"/>
    </row>
    <row r="25" spans="3:5" x14ac:dyDescent="0.2">
      <c r="C25" s="5"/>
      <c r="D25" s="99"/>
      <c r="E25" s="5"/>
    </row>
    <row r="26" spans="3:5" x14ac:dyDescent="0.2">
      <c r="C26" s="5"/>
      <c r="D26" s="99"/>
      <c r="E26" s="5"/>
    </row>
    <row r="27" spans="3:5" x14ac:dyDescent="0.2">
      <c r="C27" s="5"/>
      <c r="D27" s="99"/>
      <c r="E27" s="5"/>
    </row>
    <row r="28" spans="3:5" x14ac:dyDescent="0.2">
      <c r="C28" s="5"/>
      <c r="D28" s="99"/>
      <c r="E28" s="5"/>
    </row>
    <row r="29" spans="3:5" x14ac:dyDescent="0.2">
      <c r="C29" s="5"/>
      <c r="D29" s="99"/>
      <c r="E29" s="5"/>
    </row>
    <row r="30" spans="3:5" x14ac:dyDescent="0.2">
      <c r="C30" s="5"/>
      <c r="D30" s="99"/>
      <c r="E30" s="5"/>
    </row>
    <row r="31" spans="3:5" x14ac:dyDescent="0.2">
      <c r="C31" s="5"/>
      <c r="D31" s="99"/>
      <c r="E31" s="5"/>
    </row>
    <row r="32" spans="3:5" x14ac:dyDescent="0.2">
      <c r="C32" s="5"/>
      <c r="D32" s="99"/>
      <c r="E32" s="5"/>
    </row>
    <row r="33" spans="3:5" x14ac:dyDescent="0.2">
      <c r="C33" s="5"/>
      <c r="D33" s="99"/>
      <c r="E33" s="5"/>
    </row>
    <row r="34" spans="3:5" x14ac:dyDescent="0.2">
      <c r="C34" s="5"/>
      <c r="D34" s="99"/>
      <c r="E34" s="5"/>
    </row>
    <row r="35" spans="3:5" x14ac:dyDescent="0.2">
      <c r="C35" s="5"/>
      <c r="D35" s="99"/>
      <c r="E35" s="5"/>
    </row>
    <row r="36" spans="3:5" x14ac:dyDescent="0.2">
      <c r="C36" s="5"/>
      <c r="D36" s="99"/>
      <c r="E36" s="5"/>
    </row>
    <row r="37" spans="3:5" x14ac:dyDescent="0.2">
      <c r="C37" s="5"/>
      <c r="D37" s="99"/>
      <c r="E37" s="5"/>
    </row>
    <row r="38" spans="3:5" x14ac:dyDescent="0.2">
      <c r="C38" s="5"/>
      <c r="D38" s="99"/>
      <c r="E38" s="5"/>
    </row>
    <row r="39" spans="3:5" x14ac:dyDescent="0.2">
      <c r="C39" s="5"/>
      <c r="D39" s="99"/>
      <c r="E39" s="5"/>
    </row>
    <row r="40" spans="3:5" x14ac:dyDescent="0.2">
      <c r="C40" s="5"/>
      <c r="D40" s="99"/>
      <c r="E40" s="5"/>
    </row>
    <row r="41" spans="3:5" x14ac:dyDescent="0.2">
      <c r="C41" s="5"/>
      <c r="D41" s="99"/>
      <c r="E41" s="5"/>
    </row>
    <row r="42" spans="3:5" x14ac:dyDescent="0.2">
      <c r="C42" s="5"/>
      <c r="D42" s="99"/>
      <c r="E42" s="5"/>
    </row>
    <row r="43" spans="3:5" x14ac:dyDescent="0.2">
      <c r="C43" s="5"/>
      <c r="D43" s="99"/>
      <c r="E43" s="5"/>
    </row>
    <row r="44" spans="3:5" x14ac:dyDescent="0.2">
      <c r="C44" s="5"/>
      <c r="D44" s="99"/>
      <c r="E44" s="5"/>
    </row>
    <row r="45" spans="3:5" x14ac:dyDescent="0.2">
      <c r="C45" s="5"/>
      <c r="D45" s="99"/>
      <c r="E45" s="5"/>
    </row>
    <row r="46" spans="3:5" x14ac:dyDescent="0.2">
      <c r="C46" s="5"/>
      <c r="D46" s="99"/>
      <c r="E46" s="5"/>
    </row>
    <row r="47" spans="3:5" x14ac:dyDescent="0.2">
      <c r="C47" s="5"/>
      <c r="D47" s="99"/>
      <c r="E47" s="5"/>
    </row>
    <row r="48" spans="3:5" x14ac:dyDescent="0.2">
      <c r="C48" s="5"/>
      <c r="D48" s="99"/>
      <c r="E48" s="5"/>
    </row>
    <row r="49" spans="3:5" x14ac:dyDescent="0.2">
      <c r="C49" s="5"/>
      <c r="D49" s="99"/>
      <c r="E49" s="5"/>
    </row>
    <row r="50" spans="3:5" x14ac:dyDescent="0.2">
      <c r="C50" s="5"/>
      <c r="D50" s="99"/>
      <c r="E50" s="5"/>
    </row>
    <row r="51" spans="3:5" x14ac:dyDescent="0.2">
      <c r="C51" s="5"/>
      <c r="D51" s="99"/>
      <c r="E51" s="5"/>
    </row>
    <row r="52" spans="3:5" x14ac:dyDescent="0.2">
      <c r="C52" s="5"/>
      <c r="D52" s="99"/>
      <c r="E52" s="5"/>
    </row>
    <row r="53" spans="3:5" x14ac:dyDescent="0.2">
      <c r="C53" s="14"/>
      <c r="D53" s="14"/>
      <c r="E53" s="14"/>
    </row>
    <row r="100" ht="15.75" customHeight="1" x14ac:dyDescent="0.2"/>
    <row r="121" ht="15" customHeight="1" x14ac:dyDescent="0.2"/>
  </sheetData>
  <mergeCells count="2">
    <mergeCell ref="C1:E1"/>
    <mergeCell ref="D8:D52"/>
  </mergeCells>
  <pageMargins left="1.3779527559055118" right="0.39370078740157483" top="1.1811023622047245" bottom="1.1811023622047245" header="0" footer="0"/>
  <pageSetup paperSize="151" orientation="portrait" r:id="rId1"/>
  <headerFooter scaleWithDoc="0">
    <oddHeader>&amp;C&amp;G</oddHeader>
    <oddFooter xml:space="preserve">&amp;C&amp;G&amp;R&amp;"Brush Script MT,Regular"
Strana &amp;P od &amp;N&amp;10
</oddFooter>
  </headerFooter>
  <drawing r:id="rId2"/>
  <legacyDrawingHF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C1:E28"/>
  <sheetViews>
    <sheetView showGridLines="0" showRowColHeaders="0" workbookViewId="0">
      <pane ySplit="1" topLeftCell="A2" activePane="bottomLeft" state="frozen"/>
      <selection pane="bottomLeft" activeCell="A2" sqref="A2"/>
    </sheetView>
  </sheetViews>
  <sheetFormatPr defaultRowHeight="15" x14ac:dyDescent="0.2"/>
  <cols>
    <col min="1" max="3" width="2.21875" style="19" customWidth="1"/>
    <col min="4" max="4" width="69.77734375" style="19" customWidth="1"/>
    <col min="5" max="187" width="2.21875" style="19" customWidth="1"/>
    <col min="188" max="16384" width="8.88671875" style="19"/>
  </cols>
  <sheetData>
    <row r="1" spans="3:5" s="18" customFormat="1" ht="30" customHeight="1" thickBot="1" x14ac:dyDescent="0.25"/>
    <row r="2" spans="3:5" ht="15.75" thickTop="1" x14ac:dyDescent="0.2"/>
    <row r="6" spans="3:5" x14ac:dyDescent="0.2">
      <c r="C6" s="3"/>
      <c r="D6" s="3"/>
      <c r="E6" s="3"/>
    </row>
    <row r="7" spans="3:5" x14ac:dyDescent="0.2">
      <c r="C7" s="28"/>
      <c r="D7" s="4"/>
      <c r="E7" s="28"/>
    </row>
    <row r="8" spans="3:5" x14ac:dyDescent="0.2">
      <c r="C8" s="28"/>
      <c r="D8" s="6"/>
      <c r="E8" s="28"/>
    </row>
    <row r="9" spans="3:5" x14ac:dyDescent="0.2">
      <c r="C9" s="28"/>
      <c r="D9" s="6"/>
      <c r="E9" s="28"/>
    </row>
    <row r="10" spans="3:5" ht="15.75" x14ac:dyDescent="0.25">
      <c r="C10" s="28"/>
      <c r="D10" s="7" t="s">
        <v>30</v>
      </c>
      <c r="E10" s="28"/>
    </row>
    <row r="11" spans="3:5" x14ac:dyDescent="0.2">
      <c r="C11" s="28"/>
      <c r="D11" s="6"/>
      <c r="E11" s="28"/>
    </row>
    <row r="12" spans="3:5" x14ac:dyDescent="0.2">
      <c r="C12" s="28"/>
      <c r="D12" s="6"/>
      <c r="E12" s="28"/>
    </row>
    <row r="13" spans="3:5" x14ac:dyDescent="0.2">
      <c r="C13" s="28"/>
      <c r="D13" s="92" t="s">
        <v>2</v>
      </c>
      <c r="E13" s="28"/>
    </row>
    <row r="14" spans="3:5" x14ac:dyDescent="0.2">
      <c r="C14" s="28"/>
      <c r="D14" s="93" t="str">
        <f>IF(LokacijaObjekta=0,"...",LokacijaObjekta)</f>
        <v>...</v>
      </c>
      <c r="E14" s="28"/>
    </row>
    <row r="15" spans="3:5" x14ac:dyDescent="0.2">
      <c r="C15" s="28"/>
      <c r="D15" s="26" t="s">
        <v>71</v>
      </c>
      <c r="E15" s="28"/>
    </row>
    <row r="16" spans="3:5" x14ac:dyDescent="0.2">
      <c r="C16" s="28"/>
      <c r="D16" s="93" t="str">
        <f>IF(SpisakParcela=0,"...",SpisakParcela)</f>
        <v>...</v>
      </c>
      <c r="E16" s="28"/>
    </row>
    <row r="17" spans="3:5" x14ac:dyDescent="0.2">
      <c r="C17" s="28"/>
      <c r="D17" s="25" t="s">
        <v>28</v>
      </c>
      <c r="E17" s="28"/>
    </row>
    <row r="18" spans="3:5" x14ac:dyDescent="0.2">
      <c r="C18" s="28"/>
      <c r="D18" s="6"/>
      <c r="E18" s="28"/>
    </row>
    <row r="19" spans="3:5" x14ac:dyDescent="0.2">
      <c r="C19" s="28"/>
      <c r="D19" s="91"/>
      <c r="E19" s="28"/>
    </row>
    <row r="20" spans="3:5" x14ac:dyDescent="0.2">
      <c r="C20" s="28"/>
      <c r="D20" s="6"/>
      <c r="E20" s="28"/>
    </row>
    <row r="21" spans="3:5" x14ac:dyDescent="0.2">
      <c r="C21" s="28"/>
      <c r="D21" s="92" t="s">
        <v>3</v>
      </c>
      <c r="E21" s="28"/>
    </row>
    <row r="22" spans="3:5" x14ac:dyDescent="0.2">
      <c r="C22" s="28"/>
      <c r="D22" s="12" t="str">
        <f>IF(UkupnaBrutoPovrsina=0,"...",UkupnaBrutoPovrsina)</f>
        <v>...</v>
      </c>
      <c r="E22" s="28"/>
    </row>
    <row r="23" spans="3:5" x14ac:dyDescent="0.2">
      <c r="C23" s="28"/>
      <c r="D23" s="10" t="s">
        <v>70</v>
      </c>
      <c r="E23" s="28"/>
    </row>
    <row r="24" spans="3:5" x14ac:dyDescent="0.2">
      <c r="C24" s="28"/>
      <c r="D24" s="12" t="str">
        <f>IF(VisinaSlemena=0,"...",VisinaSlemena)</f>
        <v>...</v>
      </c>
      <c r="E24" s="28"/>
    </row>
    <row r="25" spans="3:5" x14ac:dyDescent="0.2">
      <c r="C25" s="28"/>
      <c r="D25" s="16" t="s">
        <v>29</v>
      </c>
      <c r="E25" s="28"/>
    </row>
    <row r="26" spans="3:5" x14ac:dyDescent="0.2">
      <c r="C26" s="28"/>
      <c r="D26" s="6"/>
      <c r="E26" s="28"/>
    </row>
    <row r="27" spans="3:5" x14ac:dyDescent="0.2">
      <c r="C27" s="14"/>
      <c r="D27" s="14"/>
      <c r="E27" s="14"/>
    </row>
    <row r="28" spans="3:5" x14ac:dyDescent="0.2">
      <c r="E28" s="27"/>
    </row>
  </sheetData>
  <pageMargins left="1.3779527559055118" right="0.39370078740157483" top="1.1811023622047245" bottom="1.1811023622047245" header="0" footer="0"/>
  <pageSetup paperSize="151" orientation="portrait" r:id="rId1"/>
  <headerFooter scaleWithDoc="0">
    <oddHeader>&amp;C&amp;G</oddHeader>
    <oddFooter xml:space="preserve">&amp;C&amp;G&amp;R&amp;"Brush Script MT,Regular"
Strana &amp;P od &amp;N&amp;10
</oddFooter>
  </headerFooter>
  <drawing r:id="rId2"/>
  <legacyDrawingHF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C1:E121"/>
  <sheetViews>
    <sheetView showGridLines="0" showRowColHeaders="0" zoomScaleNormal="100" workbookViewId="0">
      <pane ySplit="1" topLeftCell="A2" activePane="bottomLeft" state="frozen"/>
      <selection pane="bottomLeft" activeCell="A2" sqref="A2"/>
    </sheetView>
  </sheetViews>
  <sheetFormatPr defaultRowHeight="15" x14ac:dyDescent="0.2"/>
  <cols>
    <col min="1" max="3" width="2.21875" style="19" customWidth="1"/>
    <col min="4" max="4" width="69.77734375" style="19" customWidth="1"/>
    <col min="5" max="187" width="2.21875" style="19" customWidth="1"/>
    <col min="188" max="16384" width="8.88671875" style="19"/>
  </cols>
  <sheetData>
    <row r="1" spans="3:5" s="18" customFormat="1" ht="30" customHeight="1" thickBot="1" x14ac:dyDescent="0.25">
      <c r="C1" s="96"/>
      <c r="D1" s="96"/>
      <c r="E1" s="96"/>
    </row>
    <row r="2" spans="3:5" ht="15.75" thickTop="1" x14ac:dyDescent="0.2"/>
    <row r="6" spans="3:5" x14ac:dyDescent="0.2">
      <c r="C6" s="3"/>
      <c r="D6" s="3"/>
      <c r="E6" s="3"/>
    </row>
    <row r="7" spans="3:5" x14ac:dyDescent="0.2">
      <c r="C7" s="5"/>
      <c r="D7" s="4"/>
      <c r="E7" s="5"/>
    </row>
    <row r="8" spans="3:5" x14ac:dyDescent="0.2">
      <c r="C8" s="5"/>
      <c r="D8" s="98" t="s">
        <v>27</v>
      </c>
      <c r="E8" s="5"/>
    </row>
    <row r="9" spans="3:5" x14ac:dyDescent="0.2">
      <c r="C9" s="5"/>
      <c r="D9" s="99"/>
      <c r="E9" s="5"/>
    </row>
    <row r="10" spans="3:5" x14ac:dyDescent="0.2">
      <c r="C10" s="5"/>
      <c r="D10" s="99"/>
      <c r="E10" s="5"/>
    </row>
    <row r="11" spans="3:5" x14ac:dyDescent="0.2">
      <c r="C11" s="5"/>
      <c r="D11" s="99"/>
      <c r="E11" s="5"/>
    </row>
    <row r="12" spans="3:5" x14ac:dyDescent="0.2">
      <c r="C12" s="5"/>
      <c r="D12" s="99"/>
      <c r="E12" s="5"/>
    </row>
    <row r="13" spans="3:5" x14ac:dyDescent="0.2">
      <c r="C13" s="5"/>
      <c r="D13" s="99"/>
      <c r="E13" s="5"/>
    </row>
    <row r="14" spans="3:5" x14ac:dyDescent="0.2">
      <c r="C14" s="5"/>
      <c r="D14" s="99"/>
      <c r="E14" s="5"/>
    </row>
    <row r="15" spans="3:5" x14ac:dyDescent="0.2">
      <c r="C15" s="5"/>
      <c r="D15" s="99"/>
      <c r="E15" s="5"/>
    </row>
    <row r="16" spans="3:5" x14ac:dyDescent="0.2">
      <c r="C16" s="5"/>
      <c r="D16" s="99"/>
      <c r="E16" s="5"/>
    </row>
    <row r="17" spans="3:5" x14ac:dyDescent="0.2">
      <c r="C17" s="5"/>
      <c r="D17" s="99"/>
      <c r="E17" s="5"/>
    </row>
    <row r="18" spans="3:5" x14ac:dyDescent="0.2">
      <c r="C18" s="5"/>
      <c r="D18" s="99"/>
      <c r="E18" s="5"/>
    </row>
    <row r="19" spans="3:5" x14ac:dyDescent="0.2">
      <c r="C19" s="5"/>
      <c r="D19" s="99"/>
      <c r="E19" s="5"/>
    </row>
    <row r="20" spans="3:5" x14ac:dyDescent="0.2">
      <c r="C20" s="5"/>
      <c r="D20" s="99"/>
      <c r="E20" s="5"/>
    </row>
    <row r="21" spans="3:5" x14ac:dyDescent="0.2">
      <c r="C21" s="5"/>
      <c r="D21" s="99"/>
      <c r="E21" s="5"/>
    </row>
    <row r="22" spans="3:5" x14ac:dyDescent="0.2">
      <c r="C22" s="5"/>
      <c r="D22" s="99"/>
      <c r="E22" s="5"/>
    </row>
    <row r="23" spans="3:5" x14ac:dyDescent="0.2">
      <c r="C23" s="5"/>
      <c r="D23" s="99"/>
      <c r="E23" s="5"/>
    </row>
    <row r="24" spans="3:5" x14ac:dyDescent="0.2">
      <c r="C24" s="5"/>
      <c r="D24" s="99"/>
      <c r="E24" s="5"/>
    </row>
    <row r="25" spans="3:5" x14ac:dyDescent="0.2">
      <c r="C25" s="5"/>
      <c r="D25" s="99"/>
      <c r="E25" s="5"/>
    </row>
    <row r="26" spans="3:5" x14ac:dyDescent="0.2">
      <c r="C26" s="5"/>
      <c r="D26" s="99"/>
      <c r="E26" s="5"/>
    </row>
    <row r="27" spans="3:5" x14ac:dyDescent="0.2">
      <c r="C27" s="5"/>
      <c r="D27" s="99"/>
      <c r="E27" s="5"/>
    </row>
    <row r="28" spans="3:5" x14ac:dyDescent="0.2">
      <c r="C28" s="5"/>
      <c r="D28" s="99"/>
      <c r="E28" s="5"/>
    </row>
    <row r="29" spans="3:5" x14ac:dyDescent="0.2">
      <c r="C29" s="5"/>
      <c r="D29" s="99"/>
      <c r="E29" s="5"/>
    </row>
    <row r="30" spans="3:5" x14ac:dyDescent="0.2">
      <c r="C30" s="5"/>
      <c r="D30" s="99"/>
      <c r="E30" s="5"/>
    </row>
    <row r="31" spans="3:5" x14ac:dyDescent="0.2">
      <c r="C31" s="5"/>
      <c r="D31" s="99"/>
      <c r="E31" s="5"/>
    </row>
    <row r="32" spans="3:5" x14ac:dyDescent="0.2">
      <c r="C32" s="5"/>
      <c r="D32" s="99"/>
      <c r="E32" s="5"/>
    </row>
    <row r="33" spans="3:5" x14ac:dyDescent="0.2">
      <c r="C33" s="5"/>
      <c r="D33" s="99"/>
      <c r="E33" s="5"/>
    </row>
    <row r="34" spans="3:5" x14ac:dyDescent="0.2">
      <c r="C34" s="5"/>
      <c r="D34" s="99"/>
      <c r="E34" s="5"/>
    </row>
    <row r="35" spans="3:5" x14ac:dyDescent="0.2">
      <c r="C35" s="5"/>
      <c r="D35" s="99"/>
      <c r="E35" s="5"/>
    </row>
    <row r="36" spans="3:5" x14ac:dyDescent="0.2">
      <c r="C36" s="5"/>
      <c r="D36" s="99"/>
      <c r="E36" s="5"/>
    </row>
    <row r="37" spans="3:5" x14ac:dyDescent="0.2">
      <c r="C37" s="5"/>
      <c r="D37" s="99"/>
      <c r="E37" s="5"/>
    </row>
    <row r="38" spans="3:5" x14ac:dyDescent="0.2">
      <c r="C38" s="5"/>
      <c r="D38" s="99"/>
      <c r="E38" s="5"/>
    </row>
    <row r="39" spans="3:5" x14ac:dyDescent="0.2">
      <c r="C39" s="5"/>
      <c r="D39" s="99"/>
      <c r="E39" s="5"/>
    </row>
    <row r="40" spans="3:5" x14ac:dyDescent="0.2">
      <c r="C40" s="5"/>
      <c r="D40" s="99"/>
      <c r="E40" s="5"/>
    </row>
    <row r="41" spans="3:5" x14ac:dyDescent="0.2">
      <c r="C41" s="5"/>
      <c r="D41" s="99"/>
      <c r="E41" s="5"/>
    </row>
    <row r="42" spans="3:5" x14ac:dyDescent="0.2">
      <c r="C42" s="5"/>
      <c r="D42" s="99"/>
      <c r="E42" s="5"/>
    </row>
    <row r="43" spans="3:5" x14ac:dyDescent="0.2">
      <c r="C43" s="5"/>
      <c r="D43" s="99"/>
      <c r="E43" s="5"/>
    </row>
    <row r="44" spans="3:5" x14ac:dyDescent="0.2">
      <c r="C44" s="5"/>
      <c r="D44" s="99"/>
      <c r="E44" s="5"/>
    </row>
    <row r="45" spans="3:5" x14ac:dyDescent="0.2">
      <c r="C45" s="5"/>
      <c r="D45" s="99"/>
      <c r="E45" s="5"/>
    </row>
    <row r="46" spans="3:5" x14ac:dyDescent="0.2">
      <c r="C46" s="5"/>
      <c r="D46" s="99"/>
      <c r="E46" s="5"/>
    </row>
    <row r="47" spans="3:5" x14ac:dyDescent="0.2">
      <c r="C47" s="5"/>
      <c r="D47" s="99"/>
      <c r="E47" s="5"/>
    </row>
    <row r="48" spans="3:5" x14ac:dyDescent="0.2">
      <c r="C48" s="5"/>
      <c r="D48" s="99"/>
      <c r="E48" s="5"/>
    </row>
    <row r="49" spans="3:5" x14ac:dyDescent="0.2">
      <c r="C49" s="5"/>
      <c r="D49" s="99"/>
      <c r="E49" s="5"/>
    </row>
    <row r="50" spans="3:5" x14ac:dyDescent="0.2">
      <c r="C50" s="5"/>
      <c r="D50" s="99"/>
      <c r="E50" s="5"/>
    </row>
    <row r="51" spans="3:5" x14ac:dyDescent="0.2">
      <c r="C51" s="5"/>
      <c r="D51" s="99"/>
      <c r="E51" s="5"/>
    </row>
    <row r="52" spans="3:5" x14ac:dyDescent="0.2">
      <c r="C52" s="5"/>
      <c r="D52" s="99"/>
      <c r="E52" s="5"/>
    </row>
    <row r="53" spans="3:5" x14ac:dyDescent="0.2">
      <c r="C53" s="14"/>
      <c r="D53" s="14"/>
      <c r="E53" s="14"/>
    </row>
    <row r="100" ht="15.75" customHeight="1" x14ac:dyDescent="0.2"/>
    <row r="121" ht="15" customHeight="1" x14ac:dyDescent="0.2"/>
  </sheetData>
  <mergeCells count="2">
    <mergeCell ref="C1:E1"/>
    <mergeCell ref="D8:D52"/>
  </mergeCells>
  <pageMargins left="1.3779527559055118" right="0.39370078740157483" top="1.1811023622047245" bottom="1.1811023622047245" header="0" footer="0"/>
  <pageSetup paperSize="151" orientation="portrait" r:id="rId1"/>
  <headerFooter scaleWithDoc="0">
    <oddHeader>&amp;C&amp;G</oddHeader>
    <oddFooter xml:space="preserve">&amp;C&amp;G&amp;R&amp;"Brush Script MT,Regular"
Strana &amp;P od &amp;N&amp;10
</oddFooter>
  </headerFooter>
  <drawing r:id="rId2"/>
  <legacyDrawingHF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C1:F215"/>
  <sheetViews>
    <sheetView showGridLines="0" showRowColHeaders="0" workbookViewId="0">
      <pane ySplit="1" topLeftCell="A2" activePane="bottomLeft" state="frozen"/>
      <selection pane="bottomLeft" activeCell="A2" sqref="A2"/>
    </sheetView>
  </sheetViews>
  <sheetFormatPr defaultRowHeight="15" x14ac:dyDescent="0.2"/>
  <cols>
    <col min="1" max="3" width="2.21875" style="19" customWidth="1"/>
    <col min="4" max="4" width="55.44140625" style="19" customWidth="1"/>
    <col min="5" max="5" width="13.5546875" style="19" customWidth="1"/>
    <col min="6" max="187" width="2.21875" style="19" customWidth="1"/>
    <col min="188" max="16384" width="8.88671875" style="19"/>
  </cols>
  <sheetData>
    <row r="1" spans="3:6" s="18" customFormat="1" ht="30" customHeight="1" thickBot="1" x14ac:dyDescent="0.25">
      <c r="C1" s="101"/>
      <c r="D1" s="101"/>
      <c r="E1" s="101"/>
      <c r="F1" s="101"/>
    </row>
    <row r="2" spans="3:6" ht="15.75" thickTop="1" x14ac:dyDescent="0.2"/>
    <row r="6" spans="3:6" x14ac:dyDescent="0.2">
      <c r="C6" s="3"/>
      <c r="D6" s="3"/>
      <c r="E6" s="3"/>
      <c r="F6" s="29"/>
    </row>
    <row r="7" spans="3:6" x14ac:dyDescent="0.2">
      <c r="C7" s="28"/>
      <c r="D7" s="4"/>
      <c r="E7" s="4"/>
      <c r="F7" s="30"/>
    </row>
    <row r="8" spans="3:6" x14ac:dyDescent="0.2">
      <c r="C8" s="28"/>
      <c r="D8" s="6"/>
      <c r="E8" s="6"/>
      <c r="F8" s="30"/>
    </row>
    <row r="9" spans="3:6" x14ac:dyDescent="0.2">
      <c r="C9" s="28"/>
      <c r="D9" s="6"/>
      <c r="E9" s="6"/>
      <c r="F9" s="30"/>
    </row>
    <row r="10" spans="3:6" ht="15.75" x14ac:dyDescent="0.25">
      <c r="C10" s="28"/>
      <c r="D10" s="102" t="s">
        <v>69</v>
      </c>
      <c r="E10" s="102"/>
      <c r="F10" s="30"/>
    </row>
    <row r="11" spans="3:6" x14ac:dyDescent="0.2">
      <c r="C11" s="28"/>
      <c r="D11" s="6"/>
      <c r="E11" s="6"/>
      <c r="F11" s="30"/>
    </row>
    <row r="12" spans="3:6" x14ac:dyDescent="0.2">
      <c r="C12" s="28"/>
      <c r="D12" s="6"/>
      <c r="E12" s="6"/>
      <c r="F12" s="30"/>
    </row>
    <row r="13" spans="3:6" x14ac:dyDescent="0.2">
      <c r="C13" s="28"/>
      <c r="D13" s="6"/>
      <c r="E13" s="6"/>
      <c r="F13" s="30"/>
    </row>
    <row r="14" spans="3:6" x14ac:dyDescent="0.2">
      <c r="C14" s="28"/>
      <c r="D14" s="31"/>
      <c r="E14" s="32" t="s">
        <v>32</v>
      </c>
      <c r="F14" s="30"/>
    </row>
    <row r="15" spans="3:6" x14ac:dyDescent="0.2">
      <c r="C15" s="28"/>
      <c r="D15" s="33" t="s">
        <v>33</v>
      </c>
      <c r="E15" s="34" t="str">
        <f>IF(VisinaSlemena=0,"...",VisinaSlemena)</f>
        <v>...</v>
      </c>
      <c r="F15" s="30"/>
    </row>
    <row r="16" spans="3:6" x14ac:dyDescent="0.2">
      <c r="C16" s="28"/>
      <c r="D16" s="6"/>
      <c r="E16" s="6"/>
      <c r="F16" s="30"/>
    </row>
    <row r="17" spans="3:6" x14ac:dyDescent="0.2">
      <c r="C17" s="28"/>
      <c r="D17" s="90"/>
      <c r="E17" s="90"/>
      <c r="F17" s="30"/>
    </row>
    <row r="18" spans="3:6" x14ac:dyDescent="0.2">
      <c r="C18" s="28"/>
      <c r="D18" s="90"/>
      <c r="E18" s="90"/>
      <c r="F18" s="30"/>
    </row>
    <row r="19" spans="3:6" x14ac:dyDescent="0.2">
      <c r="C19" s="28"/>
      <c r="D19" s="90"/>
      <c r="E19" s="90"/>
      <c r="F19" s="30"/>
    </row>
    <row r="20" spans="3:6" x14ac:dyDescent="0.2">
      <c r="C20" s="28"/>
      <c r="D20" s="90"/>
      <c r="E20" s="90"/>
      <c r="F20" s="30"/>
    </row>
    <row r="21" spans="3:6" x14ac:dyDescent="0.2">
      <c r="C21" s="28"/>
      <c r="D21" s="90"/>
      <c r="E21" s="90"/>
      <c r="F21" s="30"/>
    </row>
    <row r="22" spans="3:6" x14ac:dyDescent="0.2">
      <c r="C22" s="28"/>
      <c r="D22" s="90"/>
      <c r="E22" s="90"/>
      <c r="F22" s="30"/>
    </row>
    <row r="23" spans="3:6" x14ac:dyDescent="0.2">
      <c r="C23" s="28"/>
      <c r="D23" s="90"/>
      <c r="E23" s="90"/>
      <c r="F23" s="30"/>
    </row>
    <row r="24" spans="3:6" x14ac:dyDescent="0.2">
      <c r="C24" s="28"/>
      <c r="D24" s="90"/>
      <c r="E24" s="90"/>
      <c r="F24" s="30"/>
    </row>
    <row r="25" spans="3:6" x14ac:dyDescent="0.2">
      <c r="C25" s="28"/>
      <c r="D25" s="90"/>
      <c r="E25" s="90"/>
      <c r="F25" s="30"/>
    </row>
    <row r="26" spans="3:6" x14ac:dyDescent="0.2">
      <c r="C26" s="28"/>
      <c r="D26" s="90"/>
      <c r="E26" s="90"/>
      <c r="F26" s="30"/>
    </row>
    <row r="27" spans="3:6" x14ac:dyDescent="0.2">
      <c r="C27" s="28"/>
      <c r="D27" s="90"/>
      <c r="E27" s="90"/>
      <c r="F27" s="30"/>
    </row>
    <row r="28" spans="3:6" x14ac:dyDescent="0.2">
      <c r="C28" s="28"/>
      <c r="D28" s="90"/>
      <c r="E28" s="90"/>
      <c r="F28" s="30"/>
    </row>
    <row r="29" spans="3:6" x14ac:dyDescent="0.2">
      <c r="C29" s="28"/>
      <c r="D29" s="90"/>
      <c r="E29" s="90"/>
      <c r="F29" s="30"/>
    </row>
    <row r="30" spans="3:6" x14ac:dyDescent="0.2">
      <c r="C30" s="28"/>
      <c r="D30" s="90"/>
      <c r="E30" s="90"/>
      <c r="F30" s="30"/>
    </row>
    <row r="31" spans="3:6" x14ac:dyDescent="0.2">
      <c r="C31" s="28"/>
      <c r="D31" s="90"/>
      <c r="E31" s="90"/>
      <c r="F31" s="30"/>
    </row>
    <row r="32" spans="3:6" x14ac:dyDescent="0.2">
      <c r="C32" s="28"/>
      <c r="D32" s="90"/>
      <c r="E32" s="90"/>
      <c r="F32" s="30"/>
    </row>
    <row r="33" spans="3:6" x14ac:dyDescent="0.2">
      <c r="C33" s="28"/>
      <c r="D33" s="90"/>
      <c r="E33" s="90"/>
      <c r="F33" s="30"/>
    </row>
    <row r="34" spans="3:6" x14ac:dyDescent="0.2">
      <c r="C34" s="28"/>
      <c r="D34" s="90"/>
      <c r="E34" s="90"/>
      <c r="F34" s="30"/>
    </row>
    <row r="35" spans="3:6" x14ac:dyDescent="0.2">
      <c r="C35" s="28"/>
      <c r="D35" s="90"/>
      <c r="E35" s="90"/>
      <c r="F35" s="30"/>
    </row>
    <row r="36" spans="3:6" x14ac:dyDescent="0.2">
      <c r="C36" s="28"/>
      <c r="D36" s="90"/>
      <c r="E36" s="90"/>
      <c r="F36" s="30"/>
    </row>
    <row r="37" spans="3:6" x14ac:dyDescent="0.2">
      <c r="C37" s="28"/>
      <c r="D37" s="90"/>
      <c r="E37" s="90"/>
      <c r="F37" s="30"/>
    </row>
    <row r="38" spans="3:6" x14ac:dyDescent="0.2">
      <c r="C38" s="28"/>
      <c r="D38" s="90"/>
      <c r="E38" s="90"/>
      <c r="F38" s="30"/>
    </row>
    <row r="39" spans="3:6" x14ac:dyDescent="0.2">
      <c r="C39" s="28"/>
      <c r="D39" s="90"/>
      <c r="E39" s="90"/>
      <c r="F39" s="30"/>
    </row>
    <row r="40" spans="3:6" x14ac:dyDescent="0.2">
      <c r="C40" s="28"/>
      <c r="D40" s="90"/>
      <c r="E40" s="90"/>
      <c r="F40" s="30"/>
    </row>
    <row r="41" spans="3:6" x14ac:dyDescent="0.2">
      <c r="C41" s="28"/>
      <c r="D41" s="90"/>
      <c r="E41" s="90"/>
      <c r="F41" s="30"/>
    </row>
    <row r="42" spans="3:6" x14ac:dyDescent="0.2">
      <c r="C42" s="28"/>
      <c r="D42" s="6"/>
      <c r="E42" s="6"/>
      <c r="F42" s="30"/>
    </row>
    <row r="43" spans="3:6" x14ac:dyDescent="0.2">
      <c r="C43" s="28"/>
      <c r="D43" s="35"/>
      <c r="E43" s="35"/>
      <c r="F43" s="30"/>
    </row>
    <row r="44" spans="3:6" x14ac:dyDescent="0.2">
      <c r="C44" s="28"/>
      <c r="D44" s="103" t="str">
        <f>IF(ProjektnaOrganizacija=0,"...",ProjektnaOrganizacija)</f>
        <v>...</v>
      </c>
      <c r="E44" s="103"/>
      <c r="F44" s="30"/>
    </row>
    <row r="45" spans="3:6" x14ac:dyDescent="0.2">
      <c r="C45" s="28"/>
      <c r="D45" s="104" t="s">
        <v>7</v>
      </c>
      <c r="E45" s="104"/>
      <c r="F45" s="30"/>
    </row>
    <row r="46" spans="3:6" x14ac:dyDescent="0.2">
      <c r="C46" s="28"/>
      <c r="D46" s="6"/>
      <c r="E46" s="6"/>
      <c r="F46" s="30"/>
    </row>
    <row r="47" spans="3:6" x14ac:dyDescent="0.2">
      <c r="C47" s="28"/>
      <c r="D47" s="6"/>
      <c r="E47" s="6"/>
      <c r="F47" s="30"/>
    </row>
    <row r="48" spans="3:6" x14ac:dyDescent="0.2">
      <c r="C48" s="28"/>
      <c r="D48" s="6"/>
      <c r="E48" s="6"/>
      <c r="F48" s="30"/>
    </row>
    <row r="49" spans="3:6" x14ac:dyDescent="0.2">
      <c r="C49" s="28"/>
      <c r="D49" s="6"/>
      <c r="E49" s="6"/>
      <c r="F49" s="30"/>
    </row>
    <row r="50" spans="3:6" x14ac:dyDescent="0.2">
      <c r="C50" s="28"/>
      <c r="D50" s="105" t="str">
        <f>IF(OdgovorniProjektant=0,"...",OdgovorniProjektant)</f>
        <v>...</v>
      </c>
      <c r="E50" s="105"/>
      <c r="F50" s="30"/>
    </row>
    <row r="51" spans="3:6" x14ac:dyDescent="0.2">
      <c r="C51" s="28"/>
      <c r="D51" s="100" t="s">
        <v>9</v>
      </c>
      <c r="E51" s="100"/>
      <c r="F51" s="30"/>
    </row>
    <row r="52" spans="3:6" x14ac:dyDescent="0.2">
      <c r="C52" s="28"/>
      <c r="D52" s="6"/>
      <c r="E52" s="6"/>
      <c r="F52" s="30"/>
    </row>
    <row r="53" spans="3:6" x14ac:dyDescent="0.2">
      <c r="C53" s="14"/>
      <c r="D53" s="14"/>
      <c r="E53" s="14"/>
      <c r="F53" s="14"/>
    </row>
    <row r="54" spans="3:6" x14ac:dyDescent="0.2">
      <c r="F54" s="36"/>
    </row>
    <row r="112" ht="15" customHeight="1" x14ac:dyDescent="0.2"/>
    <row r="194" ht="15.75" customHeight="1" x14ac:dyDescent="0.2"/>
    <row r="215" ht="15" customHeight="1" x14ac:dyDescent="0.2"/>
  </sheetData>
  <mergeCells count="6">
    <mergeCell ref="D51:E51"/>
    <mergeCell ref="C1:F1"/>
    <mergeCell ref="D10:E10"/>
    <mergeCell ref="D44:E44"/>
    <mergeCell ref="D45:E45"/>
    <mergeCell ref="D50:E50"/>
  </mergeCells>
  <pageMargins left="1.3779527559055118" right="0.39370078740157483" top="1.1811023622047245" bottom="1.1811023622047245" header="0" footer="0"/>
  <pageSetup paperSize="151" orientation="portrait" r:id="rId1"/>
  <headerFooter scaleWithDoc="0">
    <oddHeader>&amp;C&amp;G</oddHeader>
    <oddFooter xml:space="preserve">&amp;C&amp;G&amp;R&amp;"Brush Script MT,Regular"
Strana &amp;P od &amp;N&amp;10
</oddFooter>
  </headerFooter>
  <drawing r:id="rId2"/>
  <legacyDrawingHF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C1:E121"/>
  <sheetViews>
    <sheetView showGridLines="0" showRowColHeaders="0" zoomScaleNormal="100" workbookViewId="0">
      <pane ySplit="1" topLeftCell="A2" activePane="bottomLeft" state="frozen"/>
      <selection pane="bottomLeft" activeCell="A2" sqref="A2"/>
    </sheetView>
  </sheetViews>
  <sheetFormatPr defaultRowHeight="15" x14ac:dyDescent="0.2"/>
  <cols>
    <col min="1" max="3" width="2.21875" style="19" customWidth="1"/>
    <col min="4" max="4" width="69.77734375" style="19" customWidth="1"/>
    <col min="5" max="187" width="2.21875" style="19" customWidth="1"/>
    <col min="188" max="16384" width="8.88671875" style="19"/>
  </cols>
  <sheetData>
    <row r="1" spans="3:5" s="18" customFormat="1" ht="30" customHeight="1" thickBot="1" x14ac:dyDescent="0.25">
      <c r="C1" s="96"/>
      <c r="D1" s="96"/>
      <c r="E1" s="96"/>
    </row>
    <row r="2" spans="3:5" ht="15.75" thickTop="1" x14ac:dyDescent="0.2"/>
    <row r="6" spans="3:5" x14ac:dyDescent="0.2">
      <c r="C6" s="3"/>
      <c r="D6" s="3"/>
      <c r="E6" s="3"/>
    </row>
    <row r="7" spans="3:5" x14ac:dyDescent="0.2">
      <c r="C7" s="5"/>
      <c r="D7" s="4"/>
      <c r="E7" s="5"/>
    </row>
    <row r="8" spans="3:5" x14ac:dyDescent="0.2">
      <c r="C8" s="5"/>
      <c r="D8" s="98" t="s">
        <v>76</v>
      </c>
      <c r="E8" s="5"/>
    </row>
    <row r="9" spans="3:5" x14ac:dyDescent="0.2">
      <c r="C9" s="5"/>
      <c r="D9" s="99"/>
      <c r="E9" s="5"/>
    </row>
    <row r="10" spans="3:5" x14ac:dyDescent="0.2">
      <c r="C10" s="5"/>
      <c r="D10" s="99"/>
      <c r="E10" s="5"/>
    </row>
    <row r="11" spans="3:5" x14ac:dyDescent="0.2">
      <c r="C11" s="5"/>
      <c r="D11" s="99"/>
      <c r="E11" s="5"/>
    </row>
    <row r="12" spans="3:5" x14ac:dyDescent="0.2">
      <c r="C12" s="5"/>
      <c r="D12" s="99"/>
      <c r="E12" s="5"/>
    </row>
    <row r="13" spans="3:5" x14ac:dyDescent="0.2">
      <c r="C13" s="5"/>
      <c r="D13" s="99"/>
      <c r="E13" s="5"/>
    </row>
    <row r="14" spans="3:5" x14ac:dyDescent="0.2">
      <c r="C14" s="5"/>
      <c r="D14" s="99"/>
      <c r="E14" s="5"/>
    </row>
    <row r="15" spans="3:5" x14ac:dyDescent="0.2">
      <c r="C15" s="5"/>
      <c r="D15" s="99"/>
      <c r="E15" s="5"/>
    </row>
    <row r="16" spans="3:5" x14ac:dyDescent="0.2">
      <c r="C16" s="5"/>
      <c r="D16" s="99"/>
      <c r="E16" s="5"/>
    </row>
    <row r="17" spans="3:5" x14ac:dyDescent="0.2">
      <c r="C17" s="5"/>
      <c r="D17" s="99"/>
      <c r="E17" s="5"/>
    </row>
    <row r="18" spans="3:5" x14ac:dyDescent="0.2">
      <c r="C18" s="5"/>
      <c r="D18" s="99"/>
      <c r="E18" s="5"/>
    </row>
    <row r="19" spans="3:5" x14ac:dyDescent="0.2">
      <c r="C19" s="5"/>
      <c r="D19" s="99"/>
      <c r="E19" s="5"/>
    </row>
    <row r="20" spans="3:5" x14ac:dyDescent="0.2">
      <c r="C20" s="5"/>
      <c r="D20" s="99"/>
      <c r="E20" s="5"/>
    </row>
    <row r="21" spans="3:5" x14ac:dyDescent="0.2">
      <c r="C21" s="5"/>
      <c r="D21" s="99"/>
      <c r="E21" s="5"/>
    </row>
    <row r="22" spans="3:5" x14ac:dyDescent="0.2">
      <c r="C22" s="5"/>
      <c r="D22" s="99"/>
      <c r="E22" s="5"/>
    </row>
    <row r="23" spans="3:5" x14ac:dyDescent="0.2">
      <c r="C23" s="5"/>
      <c r="D23" s="99"/>
      <c r="E23" s="5"/>
    </row>
    <row r="24" spans="3:5" x14ac:dyDescent="0.2">
      <c r="C24" s="5"/>
      <c r="D24" s="99"/>
      <c r="E24" s="5"/>
    </row>
    <row r="25" spans="3:5" x14ac:dyDescent="0.2">
      <c r="C25" s="5"/>
      <c r="D25" s="99"/>
      <c r="E25" s="5"/>
    </row>
    <row r="26" spans="3:5" x14ac:dyDescent="0.2">
      <c r="C26" s="5"/>
      <c r="D26" s="99"/>
      <c r="E26" s="5"/>
    </row>
    <row r="27" spans="3:5" x14ac:dyDescent="0.2">
      <c r="C27" s="5"/>
      <c r="D27" s="99"/>
      <c r="E27" s="5"/>
    </row>
    <row r="28" spans="3:5" x14ac:dyDescent="0.2">
      <c r="C28" s="5"/>
      <c r="D28" s="99"/>
      <c r="E28" s="5"/>
    </row>
    <row r="29" spans="3:5" x14ac:dyDescent="0.2">
      <c r="C29" s="5"/>
      <c r="D29" s="99"/>
      <c r="E29" s="5"/>
    </row>
    <row r="30" spans="3:5" x14ac:dyDescent="0.2">
      <c r="C30" s="5"/>
      <c r="D30" s="99"/>
      <c r="E30" s="5"/>
    </row>
    <row r="31" spans="3:5" x14ac:dyDescent="0.2">
      <c r="C31" s="5"/>
      <c r="D31" s="99"/>
      <c r="E31" s="5"/>
    </row>
    <row r="32" spans="3:5" x14ac:dyDescent="0.2">
      <c r="C32" s="5"/>
      <c r="D32" s="99"/>
      <c r="E32" s="5"/>
    </row>
    <row r="33" spans="3:5" x14ac:dyDescent="0.2">
      <c r="C33" s="5"/>
      <c r="D33" s="99"/>
      <c r="E33" s="5"/>
    </row>
    <row r="34" spans="3:5" x14ac:dyDescent="0.2">
      <c r="C34" s="5"/>
      <c r="D34" s="99"/>
      <c r="E34" s="5"/>
    </row>
    <row r="35" spans="3:5" x14ac:dyDescent="0.2">
      <c r="C35" s="5"/>
      <c r="D35" s="99"/>
      <c r="E35" s="5"/>
    </row>
    <row r="36" spans="3:5" x14ac:dyDescent="0.2">
      <c r="C36" s="5"/>
      <c r="D36" s="99"/>
      <c r="E36" s="5"/>
    </row>
    <row r="37" spans="3:5" x14ac:dyDescent="0.2">
      <c r="C37" s="5"/>
      <c r="D37" s="99"/>
      <c r="E37" s="5"/>
    </row>
    <row r="38" spans="3:5" x14ac:dyDescent="0.2">
      <c r="C38" s="5"/>
      <c r="D38" s="99"/>
      <c r="E38" s="5"/>
    </row>
    <row r="39" spans="3:5" x14ac:dyDescent="0.2">
      <c r="C39" s="5"/>
      <c r="D39" s="99"/>
      <c r="E39" s="5"/>
    </row>
    <row r="40" spans="3:5" x14ac:dyDescent="0.2">
      <c r="C40" s="5"/>
      <c r="D40" s="99"/>
      <c r="E40" s="5"/>
    </row>
    <row r="41" spans="3:5" x14ac:dyDescent="0.2">
      <c r="C41" s="5"/>
      <c r="D41" s="99"/>
      <c r="E41" s="5"/>
    </row>
    <row r="42" spans="3:5" x14ac:dyDescent="0.2">
      <c r="C42" s="5"/>
      <c r="D42" s="99"/>
      <c r="E42" s="5"/>
    </row>
    <row r="43" spans="3:5" x14ac:dyDescent="0.2">
      <c r="C43" s="5"/>
      <c r="D43" s="99"/>
      <c r="E43" s="5"/>
    </row>
    <row r="44" spans="3:5" x14ac:dyDescent="0.2">
      <c r="C44" s="5"/>
      <c r="D44" s="99"/>
      <c r="E44" s="5"/>
    </row>
    <row r="45" spans="3:5" x14ac:dyDescent="0.2">
      <c r="C45" s="5"/>
      <c r="D45" s="99"/>
      <c r="E45" s="5"/>
    </row>
    <row r="46" spans="3:5" x14ac:dyDescent="0.2">
      <c r="C46" s="5"/>
      <c r="D46" s="99"/>
      <c r="E46" s="5"/>
    </row>
    <row r="47" spans="3:5" x14ac:dyDescent="0.2">
      <c r="C47" s="5"/>
      <c r="D47" s="99"/>
      <c r="E47" s="5"/>
    </row>
    <row r="48" spans="3:5" x14ac:dyDescent="0.2">
      <c r="C48" s="5"/>
      <c r="D48" s="99"/>
      <c r="E48" s="5"/>
    </row>
    <row r="49" spans="3:5" x14ac:dyDescent="0.2">
      <c r="C49" s="5"/>
      <c r="D49" s="99"/>
      <c r="E49" s="5"/>
    </row>
    <row r="50" spans="3:5" x14ac:dyDescent="0.2">
      <c r="C50" s="5"/>
      <c r="D50" s="99"/>
      <c r="E50" s="5"/>
    </row>
    <row r="51" spans="3:5" x14ac:dyDescent="0.2">
      <c r="C51" s="5"/>
      <c r="D51" s="99"/>
      <c r="E51" s="5"/>
    </row>
    <row r="52" spans="3:5" x14ac:dyDescent="0.2">
      <c r="C52" s="5"/>
      <c r="D52" s="99"/>
      <c r="E52" s="5"/>
    </row>
    <row r="53" spans="3:5" x14ac:dyDescent="0.2">
      <c r="C53" s="14"/>
      <c r="D53" s="14"/>
      <c r="E53" s="14"/>
    </row>
    <row r="100" ht="15.75" customHeight="1" x14ac:dyDescent="0.2"/>
    <row r="121" ht="15" customHeight="1" x14ac:dyDescent="0.2"/>
  </sheetData>
  <mergeCells count="2">
    <mergeCell ref="C1:E1"/>
    <mergeCell ref="D8:D52"/>
  </mergeCells>
  <pageMargins left="1.3779527559055118" right="0.39370078740157483" top="1.1811023622047245" bottom="1.1811023622047245" header="0" footer="0"/>
  <pageSetup paperSize="151" orientation="portrait" r:id="rId1"/>
  <headerFooter scaleWithDoc="0">
    <oddHeader>&amp;C&amp;G</oddHeader>
    <oddFooter xml:space="preserve">&amp;C&amp;G&amp;R&amp;"Brush Script MT,Regular"
Strana &amp;P od &amp;N&amp;10
</oddFooter>
  </headerFooter>
  <drawing r:id="rId2"/>
  <legacyDrawingHF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22</vt:i4>
      </vt:variant>
    </vt:vector>
  </HeadingPairs>
  <TitlesOfParts>
    <vt:vector size="30" baseType="lpstr">
      <vt:lpstr>Index</vt:lpstr>
      <vt:lpstr>41</vt:lpstr>
      <vt:lpstr>42</vt:lpstr>
      <vt:lpstr>450</vt:lpstr>
      <vt:lpstr>451</vt:lpstr>
      <vt:lpstr>460</vt:lpstr>
      <vt:lpstr>461</vt:lpstr>
      <vt:lpstr>470</vt:lpstr>
      <vt:lpstr>Datum</vt:lpstr>
      <vt:lpstr>EvidencioniBroj</vt:lpstr>
      <vt:lpstr>Investitor</vt:lpstr>
      <vt:lpstr>LokacijaObjekta</vt:lpstr>
      <vt:lpstr>Mesto</vt:lpstr>
      <vt:lpstr>Objekat</vt:lpstr>
      <vt:lpstr>OdgovorniProjektant</vt:lpstr>
      <vt:lpstr>OdgovornoLice</vt:lpstr>
      <vt:lpstr>Pilot</vt:lpstr>
      <vt:lpstr>'41'!Print_Area</vt:lpstr>
      <vt:lpstr>'42'!Print_Area</vt:lpstr>
      <vt:lpstr>'450'!Print_Area</vt:lpstr>
      <vt:lpstr>'451'!Print_Area</vt:lpstr>
      <vt:lpstr>'460'!Print_Area</vt:lpstr>
      <vt:lpstr>'461'!Print_Area</vt:lpstr>
      <vt:lpstr>'470'!Print_Area</vt:lpstr>
      <vt:lpstr>Index!Print_Area</vt:lpstr>
      <vt:lpstr>ProjektnaOrganizacija</vt:lpstr>
      <vt:lpstr>PutanjaBaze</vt:lpstr>
      <vt:lpstr>SpisakParcela</vt:lpstr>
      <vt:lpstr>UkupnaBrutoPovrsina</vt:lpstr>
      <vt:lpstr>VisinaSlemena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Masina</dc:creator>
  <cp:lastModifiedBy>Vuk Stojanovic</cp:lastModifiedBy>
  <cp:lastPrinted>2017-12-08T11:42:13Z</cp:lastPrinted>
  <dcterms:created xsi:type="dcterms:W3CDTF">2015-09-10T18:25:48Z</dcterms:created>
  <dcterms:modified xsi:type="dcterms:W3CDTF">2017-12-11T17:16:58Z</dcterms:modified>
</cp:coreProperties>
</file>