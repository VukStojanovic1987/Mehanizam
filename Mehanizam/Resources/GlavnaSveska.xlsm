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st\Dropbox\Mehanizam\Mehanizam\Resources\"/>
    </mc:Choice>
  </mc:AlternateContent>
  <bookViews>
    <workbookView xWindow="0" yWindow="0" windowWidth="22260" windowHeight="12645"/>
  </bookViews>
  <sheets>
    <sheet name="01" sheetId="2" r:id="rId1"/>
    <sheet name="02" sheetId="3" r:id="rId2"/>
    <sheet name="03" sheetId="4" r:id="rId3"/>
    <sheet name="04" sheetId="5" r:id="rId4"/>
    <sheet name="05" sheetId="6" r:id="rId5"/>
    <sheet name="06" sheetId="7" r:id="rId6"/>
    <sheet name="07" sheetId="8" r:id="rId7"/>
    <sheet name="08" sheetId="9" state="hidden" r:id="rId8"/>
    <sheet name="Investitor" sheetId="11" state="veryHidden" r:id="rId9"/>
    <sheet name="Objekat" sheetId="12" state="veryHidden" r:id="rId10"/>
    <sheet name="Vrste radova" sheetId="13" state="veryHidden" r:id="rId11"/>
    <sheet name="Projektne organizacije" sheetId="14" state="veryHidden" r:id="rId12"/>
    <sheet name="Odgovorni projektanti" sheetId="15" state="veryHidden" r:id="rId13"/>
    <sheet name="Opsti podaci" sheetId="16" state="veryHidden" r:id="rId14"/>
    <sheet name="Prikljuci" sheetId="17" state="veryHidden" r:id="rId15"/>
    <sheet name="Dimenzije objekta" sheetId="18" state="veryHidden" r:id="rId16"/>
    <sheet name="Materalizacija objekta" sheetId="19" state="veryHidden" r:id="rId17"/>
    <sheet name="Ostali podaci" sheetId="20" state="veryHidden" r:id="rId18"/>
    <sheet name="Vrste tehnicke dokumentacije" sheetId="21" state="veryHidden" r:id="rId19"/>
  </sheets>
  <definedNames>
    <definedName name="BrojFunkcionalnihJedinica">'Dimenzije objekta'!$E$17</definedName>
    <definedName name="BrojParkingMesta">'Dimenzije objekta'!$E$18</definedName>
    <definedName name="EEE" localSheetId="1">'02'!$D$26:$D$27</definedName>
    <definedName name="EEE" localSheetId="3">'04'!$D$36</definedName>
    <definedName name="EEE" localSheetId="4">'05'!$D$24:$D$25</definedName>
    <definedName name="EEE" localSheetId="5">'06'!$D$77:$D$87</definedName>
    <definedName name="GlavniProjektant">'Odgovorni projektanti'!$E$7</definedName>
    <definedName name="IDP">'Vrste tehnicke dokumentacije'!$G$8</definedName>
    <definedName name="IDR">'Vrste tehnicke dokumentacije'!$G$7</definedName>
    <definedName name="IndeksIzgradjenosti">'Ostali podaci'!$E$9</definedName>
    <definedName name="IndeksZauzetosti">'Ostali podaci'!$E$8</definedName>
    <definedName name="Investitor">Investitor!$E$7</definedName>
    <definedName name="InvestitorOdgovornoLice">Investitor!$E$8</definedName>
    <definedName name="KategorijaObjekta">'Opsti podaci'!$E$8</definedName>
    <definedName name="MaterijalizacijaFasade">'Materalizacija objekta'!$E$7</definedName>
    <definedName name="MaterijalizacijaKrova">'Materalizacija objekta'!$E$10</definedName>
    <definedName name="NagibKrova">'Materalizacija objekta'!$E$9</definedName>
    <definedName name="NazivUrbanistickogPlana">'Opsti podaci'!$E$10</definedName>
    <definedName name="Objekat">Objekat!$E$7</definedName>
    <definedName name="ObjekatIzKonteksta">Objekat!$E$8</definedName>
    <definedName name="OdgovorniProjektantA">'Odgovorni projektanti'!$E$8</definedName>
    <definedName name="OdgovorniProjektantE">'Odgovorni projektanti'!$E$11</definedName>
    <definedName name="OdgovorniProjektantEEE">'Odgovorni projektanti'!$E$13</definedName>
    <definedName name="OdgovorniProjektantH">'Odgovorni projektanti'!$E$10</definedName>
    <definedName name="OdgovorniProjektantK">'Odgovorni projektanti'!$E$9</definedName>
    <definedName name="OdgovorniProjektantTS">'Odgovorni projektanti'!$E$12</definedName>
    <definedName name="OdgovornoLiceA">'Projektne organizacije'!$E$10</definedName>
    <definedName name="OdgovornoLiceE">'Projektne organizacije'!$E$16</definedName>
    <definedName name="OdgovornoLiceEEE">'Projektne organizacije'!$E$20</definedName>
    <definedName name="OdgovornoLiceGS">'Projektne organizacije'!$E$8</definedName>
    <definedName name="OdgovornoLiceH">'Projektne organizacije'!$E$14</definedName>
    <definedName name="OdgovornoLiceK">'Projektne organizacije'!$E$12</definedName>
    <definedName name="OdgovornoLiceTS">'Projektne organizacije'!$E$18</definedName>
    <definedName name="OrjentacijaSlemena">'Materalizacija objekta'!$E$8</definedName>
    <definedName name="Parcele">'Opsti podaci'!$E$11</definedName>
    <definedName name="PGD">'Vrste tehnicke dokumentacije'!$G$9</definedName>
    <definedName name="PovrsinaPr">'Dimenzije objekta'!$E$11</definedName>
    <definedName name="PredracunskaVrednost">'Ostali podaci'!$E$10</definedName>
    <definedName name="PrikljucakNaElektro">Prikljuci!$E$9</definedName>
    <definedName name="PrikljucakNaKanalizaciju">Prikljuci!$E$8</definedName>
    <definedName name="PrikljucakNaVodovod">Prikljuci!$E$7</definedName>
    <definedName name="_xlnm.Print_Area" localSheetId="0">'01'!$D$7:$D$44</definedName>
    <definedName name="_xlnm.Print_Area" localSheetId="1">'02'!$D$7:$D$28</definedName>
    <definedName name="_xlnm.Print_Area" localSheetId="2">'03'!$D$7:$D$38</definedName>
    <definedName name="_xlnm.Print_Area" localSheetId="3">'04'!$D$7:$D$45</definedName>
    <definedName name="_xlnm.Print_Area" localSheetId="4">'05'!$D$7:$D$26</definedName>
    <definedName name="_xlnm.Print_Area" localSheetId="5">'06'!$D$7:$D$87</definedName>
    <definedName name="_xlnm.Print_Area" localSheetId="6">'07'!$D$7:$D$89</definedName>
    <definedName name="_xlnm.Print_Area" localSheetId="7">'08'!$D$7:$D$39</definedName>
    <definedName name="ProcenatZelenihPovrsina">'Ostali podaci'!$E$7</definedName>
    <definedName name="ProjekatA" localSheetId="3">'04'!$D$31</definedName>
    <definedName name="ProjekatA" localSheetId="4">'05'!$D$14:$D$15</definedName>
    <definedName name="ProjekatA" localSheetId="5">'06'!$D$22:$D$32</definedName>
    <definedName name="ProjekatE" localSheetId="3">'04'!$D$34</definedName>
    <definedName name="ProjekatE" localSheetId="4">'05'!$D$20:$D$21</definedName>
    <definedName name="ProjekatE" localSheetId="5">'06'!$D$55:$D$65</definedName>
    <definedName name="ProjekatH" localSheetId="3">'04'!$D$33</definedName>
    <definedName name="ProjekatH" localSheetId="4">'05'!$D$18:$D$19</definedName>
    <definedName name="ProjekatH" localSheetId="5">'06'!$D$44:$D$54</definedName>
    <definedName name="ProjekatK" localSheetId="3">'04'!$D$32</definedName>
    <definedName name="ProjekatK" localSheetId="4">'05'!$D$16:$D$17</definedName>
    <definedName name="ProjekatK" localSheetId="5">'06'!$D$33:$D$43</definedName>
    <definedName name="ProjekatTS" localSheetId="3">'04'!$D$35</definedName>
    <definedName name="ProjekatTS" localSheetId="4">'05'!$D$22:$D$23</definedName>
    <definedName name="ProjekatTS" localSheetId="5">'06'!$D$66:$D$76</definedName>
    <definedName name="ProjektnaOrganizacijaA">'Projektne organizacije'!$E$9</definedName>
    <definedName name="ProjektnaOrganizacijaE">'Projektne organizacije'!$E$15</definedName>
    <definedName name="ProjektnaOrganizacijaEEE">'Projektne organizacije'!$E$19</definedName>
    <definedName name="ProjektnaOrganizacijaGS">'Projektne organizacije'!$E$7</definedName>
    <definedName name="ProjektnaOrganizacijaH">'Projektne organizacije'!$E$13</definedName>
    <definedName name="ProjektnaOrganizacijaK">'Projektne organizacije'!$E$11</definedName>
    <definedName name="ProjektnaOrganizacijaTS">'Projektne organizacije'!$E$17</definedName>
    <definedName name="PZI">'Vrste tehnicke dokumentacije'!$G$10</definedName>
    <definedName name="SpratnaVisina">'Dimenzije objekta'!$E$16</definedName>
    <definedName name="Spratnost">'Dimenzije objekta'!$E$13</definedName>
    <definedName name="tblVrstaTehnickeDokumentacije">'Vrste tehnicke dokumentacije'!$G$7:$T$10</definedName>
    <definedName name="TipObjekta">'Opsti podaci'!$E$7</definedName>
    <definedName name="UcesceKlasifikacionaOznaka">'Opsti podaci'!$E$9</definedName>
    <definedName name="UkupnaBrgpNadzemno">'Dimenzije objekta'!$E$8</definedName>
    <definedName name="UkupnaBrutoPovrsina">'Dimenzije objekta'!$E$9</definedName>
    <definedName name="UkupnaNetoPovrsina">'Dimenzije objekta'!$E$10</definedName>
    <definedName name="UkupnaPovrsinaParcele">'Dimenzije objekta'!$E$7</definedName>
    <definedName name="VisinaSlemena">'Dimenzije objekta'!$E$15</definedName>
    <definedName name="VisinaVenca">'Dimenzije objekta'!$E$14</definedName>
    <definedName name="VrstaRadova">'Vrste radova'!$E$7</definedName>
    <definedName name="VrstaRadovaIzKonteksta">'Vrste radova'!$E$8</definedName>
    <definedName name="VrstaTehnickeDokumentacije">'Vrste tehnicke dokumentacije'!$E$7</definedName>
    <definedName name="Zauzetost">'Dimenzije objekta'!$E$12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4" l="1"/>
  <c r="E36" i="4" s="1"/>
  <c r="D13" i="9" l="1"/>
  <c r="D37" i="8"/>
  <c r="D36" i="8"/>
  <c r="D13" i="5"/>
  <c r="D26" i="5"/>
  <c r="D21" i="4"/>
  <c r="D17" i="2"/>
  <c r="D43" i="2"/>
  <c r="D41" i="2"/>
  <c r="D37" i="9" l="1"/>
  <c r="E37" i="9" s="1"/>
  <c r="D31" i="9"/>
  <c r="E31" i="9" s="1"/>
  <c r="D17" i="9"/>
  <c r="E17" i="9" s="1"/>
  <c r="E13" i="9"/>
  <c r="D88" i="8"/>
  <c r="E88" i="8" s="1"/>
  <c r="D86" i="8"/>
  <c r="E86" i="8" s="1"/>
  <c r="D84" i="8"/>
  <c r="E84" i="8" s="1"/>
  <c r="D82" i="8"/>
  <c r="E82" i="8" s="1"/>
  <c r="D76" i="8"/>
  <c r="E76" i="8" s="1"/>
  <c r="D72" i="8"/>
  <c r="E72" i="8" s="1"/>
  <c r="D74" i="8"/>
  <c r="E74" i="8" s="1"/>
  <c r="D70" i="8"/>
  <c r="E70" i="8" s="1"/>
  <c r="D64" i="8"/>
  <c r="E64" i="8" s="1"/>
  <c r="D62" i="8"/>
  <c r="E62" i="8" s="1"/>
  <c r="D60" i="8"/>
  <c r="E60" i="8" s="1"/>
  <c r="D58" i="8"/>
  <c r="E58" i="8" s="1"/>
  <c r="D56" i="8"/>
  <c r="E56" i="8" s="1"/>
  <c r="D54" i="8"/>
  <c r="E54" i="8" s="1"/>
  <c r="D52" i="8"/>
  <c r="E52" i="8" s="1"/>
  <c r="D50" i="8"/>
  <c r="E50" i="8" s="1"/>
  <c r="D48" i="8"/>
  <c r="E48" i="8" s="1"/>
  <c r="D46" i="8"/>
  <c r="E46" i="8" s="1"/>
  <c r="D44" i="8"/>
  <c r="E44" i="8" s="1"/>
  <c r="D42" i="8"/>
  <c r="E42" i="8" s="1"/>
  <c r="E37" i="8"/>
  <c r="E36" i="8"/>
  <c r="D31" i="8"/>
  <c r="E31" i="8" s="1"/>
  <c r="D29" i="8"/>
  <c r="E29" i="8" s="1"/>
  <c r="D27" i="8"/>
  <c r="E27" i="8" s="1"/>
  <c r="D21" i="8"/>
  <c r="E21" i="8" s="1"/>
  <c r="D19" i="8"/>
  <c r="E19" i="8" s="1"/>
  <c r="D17" i="8"/>
  <c r="E17" i="8" s="1"/>
  <c r="D15" i="8"/>
  <c r="E15" i="8" s="1"/>
  <c r="D13" i="8"/>
  <c r="E13" i="8" s="1"/>
  <c r="D85" i="7"/>
  <c r="E85" i="7" s="1"/>
  <c r="D79" i="7"/>
  <c r="E79" i="7" s="1"/>
  <c r="D74" i="7"/>
  <c r="E74" i="7" s="1"/>
  <c r="D68" i="7"/>
  <c r="E68" i="7" s="1"/>
  <c r="D63" i="7"/>
  <c r="E63" i="7" s="1"/>
  <c r="D57" i="7"/>
  <c r="E57" i="7" s="1"/>
  <c r="D52" i="7"/>
  <c r="E52" i="7" s="1"/>
  <c r="D46" i="7"/>
  <c r="E46" i="7" s="1"/>
  <c r="D41" i="7"/>
  <c r="E41" i="7" s="1"/>
  <c r="D35" i="7"/>
  <c r="E35" i="7" s="1"/>
  <c r="D30" i="7"/>
  <c r="E30" i="7" s="1"/>
  <c r="D24" i="7"/>
  <c r="E24" i="7" s="1"/>
  <c r="D19" i="7"/>
  <c r="E19" i="7" s="1"/>
  <c r="D13" i="7"/>
  <c r="E13" i="7" s="1"/>
  <c r="E13" i="5"/>
  <c r="D43" i="5"/>
  <c r="E43" i="5" s="1"/>
  <c r="D17" i="5"/>
  <c r="E17" i="5" s="1"/>
  <c r="D30" i="4"/>
  <c r="E30" i="4" s="1"/>
  <c r="D25" i="4"/>
  <c r="E25" i="4" s="1"/>
  <c r="E21" i="4"/>
  <c r="E17" i="2" l="1"/>
  <c r="E43" i="2"/>
  <c r="E41" i="2"/>
  <c r="D37" i="2"/>
  <c r="E37" i="2" s="1"/>
  <c r="D29" i="2"/>
  <c r="E29" i="2" s="1"/>
  <c r="D23" i="2"/>
  <c r="E23" i="2" s="1"/>
  <c r="D21" i="2"/>
  <c r="E21" i="2" s="1"/>
  <c r="D15" i="2"/>
  <c r="E15" i="2" s="1"/>
  <c r="D13" i="2"/>
  <c r="E13" i="2" s="1"/>
</calcChain>
</file>

<file path=xl/sharedStrings.xml><?xml version="1.0" encoding="utf-8"?>
<sst xmlns="http://schemas.openxmlformats.org/spreadsheetml/2006/main" count="316" uniqueCount="175">
  <si>
    <t>0.1. NASLOVNA STRANA GLAVNE SVESKE TEHNICKE DOKUMENTACIJE</t>
  </si>
  <si>
    <t>Investitor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</si>
  <si>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</si>
  <si>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</si>
  <si>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</si>
  <si>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</si>
  <si>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</si>
  <si>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</si>
  <si>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</si>
  <si>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</si>
  <si>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</si>
  <si>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</si>
  <si>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Autorska prava © Stoing, 2017. Sva prava su zadržana.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</si>
  <si>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</si>
  <si>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</si>
  <si>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</si>
  <si>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</si>
  <si>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</si>
  <si>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</si>
  <si>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</si>
  <si>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</si>
  <si>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</si>
  <si>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</si>
  <si>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</si>
  <si>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</si>
  <si>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</si>
  <si>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</si>
  <si>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</si>
  <si>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</si>
  <si>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</si>
  <si>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</si>
  <si>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</si>
  <si>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</si>
  <si>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ELABORAT ENERGETSKIH EFIKASNOSTI</t>
  </si>
  <si>
    <t>0.5. SADRŽAJ TEHNIČKE DOKUMENTACIJE</t>
  </si>
  <si>
    <t>0.6. PODACI O PROJEKTANTIMA</t>
  </si>
  <si>
    <t>Odgovorni projektant</t>
  </si>
  <si>
    <t>ELEBORAT ENERGETSKE EFIKASNOSTI</t>
  </si>
  <si>
    <t>0.7. OPŠTI PODACI O OBJEKTU I LOKACIJI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</si>
  <si>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</si>
  <si>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</si>
  <si>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</si>
  <si>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</si>
  <si>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</si>
  <si>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</si>
  <si>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</si>
  <si>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</si>
  <si>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</si>
  <si>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</si>
  <si>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INFORMACIJE O LOKACIJI</t>
  </si>
  <si>
    <t>DIMENZIJE OBJEKTA</t>
  </si>
  <si>
    <t>Ukupna površina parcele/parcela</t>
  </si>
  <si>
    <t>Ukupna BRGP nadzemno</t>
  </si>
  <si>
    <t>Ukupna BRUTO izgrađena površina</t>
  </si>
  <si>
    <t>Ukupna NETO korisna površina</t>
  </si>
  <si>
    <t>Površina prizemlja</t>
  </si>
  <si>
    <t>Površina zemljišta pod objektom/zauzetost</t>
  </si>
  <si>
    <t>Spratnost (nadzemnih i podzemnih etaža)</t>
  </si>
  <si>
    <t>Visina venca</t>
  </si>
  <si>
    <t>Visina slemena</t>
  </si>
  <si>
    <t>Spratna visina</t>
  </si>
  <si>
    <t>Broj funkcionalnih jedinica/broj stanova</t>
  </si>
  <si>
    <t>Broj parking mesta</t>
  </si>
  <si>
    <t>MATERIJALIZACIJA OBJEKTA</t>
  </si>
  <si>
    <t>Materijalizacija fasade</t>
  </si>
  <si>
    <t>Orjentacija slemena</t>
  </si>
  <si>
    <t>Nagib krova</t>
  </si>
  <si>
    <t>Materijalizacija krova</t>
  </si>
  <si>
    <t>OSTALI PODACI O OBJEKTU</t>
  </si>
  <si>
    <t>Procenat zelenih površina</t>
  </si>
  <si>
    <t>Indeks zauzetosti</t>
  </si>
  <si>
    <t>Indeks izgrađenosti</t>
  </si>
  <si>
    <t>Predračunska vrednost objekta</t>
  </si>
  <si>
    <t>1. da je elaborat izrađen u svemu prema u skladu sa Zakonom o planiranju i izgradnji, propisima, standardima i normativima iz oblasti protivpožarne zaštite i pravilima struke;</t>
  </si>
  <si>
    <t>2. da elaborat sadrži propisane i utvrđene mere i preporuke za ispunjenje osnovnog zahteva za objekat energetske efikasnosti.</t>
  </si>
  <si>
    <t>0.8. IZJAVA OVLAŠĆENOG LICA ELABORATA KOJE JE IZRADILO
ELABORAT ENERGETSKE EFIKASNOSTI</t>
  </si>
  <si>
    <t>0.8. Izjava ovlašćenog lica koje je izradilo elaborat energetske efikasnosti</t>
  </si>
  <si>
    <t>INVESTITOR</t>
  </si>
  <si>
    <t>Naziv</t>
  </si>
  <si>
    <t>Tip pdatka</t>
  </si>
  <si>
    <t>Vrednost</t>
  </si>
  <si>
    <t>String</t>
  </si>
  <si>
    <t>OBJEKAT</t>
  </si>
  <si>
    <t>ObjekatIzKonteksta</t>
  </si>
  <si>
    <t>VRSTA RADOVA</t>
  </si>
  <si>
    <t>VrstaRadova</t>
  </si>
  <si>
    <t>VrstaRadovaIzKonteksta</t>
  </si>
  <si>
    <t>PROJEKTNE ORGANIZACIJE</t>
  </si>
  <si>
    <t>ProjektnaOrganizacijaGS</t>
  </si>
  <si>
    <t>OdgovornoLiceGS</t>
  </si>
  <si>
    <t>ProjektnaOrganizacijaA</t>
  </si>
  <si>
    <t>OdgovornoLiceA</t>
  </si>
  <si>
    <t>ProjektnaOrganizacijaK</t>
  </si>
  <si>
    <t>OdgovornoLiceK</t>
  </si>
  <si>
    <t>ProjektnaOrganizacijaH</t>
  </si>
  <si>
    <t>OdgovornoLiceH</t>
  </si>
  <si>
    <t>ProjektnaOrganizacijaE</t>
  </si>
  <si>
    <t>OdgovornoLiceE</t>
  </si>
  <si>
    <t>ProjektnaOrganizacijaTS</t>
  </si>
  <si>
    <t>OdgovornoLiceTS</t>
  </si>
  <si>
    <t>ProjektnaOrganizacijaEEE</t>
  </si>
  <si>
    <t>OdgovornoLiceEEE</t>
  </si>
  <si>
    <t>ODGOVORNI PROJEKTANTI</t>
  </si>
  <si>
    <t>GlavniProjektant</t>
  </si>
  <si>
    <t>OdgovorniProjektantA</t>
  </si>
  <si>
    <t>OdgovorniProjektantK</t>
  </si>
  <si>
    <t>OdgovorniProjektantH</t>
  </si>
  <si>
    <t>OdgovorniProjektantE</t>
  </si>
  <si>
    <t>OdgovorniProjektantTS</t>
  </si>
  <si>
    <t>OdgovorniProjektantEEE</t>
  </si>
  <si>
    <t>TipObjekta</t>
  </si>
  <si>
    <t>KategorijaObjekta</t>
  </si>
  <si>
    <t>UcesceKlasifikacionaOznaka</t>
  </si>
  <si>
    <t>NazivUrbanistickogPlana</t>
  </si>
  <si>
    <t>Parcele</t>
  </si>
  <si>
    <t>PrikljucakNaVodovod</t>
  </si>
  <si>
    <t>PrikljucakNaKanalizaciju</t>
  </si>
  <si>
    <t>PrikljucakNaElektro</t>
  </si>
  <si>
    <t>UkupnaPovrsinaParcele</t>
  </si>
  <si>
    <t>UkupnaBrgpNadzemno</t>
  </si>
  <si>
    <t>PovrsinaPr</t>
  </si>
  <si>
    <t>Zauzetost</t>
  </si>
  <si>
    <t>Spratnost</t>
  </si>
  <si>
    <t>VisinaVenca</t>
  </si>
  <si>
    <t>VisinaSlemena</t>
  </si>
  <si>
    <t>SpratnaVisina</t>
  </si>
  <si>
    <t>BrojFunkcionalnihJedinica</t>
  </si>
  <si>
    <t>BrojParkingMesta</t>
  </si>
  <si>
    <t>MaterijalizacijaFasade</t>
  </si>
  <si>
    <t>OrjentacijaSlemena</t>
  </si>
  <si>
    <t>NagibKrova</t>
  </si>
  <si>
    <t>MaterijalizacijaKrova</t>
  </si>
  <si>
    <t>ProcenatZelenihPovrsina</t>
  </si>
  <si>
    <t>IndeksZauzetosti</t>
  </si>
  <si>
    <t>IndeksIzgradjenosti</t>
  </si>
  <si>
    <t>PredracunskaVrednost</t>
  </si>
  <si>
    <t>UkupnaBrutoPovrsina</t>
  </si>
  <si>
    <t>UkupnaNetoPovrsina</t>
  </si>
  <si>
    <t>Prilog 01 (podnaslov)</t>
  </si>
  <si>
    <t>Prilog 03 (kontekst)</t>
  </si>
  <si>
    <t>Prilog 04 (kontekst)</t>
  </si>
  <si>
    <t>Prilog 07 (podnaslov)</t>
  </si>
  <si>
    <t>Prilog 07 (kontekst)</t>
  </si>
  <si>
    <t>IDR</t>
  </si>
  <si>
    <t>Idejno rešenje (IDR)</t>
  </si>
  <si>
    <t>Idejnog rešenja (IDR)</t>
  </si>
  <si>
    <t>informacije...</t>
  </si>
  <si>
    <t>IDP</t>
  </si>
  <si>
    <t>Idejni projekat (IDP)</t>
  </si>
  <si>
    <t>Idejnog projekta (IDP)</t>
  </si>
  <si>
    <t>PGD</t>
  </si>
  <si>
    <t>Projekat za građevinsku dozvolu (PGD)</t>
  </si>
  <si>
    <t>Projekta za građevinsku dozvolu (PGD)</t>
  </si>
  <si>
    <t>LOKACIJSKI USLOVI</t>
  </si>
  <si>
    <t>uslovi...</t>
  </si>
  <si>
    <t>PZI</t>
  </si>
  <si>
    <t>Projekat za izvođenje (PZI)</t>
  </si>
  <si>
    <t>Projekta za izvođenje (PZI)</t>
  </si>
  <si>
    <t>GRAĐEVINSKA DOZVOLA</t>
  </si>
  <si>
    <t>dozvola...</t>
  </si>
  <si>
    <t>VRSTA TEHNIČKE DOKUMENTACIJE</t>
  </si>
  <si>
    <t>VrstaTehnickeDokumentacije</t>
  </si>
  <si>
    <t>Evidencioni broj</t>
  </si>
  <si>
    <t>Projekat A</t>
  </si>
  <si>
    <t>Projekat K</t>
  </si>
  <si>
    <t>Projekat H</t>
  </si>
  <si>
    <t>Projekat E</t>
  </si>
  <si>
    <t>Projekat TS</t>
  </si>
  <si>
    <t>EEE</t>
  </si>
  <si>
    <t>Prilog 08 (kontekst)</t>
  </si>
  <si>
    <t>Idejnom rešenju (IDR)</t>
  </si>
  <si>
    <t>Idejnom projektu (IDP)</t>
  </si>
  <si>
    <t>Projektu za građevinsku dozvolu (PGD)</t>
  </si>
  <si>
    <t>Projektu za izvođenje (PZI)</t>
  </si>
  <si>
    <t>InvestitorOdgovornoLice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</si>
</sst>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#,##0.00\ &quot;RSD&quot;;[Red]\-#,##0.00\ &quot;RSD&quot;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sz val="12"/>
      <name val="Wingdings 2"/>
      <family val="1"/>
      <charset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  <font>
      <i/>
      <sz val="10"/>
      <color theme="1" tint="0.499984740745262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/>
      <top/>
      <bottom style="thick">
        <color theme="0" tint="-0.249977111117893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1" applyFill="1"/>
    <xf numFmtId="0" fontId="3" fillId="2" borderId="1" xfId="1" applyFill="1" applyBorder="1"/>
    <xf numFmtId="0" fontId="3" fillId="0" borderId="0" xfId="1"/>
    <xf numFmtId="0" fontId="3" fillId="3" borderId="0" xfId="1" applyFont="1" applyFill="1" applyAlignment="1">
      <alignment horizontal="justify"/>
    </xf>
    <xf numFmtId="0" fontId="3" fillId="4" borderId="0" xfId="1" applyFont="1" applyFill="1" applyAlignment="1">
      <alignment horizontal="justify"/>
    </xf>
    <xf numFmtId="0" fontId="3" fillId="5" borderId="0" xfId="1" applyFont="1" applyFill="1" applyAlignment="1">
      <alignment horizontal="justify"/>
    </xf>
    <xf numFmtId="0" fontId="3" fillId="0" borderId="0" xfId="1" applyFont="1" applyAlignment="1">
      <alignment horizontal="justify"/>
    </xf>
    <xf numFmtId="0" fontId="2" fillId="0" borderId="0" xfId="1" applyFont="1" applyAlignment="1">
      <alignment horizontal="center"/>
    </xf>
    <xf numFmtId="0" fontId="1" fillId="4" borderId="0" xfId="2" applyFill="1"/>
    <xf numFmtId="0" fontId="4" fillId="0" borderId="2" xfId="1" applyFont="1" applyBorder="1" applyAlignment="1">
      <alignment horizontal="justify" wrapText="1"/>
    </xf>
    <xf numFmtId="0" fontId="5" fillId="4" borderId="0" xfId="1" applyFont="1" applyFill="1" applyAlignment="1">
      <alignment horizontal="center" vertical="center"/>
    </xf>
    <xf numFmtId="0" fontId="3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4" fillId="0" borderId="0" xfId="1" applyFont="1" applyAlignment="1">
      <alignment horizontal="justify" wrapText="1"/>
    </xf>
    <xf numFmtId="0" fontId="4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3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4" fillId="2" borderId="0" xfId="1" applyFont="1" applyFill="1" applyBorder="1"/>
    <xf numFmtId="0" fontId="4" fillId="2" borderId="1" xfId="1" applyFont="1" applyFill="1" applyBorder="1"/>
    <xf numFmtId="0" fontId="4" fillId="0" borderId="0" xfId="1" applyFont="1"/>
    <xf numFmtId="0" fontId="4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4" fillId="0" borderId="2" xfId="1" applyFont="1" applyBorder="1" applyAlignment="1">
      <alignment horizontal="justify"/>
    </xf>
    <xf numFmtId="0" fontId="3" fillId="0" borderId="2" xfId="1" applyFont="1" applyBorder="1" applyAlignment="1">
      <alignment horizontal="justify"/>
    </xf>
    <xf numFmtId="9" fontId="3" fillId="5" borderId="0" xfId="3" applyFont="1" applyFill="1" applyAlignment="1">
      <alignment horizontal="justify"/>
    </xf>
    <xf numFmtId="9" fontId="3" fillId="0" borderId="3" xfId="3" applyFont="1" applyBorder="1" applyAlignment="1">
      <alignment horizontal="justify"/>
    </xf>
    <xf numFmtId="9" fontId="4" fillId="0" borderId="0" xfId="3" applyFont="1"/>
    <xf numFmtId="0" fontId="8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9" fontId="4" fillId="0" borderId="2" xfId="1" applyNumberFormat="1" applyFont="1" applyBorder="1" applyAlignment="1">
      <alignment horizontal="justify"/>
    </xf>
    <xf numFmtId="0" fontId="4" fillId="0" borderId="0" xfId="1" applyNumberFormat="1" applyFont="1" applyBorder="1" applyAlignment="1">
      <alignment horizontal="justify"/>
    </xf>
    <xf numFmtId="8" fontId="4" fillId="0" borderId="0" xfId="1" applyNumberFormat="1" applyFont="1" applyAlignment="1">
      <alignment horizontal="justify"/>
    </xf>
    <xf numFmtId="0" fontId="3" fillId="0" borderId="0" xfId="1" applyFont="1" applyAlignment="1">
      <alignment horizontal="center"/>
    </xf>
    <xf numFmtId="0" fontId="2" fillId="0" borderId="0" xfId="1" applyFont="1" applyAlignment="1">
      <alignment horizontal="center" wrapText="1"/>
    </xf>
    <xf numFmtId="0" fontId="4" fillId="6" borderId="0" xfId="1" applyFont="1" applyFill="1" applyBorder="1"/>
    <xf numFmtId="0" fontId="4" fillId="6" borderId="6" xfId="1" applyFont="1" applyFill="1" applyBorder="1"/>
    <xf numFmtId="0" fontId="9" fillId="0" borderId="0" xfId="0" applyFont="1" applyAlignment="1">
      <alignment horizontal="left" vertical="center"/>
    </xf>
    <xf numFmtId="0" fontId="10" fillId="7" borderId="0" xfId="0" applyFont="1" applyFill="1" applyBorder="1" applyAlignment="1">
      <alignment horizontal="left" vertical="center"/>
    </xf>
    <xf numFmtId="0" fontId="10" fillId="7" borderId="7" xfId="0" applyFont="1" applyFill="1" applyBorder="1" applyAlignment="1">
      <alignment horizontal="left" vertical="center"/>
    </xf>
    <xf numFmtId="0" fontId="11" fillId="8" borderId="8" xfId="0" applyFont="1" applyFill="1" applyBorder="1"/>
    <xf numFmtId="0" fontId="11" fillId="8" borderId="9" xfId="0" applyFont="1" applyFill="1" applyBorder="1"/>
    <xf numFmtId="0" fontId="11" fillId="8" borderId="9" xfId="0" applyFont="1" applyFill="1" applyBorder="1" applyAlignment="1">
      <alignment horizontal="left"/>
    </xf>
    <xf numFmtId="0" fontId="12" fillId="0" borderId="0" xfId="1" applyFont="1" applyAlignment="1">
      <alignment horizontal="right" vertical="center"/>
    </xf>
    <xf numFmtId="0" fontId="4" fillId="0" borderId="5" xfId="1" quotePrefix="1" applyFont="1" applyBorder="1" applyAlignment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4</xdr:row>
      <xdr:rowOff>19050</xdr:rowOff>
    </xdr:from>
    <xdr:to>
      <xdr:col>4</xdr:col>
      <xdr:colOff>180996</xdr:colOff>
      <xdr:row>4</xdr:row>
      <xdr:rowOff>171471</xdr:rowOff>
    </xdr:to>
    <xdr:pic macro="[0]!frmPodesavanjaPrikazi">
      <xdr:nvPicPr>
        <xdr:cNvPr id="2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257175</xdr:colOff>
      <xdr:row>4</xdr:row>
      <xdr:rowOff>28575</xdr:rowOff>
    </xdr:from>
    <xdr:to>
      <xdr:col>3</xdr:col>
      <xdr:colOff>409596</xdr:colOff>
      <xdr:row>4</xdr:row>
      <xdr:rowOff>180996</xdr:rowOff>
    </xdr:to>
    <xdr:pic macro="[0]!Stampanje">
      <xdr:nvPicPr>
        <xdr:cNvPr id="3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</xdr:row>
      <xdr:rowOff>28575</xdr:rowOff>
    </xdr:from>
    <xdr:to>
      <xdr:col>3</xdr:col>
      <xdr:colOff>190481</xdr:colOff>
      <xdr:row>4</xdr:row>
      <xdr:rowOff>180956</xdr:rowOff>
    </xdr:to>
    <xdr:pic macro="[0]!frmIndexPrikazi">
      <xdr:nvPicPr>
        <xdr:cNvPr id="4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4</xdr:row>
      <xdr:rowOff>28575</xdr:rowOff>
    </xdr:from>
    <xdr:to>
      <xdr:col>2</xdr:col>
      <xdr:colOff>171471</xdr:colOff>
      <xdr:row>4</xdr:row>
      <xdr:rowOff>180996</xdr:rowOff>
    </xdr:to>
    <xdr:pic macro="[0]!frmPrelazPrikazi">
      <xdr:nvPicPr>
        <xdr:cNvPr id="5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809625"/>
          <a:ext cx="152421" cy="15242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6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 macro="[0]!frmPodesavanjaPrikazi">
      <xdr:nvPicPr>
        <xdr:cNvPr id="3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247650</xdr:colOff>
      <xdr:row>4</xdr:row>
      <xdr:rowOff>28575</xdr:rowOff>
    </xdr:from>
    <xdr:to>
      <xdr:col>3</xdr:col>
      <xdr:colOff>400071</xdr:colOff>
      <xdr:row>4</xdr:row>
      <xdr:rowOff>180996</xdr:rowOff>
    </xdr:to>
    <xdr:pic macro="[0]!Stampanje">
      <xdr:nvPicPr>
        <xdr:cNvPr id="4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80962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</xdr:row>
      <xdr:rowOff>28575</xdr:rowOff>
    </xdr:from>
    <xdr:to>
      <xdr:col>3</xdr:col>
      <xdr:colOff>180956</xdr:colOff>
      <xdr:row>4</xdr:row>
      <xdr:rowOff>180956</xdr:rowOff>
    </xdr:to>
    <xdr:pic macro="[0]!frmIndexPrikazi">
      <xdr:nvPicPr>
        <xdr:cNvPr id="5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4</xdr:row>
      <xdr:rowOff>28575</xdr:rowOff>
    </xdr:from>
    <xdr:to>
      <xdr:col>2</xdr:col>
      <xdr:colOff>161946</xdr:colOff>
      <xdr:row>4</xdr:row>
      <xdr:rowOff>180996</xdr:rowOff>
    </xdr:to>
    <xdr:pic macro="[0]!frmPrelazPrikazi">
      <xdr:nvPicPr>
        <xdr:cNvPr id="6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809625"/>
          <a:ext cx="152421" cy="15242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97"/>
  <sheetViews>
    <sheetView showGridLines="0" tabSelected="1" workbookViewId="0">
      <selection activeCell="A3" sqref="A3"/>
    </sheetView>
  </sheetViews>
  <sheetFormatPr defaultRowHeight="15" x14ac:dyDescent="0.2"/>
  <cols>
    <col min="1" max="3" width="2.85546875" style="3" customWidth="1"/>
    <col min="4" max="4" width="103" style="3" customWidth="1"/>
    <col min="5" max="189" width="2.85546875" style="3" customWidth="1"/>
    <col min="190" max="16384" width="9.140625" style="3"/>
  </cols>
  <sheetData>
    <row r="1" spans="3:5" s="1" customFormat="1" x14ac:dyDescent="0.2"/>
    <row r="2" spans="3:5" s="2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5"/>
      <c r="D6" s="5"/>
      <c r="E6" s="5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0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s="12" customFormat="1" x14ac:dyDescent="0.2">
      <c r="C13" s="9"/>
      <c r="D13" s="10" t="str">
        <f>IF(Investitor=0,"...",Investitor)</f>
        <v>...</v>
      </c>
      <c r="E13" s="11" t="str">
        <f>IF(D13="...","","P")</f>
        <v/>
      </c>
    </row>
    <row r="14" spans="3:5" x14ac:dyDescent="0.2">
      <c r="C14" s="6"/>
      <c r="D14" s="13" t="s">
        <v>1</v>
      </c>
      <c r="E14" s="6"/>
    </row>
    <row r="15" spans="3:5" x14ac:dyDescent="0.2">
      <c r="C15" s="6"/>
      <c r="D15" s="14" t="str">
        <f>IF(Objekat=0,"...",Objekat)</f>
        <v>...</v>
      </c>
      <c r="E15" s="11" t="str">
        <f>IF(D15="...","","P")</f>
        <v/>
      </c>
    </row>
    <row r="16" spans="3:5" x14ac:dyDescent="0.2">
      <c r="C16" s="6"/>
      <c r="D16" s="13" t="s">
        <v>2</v>
      </c>
      <c r="E16" s="6"/>
    </row>
    <row r="17" spans="3:5" x14ac:dyDescent="0.2">
      <c r="C17" s="6"/>
      <c r="D17" s="15" t="str">
        <f>IF(VLOOKUP(VrstaTehnickeDokumentacije,tblVrstaTehnickeDokumentacije,10,FALSE)=0,"...",VLOOKUP(VrstaTehnickeDokumentacije,tblVrstaTehnickeDokumentacije,10,FALSE))</f>
        <v>Idejno rešenje (IDR)</v>
      </c>
      <c r="E17" s="11" t="str">
        <f>IF(D17="...","","P")</f>
        <v>P</v>
      </c>
    </row>
    <row r="18" spans="3:5" x14ac:dyDescent="0.2">
      <c r="C18" s="6"/>
      <c r="D18" s="13" t="s">
        <v>3</v>
      </c>
      <c r="E18" s="6"/>
    </row>
    <row r="19" spans="3:5" x14ac:dyDescent="0.2">
      <c r="C19" s="6"/>
      <c r="D19" s="7" t="s">
        <v>4</v>
      </c>
      <c r="E19" s="6"/>
    </row>
    <row r="20" spans="3:5" x14ac:dyDescent="0.2">
      <c r="C20" s="6"/>
      <c r="D20" s="13" t="s">
        <v>5</v>
      </c>
      <c r="E20" s="6"/>
    </row>
    <row r="21" spans="3:5" x14ac:dyDescent="0.2">
      <c r="C21" s="6"/>
      <c r="D21" s="15" t="str">
        <f>IF(VrstaRadova=0,"...",VrstaRadova)</f>
        <v>...</v>
      </c>
      <c r="E21" s="11" t="str">
        <f>IF(D21="...","","P")</f>
        <v/>
      </c>
    </row>
    <row r="22" spans="3:5" x14ac:dyDescent="0.2">
      <c r="C22" s="6"/>
      <c r="D22" s="16" t="s">
        <v>6</v>
      </c>
      <c r="E22" s="6"/>
    </row>
    <row r="23" spans="3:5" x14ac:dyDescent="0.2">
      <c r="C23" s="6"/>
      <c r="D23" s="15" t="str">
        <f>IF(ProjektnaOrganizacijaGS=0,"...",ProjektnaOrganizacijaGS)</f>
        <v>...</v>
      </c>
      <c r="E23" s="11" t="str">
        <f>IF(D23="...","","P")</f>
        <v/>
      </c>
    </row>
    <row r="24" spans="3:5" x14ac:dyDescent="0.2">
      <c r="C24" s="6"/>
      <c r="D24" s="13" t="s">
        <v>7</v>
      </c>
      <c r="E24" s="6"/>
    </row>
    <row r="25" spans="3:5" x14ac:dyDescent="0.2">
      <c r="C25" s="6"/>
      <c r="D25" s="7"/>
      <c r="E25" s="6"/>
    </row>
    <row r="26" spans="3:5" x14ac:dyDescent="0.2">
      <c r="C26" s="6"/>
      <c r="D26" s="7"/>
      <c r="E26" s="6"/>
    </row>
    <row r="27" spans="3:5" x14ac:dyDescent="0.2">
      <c r="C27" s="6"/>
      <c r="D27" s="7"/>
      <c r="E27" s="6"/>
    </row>
    <row r="28" spans="3:5" x14ac:dyDescent="0.2">
      <c r="C28" s="6"/>
      <c r="D28" s="7"/>
      <c r="E28" s="6"/>
    </row>
    <row r="29" spans="3:5" x14ac:dyDescent="0.2">
      <c r="C29" s="6"/>
      <c r="D29" s="15" t="str">
        <f>IF(OdgovornoLiceGS=0,"...",OdgovornoLiceGS)</f>
        <v>...</v>
      </c>
      <c r="E29" s="11" t="str">
        <f>IF(D29="...","","P")</f>
        <v/>
      </c>
    </row>
    <row r="30" spans="3:5" x14ac:dyDescent="0.2">
      <c r="C30" s="6"/>
      <c r="D30" s="16" t="s">
        <v>8</v>
      </c>
      <c r="E30" s="6"/>
    </row>
    <row r="31" spans="3:5" x14ac:dyDescent="0.2">
      <c r="C31" s="6"/>
      <c r="D31" s="7"/>
      <c r="E31" s="6"/>
    </row>
    <row r="32" spans="3:5" x14ac:dyDescent="0.2">
      <c r="C32" s="6"/>
      <c r="D32" s="7"/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7"/>
      <c r="E36" s="6"/>
    </row>
    <row r="37" spans="3:5" x14ac:dyDescent="0.2">
      <c r="C37" s="6"/>
      <c r="D37" s="15" t="str">
        <f>IF(GlavniProjektant=0,"...",GlavniProjektant)</f>
        <v>...</v>
      </c>
      <c r="E37" s="11" t="str">
        <f>IF(D37="...","","P")</f>
        <v/>
      </c>
    </row>
    <row r="38" spans="3:5" x14ac:dyDescent="0.2">
      <c r="C38" s="6"/>
      <c r="D38" s="16" t="s">
        <v>9</v>
      </c>
      <c r="E38" s="6"/>
    </row>
    <row r="39" spans="3:5" x14ac:dyDescent="0.2">
      <c r="C39" s="6"/>
      <c r="D39" s="7"/>
      <c r="E39" s="6"/>
    </row>
    <row r="40" spans="3:5" x14ac:dyDescent="0.2">
      <c r="C40" s="6"/>
      <c r="D40" s="7"/>
      <c r="E40" s="6"/>
    </row>
    <row r="41" spans="3:5" x14ac:dyDescent="0.2">
      <c r="C41" s="6"/>
      <c r="D41" s="15" t="str">
        <f>IF(VLOOKUP(VrstaTehnickeDokumentacije,tblVrstaTehnickeDokumentacije,8,FALSE)=0,"...",VLOOKUP(VrstaTehnickeDokumentacije,tblVrstaTehnickeDokumentacije,8,FALSE))</f>
        <v>...</v>
      </c>
      <c r="E41" s="11" t="str">
        <f>IF(D41="...","","P")</f>
        <v/>
      </c>
    </row>
    <row r="42" spans="3:5" x14ac:dyDescent="0.2">
      <c r="C42" s="6"/>
      <c r="D42" s="13" t="s">
        <v>10</v>
      </c>
      <c r="E42" s="6"/>
    </row>
    <row r="43" spans="3:5" x14ac:dyDescent="0.2">
      <c r="C43" s="6"/>
      <c r="D43" s="15" t="str">
        <f>IF(VLOOKUP(VrstaTehnickeDokumentacije,tblVrstaTehnickeDokumentacije,9,FALSE)=0,"...",VLOOKUP(VrstaTehnickeDokumentacije,tblVrstaTehnickeDokumentacije,9,FALSE))</f>
        <v>...</v>
      </c>
      <c r="E43" s="11" t="str">
        <f>IF(D43="...","","P")</f>
        <v/>
      </c>
    </row>
    <row r="44" spans="3:5" x14ac:dyDescent="0.2">
      <c r="C44" s="6"/>
      <c r="D44" s="13" t="s">
        <v>11</v>
      </c>
      <c r="E44" s="6"/>
    </row>
    <row r="45" spans="3:5" x14ac:dyDescent="0.2">
      <c r="C45" s="17"/>
      <c r="D45" s="17"/>
      <c r="E45" s="17"/>
    </row>
    <row r="46" spans="3:5" x14ac:dyDescent="0.2">
      <c r="E46" s="18" t="s">
        <v>12</v>
      </c>
    </row>
    <row r="94" ht="15" customHeight="1" x14ac:dyDescent="0.2"/>
    <row r="176" ht="15.75" customHeight="1" x14ac:dyDescent="0.2"/>
    <row r="197" ht="15" customHeight="1" x14ac:dyDescent="0.2"/>
  </sheetData>
  <pageMargins left="0.39370078740157483" right="0.39370078740157483" top="2.3622047244094491" bottom="1.1811023622047245" header="0" footer="0"/>
  <pageSetup paperSize="151" orientation="portrait" horizontalDpi="4294967292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C1:E184"/>
  <sheetViews>
    <sheetView showGridLines="0" zoomScaleNormal="10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5"/>
      <c r="D6" s="5"/>
      <c r="E6" s="5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13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x14ac:dyDescent="0.2">
      <c r="C13" s="6"/>
      <c r="D13" s="7" t="s">
        <v>14</v>
      </c>
      <c r="E13" s="6"/>
    </row>
    <row r="14" spans="3:5" x14ac:dyDescent="0.2">
      <c r="C14" s="6"/>
      <c r="D14" s="7"/>
      <c r="E14" s="6"/>
    </row>
    <row r="15" spans="3:5" x14ac:dyDescent="0.2">
      <c r="C15" s="6"/>
      <c r="D15" s="7" t="s">
        <v>15</v>
      </c>
      <c r="E15" s="6"/>
    </row>
    <row r="16" spans="3:5" x14ac:dyDescent="0.2">
      <c r="C16" s="6"/>
      <c r="D16" s="7"/>
      <c r="E16" s="6"/>
    </row>
    <row r="17" spans="3:5" x14ac:dyDescent="0.2">
      <c r="C17" s="6"/>
      <c r="D17" s="7" t="s">
        <v>16</v>
      </c>
      <c r="E17" s="6"/>
    </row>
    <row r="18" spans="3:5" x14ac:dyDescent="0.2">
      <c r="C18" s="6"/>
      <c r="D18" s="7"/>
      <c r="E18" s="6"/>
    </row>
    <row r="19" spans="3:5" x14ac:dyDescent="0.2">
      <c r="C19" s="6"/>
      <c r="D19" s="7" t="s">
        <v>17</v>
      </c>
      <c r="E19" s="6"/>
    </row>
    <row r="20" spans="3:5" x14ac:dyDescent="0.2">
      <c r="C20" s="6"/>
      <c r="D20" s="7"/>
      <c r="E20" s="6"/>
    </row>
    <row r="21" spans="3:5" x14ac:dyDescent="0.2">
      <c r="C21" s="6"/>
      <c r="D21" s="7" t="s">
        <v>18</v>
      </c>
      <c r="E21" s="6"/>
    </row>
    <row r="22" spans="3:5" x14ac:dyDescent="0.2">
      <c r="C22" s="6"/>
      <c r="D22" s="7"/>
      <c r="E22" s="6"/>
    </row>
    <row r="23" spans="3:5" ht="15.75" customHeight="1" x14ac:dyDescent="0.2">
      <c r="C23" s="6"/>
      <c r="D23" s="7" t="s">
        <v>19</v>
      </c>
      <c r="E23" s="6"/>
    </row>
    <row r="24" spans="3:5" x14ac:dyDescent="0.2">
      <c r="C24" s="6"/>
      <c r="D24" s="7"/>
      <c r="E24" s="6"/>
    </row>
    <row r="25" spans="3:5" x14ac:dyDescent="0.2">
      <c r="C25" s="6"/>
      <c r="D25" s="7" t="s">
        <v>20</v>
      </c>
      <c r="E25" s="6"/>
    </row>
    <row r="26" spans="3:5" hidden="1" x14ac:dyDescent="0.2">
      <c r="C26" s="6"/>
      <c r="D26" s="7"/>
      <c r="E26" s="6"/>
    </row>
    <row r="27" spans="3:5" hidden="1" x14ac:dyDescent="0.2">
      <c r="C27" s="6"/>
      <c r="D27" s="7" t="s">
        <v>76</v>
      </c>
      <c r="E27" s="6"/>
    </row>
    <row r="28" spans="3:5" x14ac:dyDescent="0.2">
      <c r="C28" s="6"/>
      <c r="D28" s="7"/>
      <c r="E28" s="6"/>
    </row>
    <row r="29" spans="3:5" x14ac:dyDescent="0.2">
      <c r="C29" s="17"/>
      <c r="D29" s="17"/>
      <c r="E29" s="17"/>
    </row>
    <row r="81" ht="15" customHeight="1" x14ac:dyDescent="0.2"/>
    <row r="163" ht="15.75" customHeight="1" x14ac:dyDescent="0.2"/>
    <row r="18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52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5" width="2.85546875" style="21" customWidth="1"/>
    <col min="186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5"/>
      <c r="D6" s="5"/>
      <c r="E6" s="5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21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ht="75" x14ac:dyDescent="0.2">
      <c r="C13" s="6"/>
      <c r="D13" s="7" t="s">
        <v>22</v>
      </c>
      <c r="E13" s="6"/>
    </row>
    <row r="14" spans="3:5" x14ac:dyDescent="0.2">
      <c r="C14" s="6"/>
      <c r="D14" s="7"/>
      <c r="E14" s="6"/>
    </row>
    <row r="15" spans="3:5" x14ac:dyDescent="0.2">
      <c r="C15" s="6"/>
      <c r="D15" s="7"/>
      <c r="E15" s="6"/>
    </row>
    <row r="16" spans="3:5" x14ac:dyDescent="0.2">
      <c r="C16" s="6"/>
      <c r="D16" s="7"/>
      <c r="E16" s="6"/>
    </row>
    <row r="17" spans="3:5" ht="15.75" x14ac:dyDescent="0.25">
      <c r="C17" s="6"/>
      <c r="D17" s="8" t="s">
        <v>23</v>
      </c>
      <c r="E17" s="6"/>
    </row>
    <row r="18" spans="3:5" x14ac:dyDescent="0.2">
      <c r="C18" s="6"/>
      <c r="D18" s="7"/>
      <c r="E18" s="6"/>
    </row>
    <row r="19" spans="3:5" x14ac:dyDescent="0.2">
      <c r="C19" s="6"/>
      <c r="D19" s="7"/>
      <c r="E19" s="6"/>
    </row>
    <row r="20" spans="3:5" x14ac:dyDescent="0.2">
      <c r="C20" s="6"/>
      <c r="D20" s="7"/>
      <c r="E20" s="6"/>
    </row>
    <row r="21" spans="3:5" x14ac:dyDescent="0.2">
      <c r="C21" s="6"/>
      <c r="D21" s="15" t="str">
        <f>IF(OR(ObjekatIzKonteksta=0,VrstaRadovaIzKonteksta=0),"...","za izradu &amp; VLOOKUP(VrstaTehnickeDokumentacije;tblVrstaTehnickeDokumentacije;11;FALSE) &amp;, za "&amp;VrstaRadovaIzKonteksta&amp;" "&amp;ObjekatIzKonteksta&amp;", određuje se:")</f>
        <v>...</v>
      </c>
      <c r="E21" s="11" t="str">
        <f>IF(D21="...","","P")</f>
        <v/>
      </c>
    </row>
    <row r="22" spans="3:5" x14ac:dyDescent="0.2">
      <c r="C22" s="6"/>
      <c r="D22" s="7"/>
      <c r="E22" s="6"/>
    </row>
    <row r="23" spans="3:5" x14ac:dyDescent="0.2">
      <c r="C23" s="6"/>
      <c r="D23" s="7"/>
      <c r="E23" s="6"/>
    </row>
    <row r="24" spans="3:5" x14ac:dyDescent="0.2">
      <c r="C24" s="6"/>
      <c r="D24" s="7"/>
      <c r="E24" s="6"/>
    </row>
    <row r="25" spans="3:5" x14ac:dyDescent="0.2">
      <c r="C25" s="6"/>
      <c r="D25" s="22" t="str">
        <f>IF(GlavniProjektant=0,"...",GlavniProjektant)</f>
        <v>...</v>
      </c>
      <c r="E25" s="11" t="str">
        <f>IF(D25="...","","P")</f>
        <v/>
      </c>
    </row>
    <row r="26" spans="3:5" x14ac:dyDescent="0.2">
      <c r="C26" s="6"/>
      <c r="D26" s="23" t="s">
        <v>24</v>
      </c>
      <c r="E26" s="6"/>
    </row>
    <row r="27" spans="3:5" x14ac:dyDescent="0.2">
      <c r="C27" s="6"/>
      <c r="D27" s="7"/>
      <c r="E27" s="6"/>
    </row>
    <row r="28" spans="3:5" x14ac:dyDescent="0.2">
      <c r="C28" s="6"/>
      <c r="D28" s="7"/>
      <c r="E28" s="6"/>
    </row>
    <row r="29" spans="3:5" x14ac:dyDescent="0.2">
      <c r="C29" s="6"/>
      <c r="D29" s="7"/>
      <c r="E29" s="6"/>
    </row>
    <row r="30" spans="3:5" x14ac:dyDescent="0.2">
      <c r="C30" s="6"/>
      <c r="D30" s="24" t="str">
        <f>IF(Investitor=0,"...",Investitor)</f>
        <v>...</v>
      </c>
      <c r="E30" s="11" t="str">
        <f>IF(D30="...","","P")</f>
        <v/>
      </c>
    </row>
    <row r="31" spans="3:5" x14ac:dyDescent="0.2">
      <c r="C31" s="6"/>
      <c r="D31" s="13" t="s">
        <v>1</v>
      </c>
      <c r="E31" s="6"/>
    </row>
    <row r="32" spans="3:5" x14ac:dyDescent="0.2">
      <c r="C32" s="6"/>
      <c r="D32" s="7"/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15" t="str">
        <f>IF(InvestitorOdgovornoLice=0,"...",InvestitorOdgovornoLice)</f>
        <v>...</v>
      </c>
      <c r="E36" s="11" t="str">
        <f>IF(D36="...","","P")</f>
        <v/>
      </c>
    </row>
    <row r="37" spans="3:5" x14ac:dyDescent="0.2">
      <c r="C37" s="6"/>
      <c r="D37" s="16" t="s">
        <v>8</v>
      </c>
      <c r="E37" s="6"/>
    </row>
    <row r="38" spans="3:5" x14ac:dyDescent="0.2">
      <c r="C38" s="6"/>
      <c r="D38" s="7"/>
      <c r="E38" s="6"/>
    </row>
    <row r="39" spans="3:5" x14ac:dyDescent="0.2">
      <c r="C39" s="17"/>
      <c r="D39" s="17"/>
      <c r="E39" s="17"/>
    </row>
    <row r="40" spans="3:5" x14ac:dyDescent="0.2">
      <c r="E40" s="18" t="s">
        <v>12</v>
      </c>
    </row>
    <row r="49" ht="15" customHeight="1" x14ac:dyDescent="0.2"/>
    <row r="131" ht="15.75" customHeight="1" x14ac:dyDescent="0.2"/>
    <row r="152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E114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5"/>
      <c r="D6" s="5"/>
      <c r="E6" s="5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25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x14ac:dyDescent="0.2">
      <c r="C13" s="6"/>
      <c r="D13" s="15" t="str">
        <f>IF(OR(ObjekatIzKonteksta=0,VrstaRadovaIzKonteksta=0),"...","Glavni projektant "&amp; VLOOKUP(VrstaTehnickeDokumentacije,tblVrstaTehnickeDokumentacije,12,FALSE) &amp;", za "&amp;VrstaRadovaIzKonteksta&amp;" "&amp;ObjekatIzKonteksta&amp;",")</f>
        <v>...</v>
      </c>
      <c r="E13" s="11" t="str">
        <f>IF(D13="...","","P")</f>
        <v/>
      </c>
    </row>
    <row r="14" spans="3:5" ht="15" customHeight="1" x14ac:dyDescent="0.2">
      <c r="C14" s="6"/>
      <c r="D14" s="7"/>
      <c r="E14" s="6"/>
    </row>
    <row r="15" spans="3:5" x14ac:dyDescent="0.2">
      <c r="C15" s="6"/>
      <c r="D15" s="7"/>
      <c r="E15" s="6"/>
    </row>
    <row r="16" spans="3:5" x14ac:dyDescent="0.2">
      <c r="C16" s="6"/>
      <c r="D16" s="7"/>
      <c r="E16" s="6"/>
    </row>
    <row r="17" spans="3:5" x14ac:dyDescent="0.2">
      <c r="C17" s="6"/>
      <c r="D17" s="22" t="str">
        <f>IF(GlavniProjektant=0,"...",GlavniProjektant)</f>
        <v>...</v>
      </c>
      <c r="E17" s="11" t="str">
        <f>IF(D17="...","","P")</f>
        <v/>
      </c>
    </row>
    <row r="18" spans="3:5" x14ac:dyDescent="0.2">
      <c r="C18" s="6"/>
      <c r="D18" s="23" t="s">
        <v>24</v>
      </c>
      <c r="E18" s="6"/>
    </row>
    <row r="19" spans="3:5" x14ac:dyDescent="0.2">
      <c r="C19" s="6"/>
      <c r="D19" s="7"/>
      <c r="E19" s="6"/>
    </row>
    <row r="20" spans="3:5" x14ac:dyDescent="0.2">
      <c r="C20" s="6"/>
      <c r="D20" s="7"/>
      <c r="E20" s="6"/>
    </row>
    <row r="21" spans="3:5" x14ac:dyDescent="0.2">
      <c r="C21" s="6"/>
      <c r="D21" s="7"/>
      <c r="E21" s="6"/>
    </row>
    <row r="22" spans="3:5" ht="15.75" x14ac:dyDescent="0.25">
      <c r="C22" s="6"/>
      <c r="D22" s="8" t="s">
        <v>26</v>
      </c>
      <c r="E22" s="6"/>
    </row>
    <row r="23" spans="3:5" x14ac:dyDescent="0.2">
      <c r="C23" s="6"/>
      <c r="D23" s="7"/>
      <c r="E23" s="6"/>
    </row>
    <row r="24" spans="3:5" x14ac:dyDescent="0.2">
      <c r="C24" s="6"/>
      <c r="D24" s="7"/>
      <c r="E24" s="6"/>
    </row>
    <row r="25" spans="3:5" x14ac:dyDescent="0.2">
      <c r="C25" s="6"/>
      <c r="D25" s="7"/>
      <c r="E25" s="6"/>
    </row>
    <row r="26" spans="3:5" ht="30" x14ac:dyDescent="0.2">
      <c r="C26" s="6"/>
      <c r="D26" s="15" t="str">
        <f>"da su delovi " &amp; VLOOKUP(VrstaTehnickeDokumentacije,tblVrstaTehnickeDokumentacije,12,FALSE) &amp; " međusobno usaglašeni, da podaci u glavnoj svesci odgovaraju sadržini projekta i da su projektu priloženi odgovarajući elaborti i studije."</f>
        <v>da su delovi Idejnog rešenja (IDR) međusobno usaglašeni, da podaci u glavnoj svesci odgovaraju sadržini projekta i da su projektu priloženi odgovarajući elaborti i studije.</v>
      </c>
      <c r="E26" s="6"/>
    </row>
    <row r="27" spans="3:5" x14ac:dyDescent="0.2">
      <c r="C27" s="6"/>
      <c r="D27" s="15"/>
      <c r="E27" s="6"/>
    </row>
    <row r="28" spans="3:5" x14ac:dyDescent="0.2">
      <c r="C28" s="6"/>
      <c r="D28" s="7"/>
      <c r="E28" s="6"/>
    </row>
    <row r="29" spans="3:5" x14ac:dyDescent="0.2">
      <c r="C29" s="6"/>
      <c r="D29" s="7"/>
      <c r="E29" s="6"/>
    </row>
    <row r="30" spans="3:5" x14ac:dyDescent="0.2">
      <c r="C30" s="6"/>
      <c r="D30" s="25" t="s">
        <v>27</v>
      </c>
      <c r="E30" s="6"/>
    </row>
    <row r="31" spans="3:5" x14ac:dyDescent="0.2">
      <c r="C31" s="6"/>
      <c r="D31" s="7" t="s">
        <v>28</v>
      </c>
      <c r="E31" s="6"/>
    </row>
    <row r="32" spans="3:5" hidden="1" x14ac:dyDescent="0.2">
      <c r="C32" s="6"/>
      <c r="D32" s="7" t="s">
        <v>29</v>
      </c>
      <c r="E32" s="6"/>
    </row>
    <row r="33" spans="3:5" hidden="1" x14ac:dyDescent="0.2">
      <c r="C33" s="6"/>
      <c r="D33" s="7" t="s">
        <v>30</v>
      </c>
      <c r="E33" s="6"/>
    </row>
    <row r="34" spans="3:5" hidden="1" x14ac:dyDescent="0.2">
      <c r="C34" s="6"/>
      <c r="D34" s="7" t="s">
        <v>31</v>
      </c>
      <c r="E34" s="6"/>
    </row>
    <row r="35" spans="3:5" hidden="1" x14ac:dyDescent="0.2">
      <c r="C35" s="6"/>
      <c r="D35" s="7" t="s">
        <v>32</v>
      </c>
      <c r="E35" s="6"/>
    </row>
    <row r="36" spans="3:5" s="28" customFormat="1" hidden="1" x14ac:dyDescent="0.2">
      <c r="C36" s="26"/>
      <c r="D36" s="27" t="s">
        <v>33</v>
      </c>
      <c r="E36" s="26"/>
    </row>
    <row r="37" spans="3:5" x14ac:dyDescent="0.2">
      <c r="C37" s="6"/>
      <c r="D37" s="7"/>
      <c r="E37" s="6"/>
    </row>
    <row r="38" spans="3:5" x14ac:dyDescent="0.2">
      <c r="C38" s="6"/>
      <c r="D38" s="7"/>
      <c r="E38" s="6"/>
    </row>
    <row r="39" spans="3:5" x14ac:dyDescent="0.2">
      <c r="C39" s="6"/>
      <c r="D39" s="7"/>
      <c r="E39" s="6"/>
    </row>
    <row r="40" spans="3:5" x14ac:dyDescent="0.2">
      <c r="C40" s="6"/>
      <c r="D40" s="7"/>
      <c r="E40" s="6"/>
    </row>
    <row r="41" spans="3:5" x14ac:dyDescent="0.2">
      <c r="C41" s="6"/>
      <c r="D41" s="7"/>
      <c r="E41" s="6"/>
    </row>
    <row r="42" spans="3:5" x14ac:dyDescent="0.2">
      <c r="C42" s="6"/>
      <c r="D42" s="7"/>
      <c r="E42" s="6"/>
    </row>
    <row r="43" spans="3:5" x14ac:dyDescent="0.2">
      <c r="C43" s="6"/>
      <c r="D43" s="15" t="str">
        <f>IF(GlavniProjektant=0,"...",GlavniProjektant)</f>
        <v>...</v>
      </c>
      <c r="E43" s="11" t="str">
        <f>IF(D43="...","","P")</f>
        <v/>
      </c>
    </row>
    <row r="44" spans="3:5" x14ac:dyDescent="0.2">
      <c r="C44" s="6"/>
      <c r="D44" s="16" t="s">
        <v>24</v>
      </c>
      <c r="E44" s="6"/>
    </row>
    <row r="45" spans="3:5" x14ac:dyDescent="0.2">
      <c r="C45" s="6"/>
      <c r="D45" s="7"/>
      <c r="E45" s="6"/>
    </row>
    <row r="46" spans="3:5" x14ac:dyDescent="0.2">
      <c r="C46" s="17"/>
      <c r="D46" s="17"/>
      <c r="E46" s="17"/>
    </row>
    <row r="47" spans="3:5" x14ac:dyDescent="0.2">
      <c r="E47" s="18" t="s">
        <v>12</v>
      </c>
    </row>
    <row r="93" ht="15.75" customHeight="1" x14ac:dyDescent="0.2"/>
    <row r="11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47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5"/>
      <c r="D6" s="5"/>
      <c r="E6" s="5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34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x14ac:dyDescent="0.2">
      <c r="C13" s="6"/>
      <c r="D13" s="7" t="s">
        <v>27</v>
      </c>
      <c r="E13" s="6"/>
    </row>
    <row r="14" spans="3:5" x14ac:dyDescent="0.2">
      <c r="C14" s="6"/>
      <c r="D14" s="7"/>
      <c r="E14" s="6"/>
    </row>
    <row r="15" spans="3:5" x14ac:dyDescent="0.2">
      <c r="C15" s="6"/>
      <c r="D15" s="7" t="s">
        <v>28</v>
      </c>
      <c r="E15" s="6"/>
    </row>
    <row r="16" spans="3:5" hidden="1" x14ac:dyDescent="0.2">
      <c r="C16" s="6"/>
      <c r="D16" s="7"/>
      <c r="E16" s="6"/>
    </row>
    <row r="17" spans="3:5" hidden="1" x14ac:dyDescent="0.2">
      <c r="C17" s="6"/>
      <c r="D17" s="7" t="s">
        <v>29</v>
      </c>
      <c r="E17" s="6"/>
    </row>
    <row r="18" spans="3:5" hidden="1" x14ac:dyDescent="0.2">
      <c r="C18" s="6"/>
      <c r="D18" s="7"/>
      <c r="E18" s="6"/>
    </row>
    <row r="19" spans="3:5" hidden="1" x14ac:dyDescent="0.2">
      <c r="C19" s="6"/>
      <c r="D19" s="7" t="s">
        <v>30</v>
      </c>
      <c r="E19" s="6"/>
    </row>
    <row r="20" spans="3:5" hidden="1" x14ac:dyDescent="0.2">
      <c r="C20" s="6"/>
      <c r="D20" s="7"/>
      <c r="E20" s="6"/>
    </row>
    <row r="21" spans="3:5" hidden="1" x14ac:dyDescent="0.2">
      <c r="C21" s="6"/>
      <c r="D21" s="7" t="s">
        <v>31</v>
      </c>
      <c r="E21" s="6"/>
    </row>
    <row r="22" spans="3:5" hidden="1" x14ac:dyDescent="0.2">
      <c r="C22" s="6"/>
      <c r="D22" s="7"/>
      <c r="E22" s="6"/>
    </row>
    <row r="23" spans="3:5" hidden="1" x14ac:dyDescent="0.2">
      <c r="C23" s="6"/>
      <c r="D23" s="7" t="s">
        <v>32</v>
      </c>
      <c r="E23" s="6"/>
    </row>
    <row r="24" spans="3:5" hidden="1" x14ac:dyDescent="0.2">
      <c r="C24" s="6"/>
      <c r="D24" s="7"/>
      <c r="E24" s="6"/>
    </row>
    <row r="25" spans="3:5" hidden="1" x14ac:dyDescent="0.2">
      <c r="C25" s="6"/>
      <c r="D25" s="7" t="s">
        <v>33</v>
      </c>
      <c r="E25" s="6"/>
    </row>
    <row r="26" spans="3:5" x14ac:dyDescent="0.2">
      <c r="C26" s="6"/>
      <c r="D26" s="7"/>
      <c r="E26" s="6"/>
    </row>
    <row r="27" spans="3:5" x14ac:dyDescent="0.2">
      <c r="C27" s="17"/>
      <c r="D27" s="17"/>
      <c r="E27" s="17"/>
    </row>
    <row r="28" spans="3:5" x14ac:dyDescent="0.2">
      <c r="E28" s="18" t="s">
        <v>12</v>
      </c>
    </row>
    <row r="47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E89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6"/>
      <c r="D6" s="5"/>
      <c r="E6" s="6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35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29" t="s">
        <v>27</v>
      </c>
      <c r="E12" s="6"/>
    </row>
    <row r="13" spans="3:5" x14ac:dyDescent="0.2">
      <c r="C13" s="6"/>
      <c r="D13" s="24" t="str">
        <f>IF(ProjektnaOrganizacijaGS=0,"...",ProjektnaOrganizacijaGS)</f>
        <v>...</v>
      </c>
      <c r="E13" s="11" t="str">
        <f>IF(D13="...","","P")</f>
        <v/>
      </c>
    </row>
    <row r="14" spans="3:5" x14ac:dyDescent="0.2">
      <c r="C14" s="6"/>
      <c r="D14" s="13" t="s">
        <v>7</v>
      </c>
      <c r="E14" s="6"/>
    </row>
    <row r="15" spans="3:5" x14ac:dyDescent="0.2">
      <c r="C15" s="6"/>
      <c r="D15" s="7"/>
      <c r="E15" s="6"/>
    </row>
    <row r="16" spans="3:5" x14ac:dyDescent="0.2">
      <c r="C16" s="6"/>
      <c r="D16" s="7"/>
      <c r="E16" s="6"/>
    </row>
    <row r="17" spans="3:5" x14ac:dyDescent="0.2">
      <c r="C17" s="6"/>
      <c r="D17" s="7"/>
      <c r="E17" s="6"/>
    </row>
    <row r="18" spans="3:5" x14ac:dyDescent="0.2">
      <c r="C18" s="6"/>
      <c r="D18" s="7"/>
      <c r="E18" s="6"/>
    </row>
    <row r="19" spans="3:5" x14ac:dyDescent="0.2">
      <c r="C19" s="6"/>
      <c r="D19" s="15" t="str">
        <f>IF(OdgovornoLiceGS=0,"...",OdgovornoLiceGS)</f>
        <v>...</v>
      </c>
      <c r="E19" s="11" t="str">
        <f>IF(D19="...","","P")</f>
        <v/>
      </c>
    </row>
    <row r="20" spans="3:5" x14ac:dyDescent="0.2">
      <c r="C20" s="6"/>
      <c r="D20" s="16" t="s">
        <v>8</v>
      </c>
      <c r="E20" s="6"/>
    </row>
    <row r="21" spans="3:5" x14ac:dyDescent="0.2">
      <c r="C21" s="6"/>
      <c r="D21" s="7"/>
      <c r="E21" s="6"/>
    </row>
    <row r="22" spans="3:5" x14ac:dyDescent="0.2">
      <c r="C22" s="6"/>
      <c r="D22" s="7"/>
      <c r="E22" s="6"/>
    </row>
    <row r="23" spans="3:5" x14ac:dyDescent="0.2">
      <c r="C23" s="6"/>
      <c r="D23" s="29" t="s">
        <v>28</v>
      </c>
      <c r="E23" s="6"/>
    </row>
    <row r="24" spans="3:5" ht="15" customHeight="1" x14ac:dyDescent="0.2">
      <c r="C24" s="6"/>
      <c r="D24" s="24" t="str">
        <f>IF(ProjektnaOrganizacijaA=0,"...",ProjektnaOrganizacijaA)</f>
        <v>...</v>
      </c>
      <c r="E24" s="11" t="str">
        <f>IF(D24="...","","P")</f>
        <v/>
      </c>
    </row>
    <row r="25" spans="3:5" x14ac:dyDescent="0.2">
      <c r="C25" s="6"/>
      <c r="D25" s="13" t="s">
        <v>7</v>
      </c>
      <c r="E25" s="6"/>
    </row>
    <row r="26" spans="3:5" x14ac:dyDescent="0.2">
      <c r="C26" s="6"/>
      <c r="D26" s="7"/>
      <c r="E26" s="6"/>
    </row>
    <row r="27" spans="3:5" x14ac:dyDescent="0.2">
      <c r="C27" s="6"/>
      <c r="D27" s="7"/>
      <c r="E27" s="6"/>
    </row>
    <row r="28" spans="3:5" x14ac:dyDescent="0.2">
      <c r="C28" s="6"/>
      <c r="D28" s="7"/>
      <c r="E28" s="6"/>
    </row>
    <row r="29" spans="3:5" x14ac:dyDescent="0.2">
      <c r="C29" s="6"/>
      <c r="D29" s="7"/>
      <c r="E29" s="6"/>
    </row>
    <row r="30" spans="3:5" x14ac:dyDescent="0.2">
      <c r="C30" s="6"/>
      <c r="D30" s="15" t="str">
        <f>IF(OdgovornoLiceA=0,"...",OdgovornoLiceA)</f>
        <v>...</v>
      </c>
      <c r="E30" s="11" t="str">
        <f>IF(D30="...","","P")</f>
        <v/>
      </c>
    </row>
    <row r="31" spans="3:5" x14ac:dyDescent="0.2">
      <c r="C31" s="6"/>
      <c r="D31" s="16" t="s">
        <v>8</v>
      </c>
      <c r="E31" s="6"/>
    </row>
    <row r="32" spans="3:5" x14ac:dyDescent="0.2">
      <c r="C32" s="6"/>
      <c r="D32" s="30"/>
      <c r="E32" s="6"/>
    </row>
    <row r="33" spans="3:5" hidden="1" x14ac:dyDescent="0.2">
      <c r="C33" s="6"/>
      <c r="D33" s="30"/>
      <c r="E33" s="6"/>
    </row>
    <row r="34" spans="3:5" hidden="1" x14ac:dyDescent="0.2">
      <c r="C34" s="6"/>
      <c r="D34" s="29" t="s">
        <v>29</v>
      </c>
      <c r="E34" s="6"/>
    </row>
    <row r="35" spans="3:5" ht="15" hidden="1" customHeight="1" x14ac:dyDescent="0.2">
      <c r="C35" s="6"/>
      <c r="D35" s="24" t="str">
        <f>IF(ProjektnaOrganizacijaK=0,"...",ProjektnaOrganizacijaK)</f>
        <v>...</v>
      </c>
      <c r="E35" s="11" t="str">
        <f>IF(D35="...","","P")</f>
        <v/>
      </c>
    </row>
    <row r="36" spans="3:5" hidden="1" x14ac:dyDescent="0.2">
      <c r="C36" s="6"/>
      <c r="D36" s="13" t="s">
        <v>7</v>
      </c>
      <c r="E36" s="6"/>
    </row>
    <row r="37" spans="3:5" hidden="1" x14ac:dyDescent="0.2">
      <c r="C37" s="6"/>
      <c r="D37" s="7"/>
      <c r="E37" s="6"/>
    </row>
    <row r="38" spans="3:5" hidden="1" x14ac:dyDescent="0.2">
      <c r="C38" s="6"/>
      <c r="D38" s="7"/>
      <c r="E38" s="6"/>
    </row>
    <row r="39" spans="3:5" hidden="1" x14ac:dyDescent="0.2">
      <c r="C39" s="6"/>
      <c r="D39" s="7"/>
      <c r="E39" s="6"/>
    </row>
    <row r="40" spans="3:5" hidden="1" x14ac:dyDescent="0.2">
      <c r="C40" s="6"/>
      <c r="D40" s="7"/>
      <c r="E40" s="6"/>
    </row>
    <row r="41" spans="3:5" hidden="1" x14ac:dyDescent="0.2">
      <c r="C41" s="6"/>
      <c r="D41" s="15" t="str">
        <f>IF(OdgovornoLiceK=0,"...",OdgovornoLiceK)</f>
        <v>...</v>
      </c>
      <c r="E41" s="11" t="str">
        <f>IF(D41="...","","P")</f>
        <v/>
      </c>
    </row>
    <row r="42" spans="3:5" hidden="1" x14ac:dyDescent="0.2">
      <c r="C42" s="6"/>
      <c r="D42" s="16" t="s">
        <v>8</v>
      </c>
      <c r="E42" s="6"/>
    </row>
    <row r="43" spans="3:5" hidden="1" x14ac:dyDescent="0.2">
      <c r="C43" s="6"/>
      <c r="D43" s="30"/>
      <c r="E43" s="6"/>
    </row>
    <row r="44" spans="3:5" hidden="1" x14ac:dyDescent="0.2">
      <c r="C44" s="6"/>
      <c r="D44" s="30"/>
      <c r="E44" s="6"/>
    </row>
    <row r="45" spans="3:5" hidden="1" x14ac:dyDescent="0.2">
      <c r="C45" s="6"/>
      <c r="D45" s="29" t="s">
        <v>30</v>
      </c>
      <c r="E45" s="6"/>
    </row>
    <row r="46" spans="3:5" ht="15" hidden="1" customHeight="1" x14ac:dyDescent="0.2">
      <c r="C46" s="6"/>
      <c r="D46" s="24" t="str">
        <f>IF(ProjektnaOrganizacijaH=0,"...",ProjektnaOrganizacijaH)</f>
        <v>...</v>
      </c>
      <c r="E46" s="11" t="str">
        <f>IF(D46="...","","P")</f>
        <v/>
      </c>
    </row>
    <row r="47" spans="3:5" hidden="1" x14ac:dyDescent="0.2">
      <c r="C47" s="6"/>
      <c r="D47" s="13" t="s">
        <v>7</v>
      </c>
      <c r="E47" s="6"/>
    </row>
    <row r="48" spans="3:5" hidden="1" x14ac:dyDescent="0.2">
      <c r="C48" s="6"/>
      <c r="D48" s="7"/>
      <c r="E48" s="6"/>
    </row>
    <row r="49" spans="3:5" hidden="1" x14ac:dyDescent="0.2">
      <c r="C49" s="6"/>
      <c r="D49" s="7"/>
      <c r="E49" s="6"/>
    </row>
    <row r="50" spans="3:5" hidden="1" x14ac:dyDescent="0.2">
      <c r="C50" s="6"/>
      <c r="D50" s="7"/>
      <c r="E50" s="6"/>
    </row>
    <row r="51" spans="3:5" hidden="1" x14ac:dyDescent="0.2">
      <c r="C51" s="6"/>
      <c r="D51" s="7"/>
      <c r="E51" s="6"/>
    </row>
    <row r="52" spans="3:5" hidden="1" x14ac:dyDescent="0.2">
      <c r="C52" s="6"/>
      <c r="D52" s="15" t="str">
        <f>IF(OdgovornoLiceH=0,"...",OdgovornoLiceH)</f>
        <v>...</v>
      </c>
      <c r="E52" s="11" t="str">
        <f>IF(D52="...","","P")</f>
        <v/>
      </c>
    </row>
    <row r="53" spans="3:5" hidden="1" x14ac:dyDescent="0.2">
      <c r="C53" s="6"/>
      <c r="D53" s="16" t="s">
        <v>8</v>
      </c>
      <c r="E53" s="6"/>
    </row>
    <row r="54" spans="3:5" hidden="1" x14ac:dyDescent="0.2">
      <c r="C54" s="6"/>
      <c r="D54" s="30"/>
      <c r="E54" s="6"/>
    </row>
    <row r="55" spans="3:5" hidden="1" x14ac:dyDescent="0.2">
      <c r="C55" s="6"/>
      <c r="D55" s="30"/>
      <c r="E55" s="6"/>
    </row>
    <row r="56" spans="3:5" hidden="1" x14ac:dyDescent="0.2">
      <c r="C56" s="6"/>
      <c r="D56" s="29" t="s">
        <v>31</v>
      </c>
      <c r="E56" s="6"/>
    </row>
    <row r="57" spans="3:5" ht="15" hidden="1" customHeight="1" x14ac:dyDescent="0.2">
      <c r="C57" s="6"/>
      <c r="D57" s="24" t="str">
        <f>IF(ProjektnaOrganizacijaE=0,"...",ProjektnaOrganizacijaE)</f>
        <v>...</v>
      </c>
      <c r="E57" s="11" t="str">
        <f>IF(D57="...","","P")</f>
        <v/>
      </c>
    </row>
    <row r="58" spans="3:5" hidden="1" x14ac:dyDescent="0.2">
      <c r="C58" s="6"/>
      <c r="D58" s="13" t="s">
        <v>7</v>
      </c>
      <c r="E58" s="6"/>
    </row>
    <row r="59" spans="3:5" hidden="1" x14ac:dyDescent="0.2">
      <c r="C59" s="6"/>
      <c r="D59" s="7"/>
      <c r="E59" s="6"/>
    </row>
    <row r="60" spans="3:5" hidden="1" x14ac:dyDescent="0.2">
      <c r="C60" s="6"/>
      <c r="D60" s="7"/>
      <c r="E60" s="6"/>
    </row>
    <row r="61" spans="3:5" hidden="1" x14ac:dyDescent="0.2">
      <c r="C61" s="6"/>
      <c r="D61" s="7"/>
      <c r="E61" s="6"/>
    </row>
    <row r="62" spans="3:5" hidden="1" x14ac:dyDescent="0.2">
      <c r="C62" s="6"/>
      <c r="D62" s="7"/>
      <c r="E62" s="6"/>
    </row>
    <row r="63" spans="3:5" hidden="1" x14ac:dyDescent="0.2">
      <c r="C63" s="6"/>
      <c r="D63" s="15" t="str">
        <f>IF(OdgovornoLiceE=0,"...",OdgovornoLiceE)</f>
        <v>...</v>
      </c>
      <c r="E63" s="11" t="str">
        <f>IF(D63="...","","P")</f>
        <v/>
      </c>
    </row>
    <row r="64" spans="3:5" hidden="1" x14ac:dyDescent="0.2">
      <c r="C64" s="6"/>
      <c r="D64" s="16" t="s">
        <v>8</v>
      </c>
      <c r="E64" s="6"/>
    </row>
    <row r="65" spans="3:5" hidden="1" x14ac:dyDescent="0.2">
      <c r="C65" s="6"/>
      <c r="D65" s="30"/>
      <c r="E65" s="6"/>
    </row>
    <row r="66" spans="3:5" hidden="1" x14ac:dyDescent="0.2">
      <c r="C66" s="6"/>
      <c r="D66" s="30"/>
      <c r="E66" s="6"/>
    </row>
    <row r="67" spans="3:5" hidden="1" x14ac:dyDescent="0.2">
      <c r="C67" s="6"/>
      <c r="D67" s="29" t="s">
        <v>32</v>
      </c>
      <c r="E67" s="6"/>
    </row>
    <row r="68" spans="3:5" ht="15" hidden="1" customHeight="1" x14ac:dyDescent="0.2">
      <c r="C68" s="6"/>
      <c r="D68" s="24" t="str">
        <f>IF(ProjektnaOrganizacijaTS=0,"...",ProjektnaOrganizacijaTS)</f>
        <v>...</v>
      </c>
      <c r="E68" s="11" t="str">
        <f>IF(D68="...","","P")</f>
        <v/>
      </c>
    </row>
    <row r="69" spans="3:5" hidden="1" x14ac:dyDescent="0.2">
      <c r="C69" s="6"/>
      <c r="D69" s="13" t="s">
        <v>7</v>
      </c>
      <c r="E69" s="6"/>
    </row>
    <row r="70" spans="3:5" hidden="1" x14ac:dyDescent="0.2">
      <c r="C70" s="6"/>
      <c r="D70" s="7"/>
      <c r="E70" s="6"/>
    </row>
    <row r="71" spans="3:5" hidden="1" x14ac:dyDescent="0.2">
      <c r="C71" s="6"/>
      <c r="D71" s="7"/>
      <c r="E71" s="6"/>
    </row>
    <row r="72" spans="3:5" hidden="1" x14ac:dyDescent="0.2">
      <c r="C72" s="6"/>
      <c r="D72" s="7"/>
      <c r="E72" s="6"/>
    </row>
    <row r="73" spans="3:5" hidden="1" x14ac:dyDescent="0.2">
      <c r="C73" s="6"/>
      <c r="D73" s="7"/>
      <c r="E73" s="6"/>
    </row>
    <row r="74" spans="3:5" hidden="1" x14ac:dyDescent="0.2">
      <c r="C74" s="6"/>
      <c r="D74" s="15" t="str">
        <f>IF(OdgovornoLiceTS=0,"...",OdgovornoLiceTS)</f>
        <v>...</v>
      </c>
      <c r="E74" s="11" t="str">
        <f>IF(D74="...","","P")</f>
        <v/>
      </c>
    </row>
    <row r="75" spans="3:5" hidden="1" x14ac:dyDescent="0.2">
      <c r="C75" s="6"/>
      <c r="D75" s="16" t="s">
        <v>8</v>
      </c>
      <c r="E75" s="6"/>
    </row>
    <row r="76" spans="3:5" hidden="1" x14ac:dyDescent="0.2">
      <c r="C76" s="6"/>
      <c r="D76" s="30"/>
      <c r="E76" s="6"/>
    </row>
    <row r="77" spans="3:5" hidden="1" x14ac:dyDescent="0.2">
      <c r="C77" s="6"/>
      <c r="D77" s="30"/>
      <c r="E77" s="6"/>
    </row>
    <row r="78" spans="3:5" hidden="1" x14ac:dyDescent="0.2">
      <c r="C78" s="6"/>
      <c r="D78" s="29" t="s">
        <v>37</v>
      </c>
      <c r="E78" s="6"/>
    </row>
    <row r="79" spans="3:5" ht="15" hidden="1" customHeight="1" x14ac:dyDescent="0.2">
      <c r="C79" s="6"/>
      <c r="D79" s="24" t="str">
        <f>IF(ProjektnaOrganizacijaEEE=0,"...",ProjektnaOrganizacijaEEE)</f>
        <v>...</v>
      </c>
      <c r="E79" s="11" t="str">
        <f>IF(D79="...","","P")</f>
        <v/>
      </c>
    </row>
    <row r="80" spans="3:5" hidden="1" x14ac:dyDescent="0.2">
      <c r="C80" s="6"/>
      <c r="D80" s="13" t="s">
        <v>7</v>
      </c>
      <c r="E80" s="6"/>
    </row>
    <row r="81" spans="3:5" hidden="1" x14ac:dyDescent="0.2">
      <c r="C81" s="6"/>
      <c r="D81" s="7"/>
      <c r="E81" s="6"/>
    </row>
    <row r="82" spans="3:5" hidden="1" x14ac:dyDescent="0.2">
      <c r="C82" s="6"/>
      <c r="D82" s="7"/>
      <c r="E82" s="6"/>
    </row>
    <row r="83" spans="3:5" hidden="1" x14ac:dyDescent="0.2">
      <c r="C83" s="6"/>
      <c r="D83" s="7"/>
      <c r="E83" s="6"/>
    </row>
    <row r="84" spans="3:5" hidden="1" x14ac:dyDescent="0.2">
      <c r="C84" s="6"/>
      <c r="D84" s="7"/>
      <c r="E84" s="6"/>
    </row>
    <row r="85" spans="3:5" hidden="1" x14ac:dyDescent="0.2">
      <c r="C85" s="6"/>
      <c r="D85" s="15" t="str">
        <f>IF(OdgovornoLiceEEE=0,"...",OdgovornoLiceEEE)</f>
        <v>...</v>
      </c>
      <c r="E85" s="11" t="str">
        <f>IF(D85="...","","P")</f>
        <v/>
      </c>
    </row>
    <row r="86" spans="3:5" hidden="1" x14ac:dyDescent="0.2">
      <c r="C86" s="6"/>
      <c r="D86" s="16" t="s">
        <v>36</v>
      </c>
      <c r="E86" s="6"/>
    </row>
    <row r="87" spans="3:5" hidden="1" x14ac:dyDescent="0.2">
      <c r="C87" s="6"/>
      <c r="D87" s="7"/>
      <c r="E87" s="6"/>
    </row>
    <row r="88" spans="3:5" x14ac:dyDescent="0.2">
      <c r="C88" s="17"/>
      <c r="D88" s="17"/>
      <c r="E88" s="17"/>
    </row>
    <row r="89" spans="3:5" x14ac:dyDescent="0.2">
      <c r="E89" s="18" t="s">
        <v>12</v>
      </c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E92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6"/>
      <c r="D6" s="5"/>
      <c r="E6" s="6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15.75" x14ac:dyDescent="0.25">
      <c r="C9" s="6"/>
      <c r="D9" s="8" t="s">
        <v>38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29" t="s">
        <v>39</v>
      </c>
      <c r="E12" s="6"/>
    </row>
    <row r="13" spans="3:5" x14ac:dyDescent="0.2">
      <c r="C13" s="6"/>
      <c r="D13" s="24" t="str">
        <f>IF(TipObjekta=0,"...",TipObjekta)</f>
        <v>...</v>
      </c>
      <c r="E13" s="11" t="str">
        <f>IF(D13="...","","P")</f>
        <v/>
      </c>
    </row>
    <row r="14" spans="3:5" x14ac:dyDescent="0.2">
      <c r="C14" s="6"/>
      <c r="D14" s="13" t="s">
        <v>40</v>
      </c>
      <c r="E14" s="6"/>
    </row>
    <row r="15" spans="3:5" x14ac:dyDescent="0.2">
      <c r="C15" s="6"/>
      <c r="D15" s="15" t="str">
        <f>IF(KategorijaObjekta=0,"...",KategorijaObjekta)</f>
        <v>...</v>
      </c>
      <c r="E15" s="11" t="str">
        <f>IF(D15="...","","P")</f>
        <v/>
      </c>
    </row>
    <row r="16" spans="3:5" x14ac:dyDescent="0.2">
      <c r="C16" s="6"/>
      <c r="D16" s="13" t="s">
        <v>41</v>
      </c>
      <c r="E16" s="6"/>
    </row>
    <row r="17" spans="3:5" x14ac:dyDescent="0.2">
      <c r="C17" s="6"/>
      <c r="D17" s="15" t="str">
        <f>IF(UcesceKlasifikacionaOznaka=0,"...",UcesceKlasifikacionaOznaka)</f>
        <v>...</v>
      </c>
      <c r="E17" s="11" t="str">
        <f>IF(D17="...","","P")</f>
        <v/>
      </c>
    </row>
    <row r="18" spans="3:5" x14ac:dyDescent="0.2">
      <c r="C18" s="6"/>
      <c r="D18" s="13" t="s">
        <v>42</v>
      </c>
      <c r="E18" s="6"/>
    </row>
    <row r="19" spans="3:5" x14ac:dyDescent="0.2">
      <c r="C19" s="6"/>
      <c r="D19" s="15" t="str">
        <f>IF(NazivUrbanistickogPlana=0,"...",NazivUrbanistickogPlana)</f>
        <v>...</v>
      </c>
      <c r="E19" s="11" t="str">
        <f>IF(D19="...","","P")</f>
        <v/>
      </c>
    </row>
    <row r="20" spans="3:5" x14ac:dyDescent="0.2">
      <c r="C20" s="6"/>
      <c r="D20" s="13" t="s">
        <v>43</v>
      </c>
      <c r="E20" s="6"/>
    </row>
    <row r="21" spans="3:5" x14ac:dyDescent="0.2">
      <c r="C21" s="6"/>
      <c r="D21" s="15" t="str">
        <f>IF(Parcele=0,"...",Parcele)</f>
        <v>...</v>
      </c>
      <c r="E21" s="11" t="str">
        <f>IF(D21="...","","P")</f>
        <v/>
      </c>
    </row>
    <row r="22" spans="3:5" x14ac:dyDescent="0.2">
      <c r="C22" s="6"/>
      <c r="D22" s="31" t="s">
        <v>44</v>
      </c>
      <c r="E22" s="6"/>
    </row>
    <row r="23" spans="3:5" x14ac:dyDescent="0.2">
      <c r="C23" s="6"/>
      <c r="D23" s="7"/>
      <c r="E23" s="6"/>
    </row>
    <row r="24" spans="3:5" x14ac:dyDescent="0.2">
      <c r="C24" s="6"/>
      <c r="D24" s="7"/>
      <c r="E24" s="6"/>
    </row>
    <row r="25" spans="3:5" x14ac:dyDescent="0.2">
      <c r="C25" s="6"/>
      <c r="D25" s="7"/>
      <c r="E25" s="6"/>
    </row>
    <row r="26" spans="3:5" x14ac:dyDescent="0.2">
      <c r="C26" s="6"/>
      <c r="D26" s="29" t="s">
        <v>45</v>
      </c>
      <c r="E26" s="6"/>
    </row>
    <row r="27" spans="3:5" x14ac:dyDescent="0.2">
      <c r="C27" s="6"/>
      <c r="D27" s="24" t="str">
        <f>IF(PrikljucakNaVodovod=0,"...",PrikljucakNaVodovod)</f>
        <v>...</v>
      </c>
      <c r="E27" s="11" t="str">
        <f>IF(D27="...","","P")</f>
        <v/>
      </c>
    </row>
    <row r="28" spans="3:5" x14ac:dyDescent="0.2">
      <c r="C28" s="6"/>
      <c r="D28" s="13" t="s">
        <v>46</v>
      </c>
      <c r="E28" s="6"/>
    </row>
    <row r="29" spans="3:5" x14ac:dyDescent="0.2">
      <c r="C29" s="6"/>
      <c r="D29" s="15" t="str">
        <f>IF(PrikljucakNaKanalizaciju=0,"...",PrikljucakNaKanalizaciju)</f>
        <v>...</v>
      </c>
      <c r="E29" s="11" t="str">
        <f>IF(D29="...","","P")</f>
        <v/>
      </c>
    </row>
    <row r="30" spans="3:5" x14ac:dyDescent="0.2">
      <c r="C30" s="6"/>
      <c r="D30" s="13" t="s">
        <v>47</v>
      </c>
      <c r="E30" s="6"/>
    </row>
    <row r="31" spans="3:5" x14ac:dyDescent="0.2">
      <c r="C31" s="6"/>
      <c r="D31" s="15" t="str">
        <f>IF(PrikljucakNaElektro=0,"...",PrikljucakNaElektro)</f>
        <v>...</v>
      </c>
      <c r="E31" s="11" t="str">
        <f>IF(D31="...","","P")</f>
        <v/>
      </c>
    </row>
    <row r="32" spans="3:5" x14ac:dyDescent="0.2">
      <c r="C32" s="6"/>
      <c r="D32" s="16" t="s">
        <v>48</v>
      </c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45" t="str">
        <f>VLOOKUP(VrstaTehnickeDokumentacije,tblVrstaTehnickeDokumentacije,13,FALSE)</f>
        <v>INFORMACIJE O LOKACIJI</v>
      </c>
      <c r="E36" s="11" t="str">
        <f>IF(D36="...","","P")</f>
        <v>P</v>
      </c>
    </row>
    <row r="37" spans="3:5" x14ac:dyDescent="0.2">
      <c r="C37" s="6"/>
      <c r="D37" s="46" t="str">
        <f>IF(VLOOKUP(VrstaTehnickeDokumentacije,tblVrstaTehnickeDokumentacije,14,FALSE)=0,"...",VLOOKUP(VrstaTehnickeDokumentacije,tblVrstaTehnickeDokumentacije,14,FALSE))</f>
        <v>informacije...</v>
      </c>
      <c r="E37" s="11" t="str">
        <f>IF(D37="...","","P")</f>
        <v>P</v>
      </c>
    </row>
    <row r="38" spans="3:5" x14ac:dyDescent="0.2">
      <c r="C38" s="6"/>
      <c r="D38" s="7"/>
      <c r="E38" s="6"/>
    </row>
    <row r="39" spans="3:5" x14ac:dyDescent="0.2">
      <c r="C39" s="6"/>
      <c r="D39" s="7"/>
      <c r="E39" s="6"/>
    </row>
    <row r="40" spans="3:5" x14ac:dyDescent="0.2">
      <c r="C40" s="6"/>
      <c r="D40" s="7"/>
      <c r="E40" s="6"/>
    </row>
    <row r="41" spans="3:5" x14ac:dyDescent="0.2">
      <c r="C41" s="6"/>
      <c r="D41" s="29" t="s">
        <v>50</v>
      </c>
      <c r="E41" s="6"/>
    </row>
    <row r="42" spans="3:5" x14ac:dyDescent="0.2">
      <c r="C42" s="6"/>
      <c r="D42" s="24" t="str">
        <f>IF(UkupnaPovrsinaParcele=0,"...",UkupnaPovrsinaParcele)</f>
        <v>...</v>
      </c>
      <c r="E42" s="11" t="str">
        <f>IF(D42="...","","P")</f>
        <v/>
      </c>
    </row>
    <row r="43" spans="3:5" x14ac:dyDescent="0.2">
      <c r="C43" s="6"/>
      <c r="D43" s="13" t="s">
        <v>51</v>
      </c>
      <c r="E43" s="6"/>
    </row>
    <row r="44" spans="3:5" x14ac:dyDescent="0.2">
      <c r="C44" s="6"/>
      <c r="D44" s="15" t="str">
        <f>IF(UkupnaBrgpNadzemno=0,"...",UkupnaBrgpNadzemno)</f>
        <v>...</v>
      </c>
      <c r="E44" s="11" t="str">
        <f>IF(D44="...","","P")</f>
        <v/>
      </c>
    </row>
    <row r="45" spans="3:5" x14ac:dyDescent="0.2">
      <c r="C45" s="6"/>
      <c r="D45" s="13" t="s">
        <v>52</v>
      </c>
      <c r="E45" s="6"/>
    </row>
    <row r="46" spans="3:5" x14ac:dyDescent="0.2">
      <c r="C46" s="6"/>
      <c r="D46" s="15" t="str">
        <f>IF(UkupnaBrutoPovrsina=0,"...",UkupnaBrutoPovrsina)</f>
        <v>...</v>
      </c>
      <c r="E46" s="11" t="str">
        <f>IF(D46="...","","P")</f>
        <v/>
      </c>
    </row>
    <row r="47" spans="3:5" x14ac:dyDescent="0.2">
      <c r="C47" s="6"/>
      <c r="D47" s="13" t="s">
        <v>53</v>
      </c>
      <c r="E47" s="6"/>
    </row>
    <row r="48" spans="3:5" x14ac:dyDescent="0.2">
      <c r="C48" s="6"/>
      <c r="D48" s="15" t="str">
        <f>IF(UkupnaNetoPovrsina=0,"...",UkupnaNetoPovrsina)</f>
        <v>...</v>
      </c>
      <c r="E48" s="11" t="str">
        <f>IF(D48="...","","P")</f>
        <v/>
      </c>
    </row>
    <row r="49" spans="3:5" x14ac:dyDescent="0.2">
      <c r="C49" s="6"/>
      <c r="D49" s="13" t="s">
        <v>54</v>
      </c>
      <c r="E49" s="6"/>
    </row>
    <row r="50" spans="3:5" x14ac:dyDescent="0.2">
      <c r="C50" s="6"/>
      <c r="D50" s="15" t="str">
        <f>IF(PovrsinaPr=0,"...",PovrsinaPr)</f>
        <v>...</v>
      </c>
      <c r="E50" s="11" t="str">
        <f>IF(D50="...","","P")</f>
        <v/>
      </c>
    </row>
    <row r="51" spans="3:5" x14ac:dyDescent="0.2">
      <c r="C51" s="6"/>
      <c r="D51" s="13" t="s">
        <v>55</v>
      </c>
      <c r="E51" s="6"/>
    </row>
    <row r="52" spans="3:5" x14ac:dyDescent="0.2">
      <c r="C52" s="6"/>
      <c r="D52" s="15" t="str">
        <f>IF(Zauzetost=0,"...",Zauzetost)</f>
        <v>...</v>
      </c>
      <c r="E52" s="11" t="str">
        <f>IF(D52="...","","P")</f>
        <v/>
      </c>
    </row>
    <row r="53" spans="3:5" x14ac:dyDescent="0.2">
      <c r="C53" s="6"/>
      <c r="D53" s="13" t="s">
        <v>56</v>
      </c>
      <c r="E53" s="6"/>
    </row>
    <row r="54" spans="3:5" x14ac:dyDescent="0.2">
      <c r="C54" s="6"/>
      <c r="D54" s="15" t="str">
        <f>IF(Spratnost=0,"...",Spratnost)</f>
        <v>...</v>
      </c>
      <c r="E54" s="11" t="str">
        <f>IF(D54="...","","P")</f>
        <v/>
      </c>
    </row>
    <row r="55" spans="3:5" x14ac:dyDescent="0.2">
      <c r="C55" s="6"/>
      <c r="D55" s="13" t="s">
        <v>57</v>
      </c>
      <c r="E55" s="6"/>
    </row>
    <row r="56" spans="3:5" x14ac:dyDescent="0.2">
      <c r="C56" s="6"/>
      <c r="D56" s="15" t="str">
        <f>IF(VisinaVenca=0,"...",VisinaVenca)</f>
        <v>...</v>
      </c>
      <c r="E56" s="11" t="str">
        <f>IF(D56="...","","P")</f>
        <v/>
      </c>
    </row>
    <row r="57" spans="3:5" x14ac:dyDescent="0.2">
      <c r="C57" s="6"/>
      <c r="D57" s="13" t="s">
        <v>58</v>
      </c>
      <c r="E57" s="6"/>
    </row>
    <row r="58" spans="3:5" x14ac:dyDescent="0.2">
      <c r="C58" s="6"/>
      <c r="D58" s="15" t="str">
        <f>IF(VisinaSlemena=0,"...",VisinaSlemena)</f>
        <v>...</v>
      </c>
      <c r="E58" s="11" t="str">
        <f>IF(D58="...","","P")</f>
        <v/>
      </c>
    </row>
    <row r="59" spans="3:5" x14ac:dyDescent="0.2">
      <c r="C59" s="6"/>
      <c r="D59" s="13" t="s">
        <v>59</v>
      </c>
      <c r="E59" s="6"/>
    </row>
    <row r="60" spans="3:5" x14ac:dyDescent="0.2">
      <c r="C60" s="6"/>
      <c r="D60" s="15" t="str">
        <f>IF(SpratnaVisina=0,"...",SpratnaVisina)</f>
        <v>...</v>
      </c>
      <c r="E60" s="11" t="str">
        <f>IF(D60="...","","P")</f>
        <v/>
      </c>
    </row>
    <row r="61" spans="3:5" x14ac:dyDescent="0.2">
      <c r="C61" s="6"/>
      <c r="D61" s="13" t="s">
        <v>60</v>
      </c>
      <c r="E61" s="6"/>
    </row>
    <row r="62" spans="3:5" x14ac:dyDescent="0.2">
      <c r="C62" s="6"/>
      <c r="D62" s="15" t="str">
        <f>IF(BrojFunkcionalnihJedinica=0,"...",BrojFunkcionalnihJedinica)</f>
        <v>...</v>
      </c>
      <c r="E62" s="11" t="str">
        <f>IF(D62="...","","P")</f>
        <v/>
      </c>
    </row>
    <row r="63" spans="3:5" x14ac:dyDescent="0.2">
      <c r="C63" s="6"/>
      <c r="D63" s="13" t="s">
        <v>61</v>
      </c>
      <c r="E63" s="6"/>
    </row>
    <row r="64" spans="3:5" x14ac:dyDescent="0.2">
      <c r="C64" s="6"/>
      <c r="D64" s="15" t="str">
        <f>IF(BrojParkingMesta=0,"...",BrojParkingMesta)</f>
        <v>...</v>
      </c>
      <c r="E64" s="11" t="str">
        <f>IF(D64="...","","P")</f>
        <v/>
      </c>
    </row>
    <row r="65" spans="3:5" x14ac:dyDescent="0.2">
      <c r="C65" s="6"/>
      <c r="D65" s="16" t="s">
        <v>62</v>
      </c>
      <c r="E65" s="6"/>
    </row>
    <row r="66" spans="3:5" x14ac:dyDescent="0.2">
      <c r="C66" s="6"/>
      <c r="D66" s="7"/>
      <c r="E66" s="6"/>
    </row>
    <row r="67" spans="3:5" x14ac:dyDescent="0.2">
      <c r="C67" s="6"/>
      <c r="D67" s="7"/>
      <c r="E67" s="6"/>
    </row>
    <row r="68" spans="3:5" x14ac:dyDescent="0.2">
      <c r="C68" s="6"/>
      <c r="D68" s="7"/>
      <c r="E68" s="6"/>
    </row>
    <row r="69" spans="3:5" x14ac:dyDescent="0.2">
      <c r="C69" s="6"/>
      <c r="D69" s="29" t="s">
        <v>63</v>
      </c>
      <c r="E69" s="6"/>
    </row>
    <row r="70" spans="3:5" x14ac:dyDescent="0.2">
      <c r="C70" s="6"/>
      <c r="D70" s="24" t="str">
        <f>IF(MaterijalizacijaFasade=0,"...",MaterijalizacijaFasade)</f>
        <v>...</v>
      </c>
      <c r="E70" s="11" t="str">
        <f>IF(D70="...","","P")</f>
        <v/>
      </c>
    </row>
    <row r="71" spans="3:5" x14ac:dyDescent="0.2">
      <c r="C71" s="6"/>
      <c r="D71" s="13" t="s">
        <v>64</v>
      </c>
      <c r="E71" s="6"/>
    </row>
    <row r="72" spans="3:5" x14ac:dyDescent="0.2">
      <c r="C72" s="6"/>
      <c r="D72" s="15" t="str">
        <f>IF(OrjentacijaSlemena=0,"...",OrjentacijaSlemena)</f>
        <v>...</v>
      </c>
      <c r="E72" s="11" t="str">
        <f>IF(D72="...","","P")</f>
        <v/>
      </c>
    </row>
    <row r="73" spans="3:5" x14ac:dyDescent="0.2">
      <c r="C73" s="6"/>
      <c r="D73" s="13" t="s">
        <v>65</v>
      </c>
      <c r="E73" s="6"/>
    </row>
    <row r="74" spans="3:5" x14ac:dyDescent="0.2">
      <c r="C74" s="6"/>
      <c r="D74" s="15" t="str">
        <f>IF(NagibKrova=0,"...",NagibKrova)</f>
        <v>...</v>
      </c>
      <c r="E74" s="11" t="str">
        <f>IF(D74="...","","P")</f>
        <v/>
      </c>
    </row>
    <row r="75" spans="3:5" x14ac:dyDescent="0.2">
      <c r="C75" s="6"/>
      <c r="D75" s="13" t="s">
        <v>66</v>
      </c>
      <c r="E75" s="6"/>
    </row>
    <row r="76" spans="3:5" x14ac:dyDescent="0.2">
      <c r="C76" s="6"/>
      <c r="D76" s="15" t="str">
        <f>IF(MaterijalizacijaKrova=0,"...",MaterijalizacijaKrova)</f>
        <v>...</v>
      </c>
      <c r="E76" s="11" t="str">
        <f>IF(D76="...","","P")</f>
        <v/>
      </c>
    </row>
    <row r="77" spans="3:5" x14ac:dyDescent="0.2">
      <c r="C77" s="6"/>
      <c r="D77" s="16" t="s">
        <v>67</v>
      </c>
      <c r="E77" s="6"/>
    </row>
    <row r="78" spans="3:5" x14ac:dyDescent="0.2">
      <c r="C78" s="6"/>
      <c r="D78" s="7"/>
      <c r="E78" s="6"/>
    </row>
    <row r="79" spans="3:5" x14ac:dyDescent="0.2">
      <c r="C79" s="6"/>
      <c r="D79" s="7"/>
      <c r="E79" s="6"/>
    </row>
    <row r="80" spans="3:5" x14ac:dyDescent="0.2">
      <c r="C80" s="6"/>
      <c r="D80" s="7"/>
      <c r="E80" s="6"/>
    </row>
    <row r="81" spans="3:5" x14ac:dyDescent="0.2">
      <c r="C81" s="6"/>
      <c r="D81" s="29" t="s">
        <v>68</v>
      </c>
      <c r="E81" s="6"/>
    </row>
    <row r="82" spans="3:5" x14ac:dyDescent="0.2">
      <c r="C82" s="6"/>
      <c r="D82" s="32" t="str">
        <f>IF(ProcenatZelenihPovrsina=0,"...",ProcenatZelenihPovrsina)</f>
        <v>...</v>
      </c>
      <c r="E82" s="11" t="str">
        <f>IF(D82="...","","P")</f>
        <v/>
      </c>
    </row>
    <row r="83" spans="3:5" x14ac:dyDescent="0.2">
      <c r="C83" s="6"/>
      <c r="D83" s="13" t="s">
        <v>69</v>
      </c>
      <c r="E83" s="6"/>
    </row>
    <row r="84" spans="3:5" x14ac:dyDescent="0.2">
      <c r="C84" s="6"/>
      <c r="D84" s="33" t="str">
        <f>IF(IndeksZauzetosti=0,"...",IndeksZauzetosti)</f>
        <v>...</v>
      </c>
      <c r="E84" s="11" t="str">
        <f>IF(D84="...","","P")</f>
        <v/>
      </c>
    </row>
    <row r="85" spans="3:5" x14ac:dyDescent="0.2">
      <c r="C85" s="6"/>
      <c r="D85" s="30" t="s">
        <v>70</v>
      </c>
      <c r="E85" s="6"/>
    </row>
    <row r="86" spans="3:5" x14ac:dyDescent="0.2">
      <c r="C86" s="6"/>
      <c r="D86" s="33" t="str">
        <f>IF(IndeksIzgradjenosti=0,"...",IndeksIzgradjenosti)</f>
        <v>...</v>
      </c>
      <c r="E86" s="11" t="str">
        <f>IF(D86="...","","P")</f>
        <v/>
      </c>
    </row>
    <row r="87" spans="3:5" x14ac:dyDescent="0.2">
      <c r="C87" s="6"/>
      <c r="D87" s="13" t="s">
        <v>71</v>
      </c>
      <c r="E87" s="6"/>
    </row>
    <row r="88" spans="3:5" x14ac:dyDescent="0.2">
      <c r="C88" s="6"/>
      <c r="D88" s="34" t="str">
        <f>IF(PredracunskaVrednost=0,"...",PredracunskaVrednost)</f>
        <v>...</v>
      </c>
      <c r="E88" s="11" t="str">
        <f>IF(D88="...","","P")</f>
        <v/>
      </c>
    </row>
    <row r="89" spans="3:5" x14ac:dyDescent="0.2">
      <c r="C89" s="6"/>
      <c r="D89" s="16" t="s">
        <v>72</v>
      </c>
      <c r="E89" s="6"/>
    </row>
    <row r="90" spans="3:5" x14ac:dyDescent="0.2">
      <c r="C90" s="6"/>
      <c r="D90" s="7"/>
      <c r="E90" s="6"/>
    </row>
    <row r="91" spans="3:5" x14ac:dyDescent="0.2">
      <c r="C91" s="17"/>
      <c r="D91" s="17"/>
      <c r="E91" s="17"/>
    </row>
    <row r="92" spans="3:5" x14ac:dyDescent="0.2">
      <c r="E92" s="18" t="s">
        <v>12</v>
      </c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3" max="16383" man="1"/>
    <brk id="33" max="16383" man="1"/>
    <brk id="38" max="16383" man="1"/>
    <brk id="66" max="16383" man="1"/>
    <brk id="78" max="16383" man="1"/>
  </rowBreaks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E108"/>
  <sheetViews>
    <sheetView showGridLines="0" workbookViewId="0">
      <selection activeCell="A3" sqref="A3"/>
    </sheetView>
  </sheetViews>
  <sheetFormatPr defaultRowHeight="15" x14ac:dyDescent="0.2"/>
  <cols>
    <col min="1" max="3" width="2.85546875" style="21" customWidth="1"/>
    <col min="4" max="4" width="89.7109375" style="21" customWidth="1"/>
    <col min="5" max="187" width="2.85546875" style="21" customWidth="1"/>
    <col min="188" max="16384" width="9.140625" style="21"/>
  </cols>
  <sheetData>
    <row r="1" spans="3:5" s="19" customFormat="1" x14ac:dyDescent="0.2"/>
    <row r="2" spans="3:5" s="20" customFormat="1" ht="15.75" customHeight="1" thickBot="1" x14ac:dyDescent="0.25"/>
    <row r="3" spans="3:5" ht="15.75" thickTop="1" x14ac:dyDescent="0.2"/>
    <row r="5" spans="3:5" x14ac:dyDescent="0.2">
      <c r="C5" s="4"/>
      <c r="D5" s="4"/>
      <c r="E5" s="4"/>
    </row>
    <row r="6" spans="3:5" x14ac:dyDescent="0.2">
      <c r="C6" s="6"/>
      <c r="D6" s="5"/>
      <c r="E6" s="6"/>
    </row>
    <row r="7" spans="3:5" x14ac:dyDescent="0.2">
      <c r="C7" s="6"/>
      <c r="D7" s="7"/>
      <c r="E7" s="6"/>
    </row>
    <row r="8" spans="3:5" x14ac:dyDescent="0.2">
      <c r="C8" s="6"/>
      <c r="D8" s="7"/>
      <c r="E8" s="6"/>
    </row>
    <row r="9" spans="3:5" ht="31.5" x14ac:dyDescent="0.25">
      <c r="C9" s="6"/>
      <c r="D9" s="36" t="s">
        <v>75</v>
      </c>
      <c r="E9" s="6"/>
    </row>
    <row r="10" spans="3:5" x14ac:dyDescent="0.2">
      <c r="C10" s="6"/>
      <c r="D10" s="7"/>
      <c r="E10" s="6"/>
    </row>
    <row r="11" spans="3:5" x14ac:dyDescent="0.2">
      <c r="C11" s="6"/>
      <c r="D11" s="7"/>
      <c r="E11" s="6"/>
    </row>
    <row r="12" spans="3:5" x14ac:dyDescent="0.2">
      <c r="C12" s="6"/>
      <c r="D12" s="7"/>
      <c r="E12" s="6"/>
    </row>
    <row r="13" spans="3:5" x14ac:dyDescent="0.2">
      <c r="C13" s="6"/>
      <c r="D13" s="15" t="str">
        <f>IF(OR(ObjekatIzKonteksta=0,VrstaRadovaIzKonteksta=0),"...","Kao ovlašćeno lice koje je izradilo elaborat energetske efikasnosti koji se prilaže "&amp; VLOOKUP(VrstaTehnickeDokumentacije,tblVrstaTehnickeDokumentacije,12,FALSE) &amp;", za "&amp;VrstaRadovaIzKonteksta&amp;" "&amp;ObjekatIzKonteksta&amp;",")</f>
        <v>...</v>
      </c>
      <c r="E13" s="11" t="str">
        <f>IF(D13="...","","P")</f>
        <v/>
      </c>
    </row>
    <row r="14" spans="3:5" ht="15" customHeight="1" x14ac:dyDescent="0.2">
      <c r="C14" s="6"/>
      <c r="D14" s="7"/>
      <c r="E14" s="6"/>
    </row>
    <row r="15" spans="3:5" x14ac:dyDescent="0.2">
      <c r="C15" s="6"/>
      <c r="D15" s="7"/>
      <c r="E15" s="6"/>
    </row>
    <row r="16" spans="3:5" x14ac:dyDescent="0.2">
      <c r="C16" s="6"/>
      <c r="D16" s="7"/>
      <c r="E16" s="6"/>
    </row>
    <row r="17" spans="3:5" x14ac:dyDescent="0.2">
      <c r="C17" s="6"/>
      <c r="D17" s="35" t="str">
        <f>IF(OdgovorniProjektantEEE=0,"...",OdgovorniProjektantEEE)</f>
        <v>...</v>
      </c>
      <c r="E17" s="11" t="str">
        <f>IF(D17="...","","P")</f>
        <v/>
      </c>
    </row>
    <row r="18" spans="3:5" x14ac:dyDescent="0.2">
      <c r="C18" s="6"/>
      <c r="D18" s="23" t="s">
        <v>24</v>
      </c>
      <c r="E18" s="6"/>
    </row>
    <row r="19" spans="3:5" x14ac:dyDescent="0.2">
      <c r="C19" s="6"/>
      <c r="D19" s="7"/>
      <c r="E19" s="6"/>
    </row>
    <row r="20" spans="3:5" x14ac:dyDescent="0.2">
      <c r="C20" s="6"/>
      <c r="D20" s="7"/>
      <c r="E20" s="6"/>
    </row>
    <row r="21" spans="3:5" x14ac:dyDescent="0.2">
      <c r="C21" s="6"/>
      <c r="D21" s="7"/>
      <c r="E21" s="6"/>
    </row>
    <row r="22" spans="3:5" ht="15.75" x14ac:dyDescent="0.25">
      <c r="C22" s="6"/>
      <c r="D22" s="8" t="s">
        <v>26</v>
      </c>
      <c r="E22" s="6"/>
    </row>
    <row r="23" spans="3:5" x14ac:dyDescent="0.2">
      <c r="C23" s="6"/>
      <c r="D23" s="7"/>
      <c r="E23" s="6"/>
    </row>
    <row r="24" spans="3:5" x14ac:dyDescent="0.2">
      <c r="C24" s="6"/>
      <c r="D24" s="7"/>
      <c r="E24" s="6"/>
    </row>
    <row r="25" spans="3:5" x14ac:dyDescent="0.2">
      <c r="C25" s="6"/>
      <c r="D25" s="7"/>
      <c r="E25" s="6"/>
    </row>
    <row r="26" spans="3:5" ht="30" x14ac:dyDescent="0.2">
      <c r="C26" s="6"/>
      <c r="D26" s="7" t="s">
        <v>73</v>
      </c>
      <c r="E26" s="6"/>
    </row>
    <row r="27" spans="3:5" ht="30" x14ac:dyDescent="0.2">
      <c r="C27" s="6"/>
      <c r="D27" s="7" t="s">
        <v>74</v>
      </c>
      <c r="E27" s="6"/>
    </row>
    <row r="28" spans="3:5" x14ac:dyDescent="0.2">
      <c r="C28" s="6"/>
      <c r="D28" s="7"/>
      <c r="E28" s="6"/>
    </row>
    <row r="29" spans="3:5" x14ac:dyDescent="0.2">
      <c r="C29" s="6"/>
      <c r="D29" s="7"/>
      <c r="E29" s="6"/>
    </row>
    <row r="30" spans="3:5" x14ac:dyDescent="0.2">
      <c r="C30" s="6"/>
      <c r="D30" s="7"/>
      <c r="E30" s="6"/>
    </row>
    <row r="31" spans="3:5" x14ac:dyDescent="0.2">
      <c r="C31" s="6"/>
      <c r="D31" s="25" t="str">
        <f>IF(ProjektnaOrganizacijaEEE=0,"...",ProjektnaOrganizacijaEEE)</f>
        <v>...</v>
      </c>
      <c r="E31" s="11" t="str">
        <f>IF(D31="...","","P")</f>
        <v/>
      </c>
    </row>
    <row r="32" spans="3:5" x14ac:dyDescent="0.2">
      <c r="C32" s="6"/>
      <c r="D32" s="13" t="s">
        <v>7</v>
      </c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7"/>
      <c r="E36" s="6"/>
    </row>
    <row r="37" spans="3:5" x14ac:dyDescent="0.2">
      <c r="C37" s="6"/>
      <c r="D37" s="7" t="str">
        <f>IF(OdgovornoLiceEEE=0,"...",OdgovornoLiceEEE)</f>
        <v>...</v>
      </c>
      <c r="E37" s="11" t="str">
        <f>IF(D37="...","","P")</f>
        <v/>
      </c>
    </row>
    <row r="38" spans="3:5" x14ac:dyDescent="0.2">
      <c r="C38" s="6"/>
      <c r="D38" s="16" t="s">
        <v>8</v>
      </c>
      <c r="E38" s="6"/>
    </row>
    <row r="39" spans="3:5" x14ac:dyDescent="0.2">
      <c r="C39" s="6"/>
      <c r="D39" s="7"/>
      <c r="E39" s="6"/>
    </row>
    <row r="40" spans="3:5" x14ac:dyDescent="0.2">
      <c r="C40" s="17"/>
      <c r="D40" s="17"/>
      <c r="E40" s="17"/>
    </row>
    <row r="41" spans="3:5" x14ac:dyDescent="0.2">
      <c r="E41" s="18" t="s">
        <v>12</v>
      </c>
    </row>
    <row r="87" ht="15.75" customHeight="1" x14ac:dyDescent="0.2"/>
    <row r="108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>
    <tabColor theme="1" tint="0.249977111117893"/>
  </sheetPr>
  <dimension ref="C1:E184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5.57031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77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</v>
      </c>
      <c r="D7" s="43" t="s">
        <v>81</v>
      </c>
      <c r="E7" s="43"/>
    </row>
    <row r="8" spans="3:5" x14ac:dyDescent="0.2">
      <c r="C8" s="42" t="s">
        <v>174</v>
      </c>
      <c r="D8" s="43" t="s">
        <v>81</v>
      </c>
      <c r="E8" s="43"/>
    </row>
    <row r="23" ht="15.75" customHeight="1" x14ac:dyDescent="0.2"/>
    <row r="81" ht="15" customHeight="1" x14ac:dyDescent="0.2"/>
    <row r="163" ht="15.75" customHeight="1" x14ac:dyDescent="0.2"/>
    <row r="184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>
    <tabColor theme="1" tint="0.249977111117893"/>
  </sheetPr>
  <dimension ref="C1:E184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1.8554687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82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2</v>
      </c>
      <c r="D7" s="43" t="s">
        <v>81</v>
      </c>
      <c r="E7" s="43"/>
    </row>
    <row r="8" spans="3:5" x14ac:dyDescent="0.2">
      <c r="C8" s="42" t="s">
        <v>83</v>
      </c>
      <c r="D8" s="43" t="s">
        <v>81</v>
      </c>
      <c r="E8" s="43"/>
    </row>
    <row r="23" ht="15.75" customHeight="1" x14ac:dyDescent="0.2"/>
    <row r="81" ht="15" customHeight="1" x14ac:dyDescent="0.2"/>
    <row r="163" ht="15.75" customHeight="1" x14ac:dyDescent="0.2"/>
    <row r="184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>
    <tabColor theme="1" tint="0.249977111117893"/>
  </sheetPr>
  <dimension ref="C1:E179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6.285156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84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85</v>
      </c>
      <c r="D7" s="43" t="s">
        <v>81</v>
      </c>
      <c r="E7" s="43"/>
    </row>
    <row r="8" spans="3:5" x14ac:dyDescent="0.2">
      <c r="C8" s="42" t="s">
        <v>86</v>
      </c>
      <c r="D8" s="43" t="s">
        <v>81</v>
      </c>
      <c r="E8" s="43"/>
    </row>
    <row r="18" ht="15.75" customHeight="1" x14ac:dyDescent="0.2"/>
    <row r="76" ht="15" customHeight="1" x14ac:dyDescent="0.2"/>
    <row r="158" ht="15.75" customHeight="1" x14ac:dyDescent="0.2"/>
    <row r="179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>
    <tabColor theme="1" tint="0.249977111117893"/>
  </sheetPr>
  <dimension ref="C1:E174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8.425781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87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88</v>
      </c>
      <c r="D7" s="43" t="s">
        <v>81</v>
      </c>
      <c r="E7" s="43"/>
    </row>
    <row r="8" spans="3:5" x14ac:dyDescent="0.2">
      <c r="C8" s="42" t="s">
        <v>89</v>
      </c>
      <c r="D8" s="43" t="s">
        <v>81</v>
      </c>
      <c r="E8" s="43"/>
    </row>
    <row r="9" spans="3:5" x14ac:dyDescent="0.2">
      <c r="C9" s="42" t="s">
        <v>90</v>
      </c>
      <c r="D9" s="43" t="s">
        <v>81</v>
      </c>
      <c r="E9" s="43"/>
    </row>
    <row r="10" spans="3:5" x14ac:dyDescent="0.2">
      <c r="C10" s="42" t="s">
        <v>91</v>
      </c>
      <c r="D10" s="43" t="s">
        <v>81</v>
      </c>
      <c r="E10" s="43"/>
    </row>
    <row r="11" spans="3:5" x14ac:dyDescent="0.2">
      <c r="C11" s="42" t="s">
        <v>92</v>
      </c>
      <c r="D11" s="43" t="s">
        <v>81</v>
      </c>
      <c r="E11" s="43"/>
    </row>
    <row r="12" spans="3:5" x14ac:dyDescent="0.2">
      <c r="C12" s="42" t="s">
        <v>93</v>
      </c>
      <c r="D12" s="43" t="s">
        <v>81</v>
      </c>
      <c r="E12" s="43"/>
    </row>
    <row r="13" spans="3:5" ht="15.75" customHeight="1" x14ac:dyDescent="0.2">
      <c r="C13" s="42" t="s">
        <v>94</v>
      </c>
      <c r="D13" s="43" t="s">
        <v>81</v>
      </c>
      <c r="E13" s="43"/>
    </row>
    <row r="14" spans="3:5" x14ac:dyDescent="0.2">
      <c r="C14" s="42" t="s">
        <v>95</v>
      </c>
      <c r="D14" s="43" t="s">
        <v>81</v>
      </c>
      <c r="E14" s="43"/>
    </row>
    <row r="15" spans="3:5" x14ac:dyDescent="0.2">
      <c r="C15" s="42" t="s">
        <v>96</v>
      </c>
      <c r="D15" s="43" t="s">
        <v>81</v>
      </c>
      <c r="E15" s="43"/>
    </row>
    <row r="16" spans="3:5" x14ac:dyDescent="0.2">
      <c r="C16" s="42" t="s">
        <v>97</v>
      </c>
      <c r="D16" s="43" t="s">
        <v>81</v>
      </c>
      <c r="E16" s="43"/>
    </row>
    <row r="17" spans="3:5" x14ac:dyDescent="0.2">
      <c r="C17" s="42" t="s">
        <v>98</v>
      </c>
      <c r="D17" s="43" t="s">
        <v>81</v>
      </c>
      <c r="E17" s="43"/>
    </row>
    <row r="18" spans="3:5" x14ac:dyDescent="0.2">
      <c r="C18" s="42" t="s">
        <v>99</v>
      </c>
      <c r="D18" s="43" t="s">
        <v>81</v>
      </c>
      <c r="E18" s="43"/>
    </row>
    <row r="19" spans="3:5" x14ac:dyDescent="0.2">
      <c r="C19" s="42" t="s">
        <v>100</v>
      </c>
      <c r="D19" s="43" t="s">
        <v>81</v>
      </c>
      <c r="E19" s="43"/>
    </row>
    <row r="20" spans="3:5" x14ac:dyDescent="0.2">
      <c r="C20" s="42" t="s">
        <v>101</v>
      </c>
      <c r="D20" s="43" t="s">
        <v>81</v>
      </c>
      <c r="E20" s="43"/>
    </row>
    <row r="71" ht="15" customHeight="1" x14ac:dyDescent="0.2"/>
    <row r="153" ht="15.75" customHeight="1" x14ac:dyDescent="0.2"/>
    <row r="174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>
    <tabColor theme="1" tint="0.249977111117893"/>
  </sheetPr>
  <dimension ref="C1:E156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6.8554687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102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103</v>
      </c>
      <c r="D7" s="43" t="s">
        <v>81</v>
      </c>
      <c r="E7" s="43"/>
    </row>
    <row r="8" spans="3:5" x14ac:dyDescent="0.2">
      <c r="C8" s="42" t="s">
        <v>104</v>
      </c>
      <c r="D8" s="43" t="s">
        <v>81</v>
      </c>
      <c r="E8" s="43"/>
    </row>
    <row r="9" spans="3:5" x14ac:dyDescent="0.2">
      <c r="C9" s="42" t="s">
        <v>105</v>
      </c>
      <c r="D9" s="43" t="s">
        <v>81</v>
      </c>
      <c r="E9" s="43"/>
    </row>
    <row r="10" spans="3:5" x14ac:dyDescent="0.2">
      <c r="C10" s="42" t="s">
        <v>106</v>
      </c>
      <c r="D10" s="43" t="s">
        <v>81</v>
      </c>
      <c r="E10" s="43"/>
    </row>
    <row r="11" spans="3:5" x14ac:dyDescent="0.2">
      <c r="C11" s="42" t="s">
        <v>107</v>
      </c>
      <c r="D11" s="43" t="s">
        <v>81</v>
      </c>
      <c r="E11" s="43"/>
    </row>
    <row r="12" spans="3:5" x14ac:dyDescent="0.2">
      <c r="C12" s="42" t="s">
        <v>108</v>
      </c>
      <c r="D12" s="43" t="s">
        <v>81</v>
      </c>
      <c r="E12" s="43"/>
    </row>
    <row r="13" spans="3:5" x14ac:dyDescent="0.2">
      <c r="C13" s="42" t="s">
        <v>109</v>
      </c>
      <c r="D13" s="43" t="s">
        <v>81</v>
      </c>
      <c r="E13" s="43"/>
    </row>
    <row r="53" ht="15" customHeight="1" x14ac:dyDescent="0.2"/>
    <row r="135" ht="15.75" customHeight="1" x14ac:dyDescent="0.2"/>
    <row r="156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>
    <tabColor theme="1" tint="0.249977111117893"/>
  </sheetPr>
  <dimension ref="C1:E146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31.1406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39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110</v>
      </c>
      <c r="D7" s="43" t="s">
        <v>81</v>
      </c>
      <c r="E7" s="44"/>
    </row>
    <row r="8" spans="3:5" x14ac:dyDescent="0.2">
      <c r="C8" s="42" t="s">
        <v>111</v>
      </c>
      <c r="D8" s="43" t="s">
        <v>81</v>
      </c>
      <c r="E8" s="44"/>
    </row>
    <row r="9" spans="3:5" x14ac:dyDescent="0.2">
      <c r="C9" s="42" t="s">
        <v>112</v>
      </c>
      <c r="D9" s="43" t="s">
        <v>81</v>
      </c>
      <c r="E9" s="44"/>
    </row>
    <row r="10" spans="3:5" x14ac:dyDescent="0.2">
      <c r="C10" s="42" t="s">
        <v>113</v>
      </c>
      <c r="D10" s="43" t="s">
        <v>81</v>
      </c>
      <c r="E10" s="44"/>
    </row>
    <row r="11" spans="3:5" x14ac:dyDescent="0.2">
      <c r="C11" s="42" t="s">
        <v>114</v>
      </c>
      <c r="D11" s="43" t="s">
        <v>81</v>
      </c>
      <c r="E11" s="44"/>
    </row>
    <row r="43" ht="15" customHeight="1" x14ac:dyDescent="0.2"/>
    <row r="125" ht="15.75" customHeight="1" x14ac:dyDescent="0.2"/>
    <row r="146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>
    <tabColor theme="1" tint="0.249977111117893"/>
  </sheetPr>
  <dimension ref="C1:E138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6.1406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45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115</v>
      </c>
      <c r="D7" s="43" t="s">
        <v>81</v>
      </c>
      <c r="E7" s="44"/>
    </row>
    <row r="8" spans="3:5" x14ac:dyDescent="0.2">
      <c r="C8" s="42" t="s">
        <v>116</v>
      </c>
      <c r="D8" s="43" t="s">
        <v>81</v>
      </c>
      <c r="E8" s="44"/>
    </row>
    <row r="9" spans="3:5" x14ac:dyDescent="0.2">
      <c r="C9" s="42" t="s">
        <v>117</v>
      </c>
      <c r="D9" s="43" t="s">
        <v>81</v>
      </c>
      <c r="E9" s="44"/>
    </row>
    <row r="35" ht="15" customHeight="1" x14ac:dyDescent="0.2"/>
    <row r="117" ht="15.75" customHeight="1" x14ac:dyDescent="0.2"/>
    <row r="138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>
    <tabColor theme="1" tint="0.249977111117893"/>
  </sheetPr>
  <dimension ref="C1:E132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7.8554687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50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118</v>
      </c>
      <c r="D7" s="43" t="s">
        <v>81</v>
      </c>
      <c r="E7" s="44"/>
    </row>
    <row r="8" spans="3:5" x14ac:dyDescent="0.2">
      <c r="C8" s="42" t="s">
        <v>119</v>
      </c>
      <c r="D8" s="43" t="s">
        <v>81</v>
      </c>
      <c r="E8" s="44"/>
    </row>
    <row r="9" spans="3:5" x14ac:dyDescent="0.2">
      <c r="C9" s="42" t="s">
        <v>136</v>
      </c>
      <c r="D9" s="43" t="s">
        <v>81</v>
      </c>
      <c r="E9" s="44"/>
    </row>
    <row r="10" spans="3:5" x14ac:dyDescent="0.2">
      <c r="C10" s="42" t="s">
        <v>137</v>
      </c>
      <c r="D10" s="43" t="s">
        <v>81</v>
      </c>
      <c r="E10" s="44"/>
    </row>
    <row r="11" spans="3:5" x14ac:dyDescent="0.2">
      <c r="C11" s="42" t="s">
        <v>120</v>
      </c>
      <c r="D11" s="43" t="s">
        <v>81</v>
      </c>
      <c r="E11" s="44"/>
    </row>
    <row r="12" spans="3:5" x14ac:dyDescent="0.2">
      <c r="C12" s="42" t="s">
        <v>121</v>
      </c>
      <c r="D12" s="43" t="s">
        <v>81</v>
      </c>
      <c r="E12" s="44"/>
    </row>
    <row r="13" spans="3:5" x14ac:dyDescent="0.2">
      <c r="C13" s="42" t="s">
        <v>122</v>
      </c>
      <c r="D13" s="43" t="s">
        <v>81</v>
      </c>
      <c r="E13" s="44"/>
    </row>
    <row r="14" spans="3:5" x14ac:dyDescent="0.2">
      <c r="C14" s="42" t="s">
        <v>123</v>
      </c>
      <c r="D14" s="43" t="s">
        <v>81</v>
      </c>
      <c r="E14" s="44"/>
    </row>
    <row r="15" spans="3:5" x14ac:dyDescent="0.2">
      <c r="C15" s="42" t="s">
        <v>124</v>
      </c>
      <c r="D15" s="43" t="s">
        <v>81</v>
      </c>
      <c r="E15" s="44"/>
    </row>
    <row r="16" spans="3:5" x14ac:dyDescent="0.2">
      <c r="C16" s="42" t="s">
        <v>125</v>
      </c>
      <c r="D16" s="43" t="s">
        <v>81</v>
      </c>
      <c r="E16" s="44"/>
    </row>
    <row r="17" spans="3:5" x14ac:dyDescent="0.2">
      <c r="C17" s="42" t="s">
        <v>126</v>
      </c>
      <c r="D17" s="43" t="s">
        <v>81</v>
      </c>
      <c r="E17" s="44"/>
    </row>
    <row r="18" spans="3:5" x14ac:dyDescent="0.2">
      <c r="C18" s="42" t="s">
        <v>127</v>
      </c>
      <c r="D18" s="43" t="s">
        <v>81</v>
      </c>
      <c r="E18" s="44"/>
    </row>
    <row r="29" spans="3:5" ht="15" customHeight="1" x14ac:dyDescent="0.2"/>
    <row r="111" ht="15.75" customHeight="1" x14ac:dyDescent="0.2"/>
    <row r="132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>
    <tabColor theme="1" tint="0.249977111117893"/>
  </sheetPr>
  <dimension ref="C1:E117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4.14062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63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x14ac:dyDescent="0.2">
      <c r="C7" s="42" t="s">
        <v>128</v>
      </c>
      <c r="D7" s="43" t="s">
        <v>81</v>
      </c>
      <c r="E7" s="44"/>
    </row>
    <row r="8" spans="3:5" x14ac:dyDescent="0.2">
      <c r="C8" s="42" t="s">
        <v>129</v>
      </c>
      <c r="D8" s="43" t="s">
        <v>81</v>
      </c>
      <c r="E8" s="44"/>
    </row>
    <row r="9" spans="3:5" x14ac:dyDescent="0.2">
      <c r="C9" s="42" t="s">
        <v>130</v>
      </c>
      <c r="D9" s="43" t="s">
        <v>81</v>
      </c>
      <c r="E9" s="44"/>
    </row>
    <row r="10" spans="3:5" x14ac:dyDescent="0.2">
      <c r="C10" s="42" t="s">
        <v>131</v>
      </c>
      <c r="D10" s="43" t="s">
        <v>81</v>
      </c>
      <c r="E10" s="44"/>
    </row>
    <row r="14" spans="3:5" ht="15" customHeight="1" x14ac:dyDescent="0.2"/>
    <row r="96" ht="15.75" customHeight="1" x14ac:dyDescent="0.2"/>
    <row r="117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>
    <tabColor theme="1" tint="0.249977111117893"/>
  </sheetPr>
  <dimension ref="C1:E110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26.7109375" style="21" customWidth="1"/>
    <col min="4" max="4" width="8" style="21" customWidth="1"/>
    <col min="5" max="5" width="7.42578125" style="21" customWidth="1"/>
    <col min="6" max="184" width="2.85546875" style="21" customWidth="1"/>
    <col min="185" max="16384" width="9.140625" style="21"/>
  </cols>
  <sheetData>
    <row r="1" spans="3:5" s="37" customFormat="1" x14ac:dyDescent="0.2"/>
    <row r="2" spans="3:5" s="38" customFormat="1" ht="15.75" customHeight="1" thickBot="1" x14ac:dyDescent="0.25"/>
    <row r="3" spans="3:5" ht="15.75" thickTop="1" x14ac:dyDescent="0.2"/>
    <row r="4" spans="3:5" ht="15.75" x14ac:dyDescent="0.25">
      <c r="C4" s="39" t="s">
        <v>68</v>
      </c>
      <c r="D4"/>
      <c r="E4"/>
    </row>
    <row r="5" spans="3:5" ht="15.75" x14ac:dyDescent="0.25">
      <c r="C5"/>
      <c r="D5"/>
      <c r="E5"/>
    </row>
    <row r="6" spans="3:5" x14ac:dyDescent="0.2">
      <c r="C6" s="40" t="s">
        <v>78</v>
      </c>
      <c r="D6" s="41" t="s">
        <v>79</v>
      </c>
      <c r="E6" s="41" t="s">
        <v>80</v>
      </c>
    </row>
    <row r="7" spans="3:5" ht="15" customHeight="1" x14ac:dyDescent="0.2">
      <c r="C7" s="42" t="s">
        <v>132</v>
      </c>
      <c r="D7" s="43" t="s">
        <v>81</v>
      </c>
      <c r="E7" s="44"/>
    </row>
    <row r="8" spans="3:5" x14ac:dyDescent="0.2">
      <c r="C8" s="42" t="s">
        <v>133</v>
      </c>
      <c r="D8" s="43" t="s">
        <v>81</v>
      </c>
      <c r="E8" s="44"/>
    </row>
    <row r="9" spans="3:5" x14ac:dyDescent="0.2">
      <c r="C9" s="42" t="s">
        <v>134</v>
      </c>
      <c r="D9" s="43" t="s">
        <v>81</v>
      </c>
      <c r="E9" s="44"/>
    </row>
    <row r="10" spans="3:5" x14ac:dyDescent="0.2">
      <c r="C10" s="42" t="s">
        <v>135</v>
      </c>
      <c r="D10" s="43" t="s">
        <v>81</v>
      </c>
      <c r="E10" s="4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>
    <tabColor theme="1" tint="0.249977111117893"/>
  </sheetPr>
  <dimension ref="C1:U187"/>
  <sheetViews>
    <sheetView showGridLines="0" zoomScaleNormal="100" workbookViewId="0">
      <selection activeCell="A3" sqref="A3"/>
    </sheetView>
  </sheetViews>
  <sheetFormatPr defaultRowHeight="15" x14ac:dyDescent="0.2"/>
  <cols>
    <col min="1" max="2" width="2.85546875" style="21" customWidth="1"/>
    <col min="3" max="3" width="31.140625" style="21" customWidth="1"/>
    <col min="4" max="4" width="8" style="21" customWidth="1"/>
    <col min="5" max="5" width="7.42578125" style="21" customWidth="1"/>
    <col min="6" max="6" width="2.85546875" style="21" customWidth="1"/>
    <col min="7" max="7" width="6.28515625" style="21" customWidth="1"/>
    <col min="8" max="13" width="8.7109375" style="21" customWidth="1"/>
    <col min="14" max="14" width="11.7109375" style="21" customWidth="1"/>
    <col min="15" max="15" width="10.42578125" style="21" customWidth="1"/>
    <col min="16" max="18" width="41" style="21" customWidth="1"/>
    <col min="19" max="19" width="29.7109375" style="21" customWidth="1"/>
    <col min="20" max="20" width="14.28515625" style="21" customWidth="1"/>
    <col min="21" max="21" width="40.85546875" style="21" customWidth="1"/>
    <col min="22" max="192" width="2.85546875" style="21" customWidth="1"/>
    <col min="193" max="16384" width="9.140625" style="21"/>
  </cols>
  <sheetData>
    <row r="1" spans="3:21" s="37" customFormat="1" x14ac:dyDescent="0.2"/>
    <row r="2" spans="3:21" s="38" customFormat="1" ht="15.75" customHeight="1" thickBot="1" x14ac:dyDescent="0.25"/>
    <row r="3" spans="3:21" ht="15.75" thickTop="1" x14ac:dyDescent="0.2"/>
    <row r="4" spans="3:21" ht="15.75" x14ac:dyDescent="0.25">
      <c r="C4" s="39" t="s">
        <v>160</v>
      </c>
      <c r="D4"/>
      <c r="E4"/>
      <c r="F4"/>
      <c r="G4"/>
      <c r="H4"/>
      <c r="I4"/>
      <c r="J4"/>
      <c r="K4"/>
      <c r="L4"/>
      <c r="M4"/>
      <c r="N4"/>
      <c r="O4"/>
      <c r="P4"/>
    </row>
    <row r="5" spans="3:21" ht="15.75" x14ac:dyDescent="0.25">
      <c r="C5" s="39"/>
      <c r="D5"/>
      <c r="E5"/>
      <c r="F5"/>
      <c r="G5"/>
      <c r="H5"/>
      <c r="I5"/>
      <c r="J5"/>
      <c r="K5"/>
      <c r="L5"/>
      <c r="M5"/>
      <c r="N5"/>
      <c r="O5"/>
      <c r="P5"/>
    </row>
    <row r="6" spans="3:21" customFormat="1" x14ac:dyDescent="0.25">
      <c r="C6" s="40" t="s">
        <v>78</v>
      </c>
      <c r="D6" s="41" t="s">
        <v>79</v>
      </c>
      <c r="E6" s="41" t="s">
        <v>80</v>
      </c>
      <c r="G6" s="40" t="s">
        <v>78</v>
      </c>
      <c r="H6" s="41" t="s">
        <v>163</v>
      </c>
      <c r="I6" s="41" t="s">
        <v>164</v>
      </c>
      <c r="J6" s="41" t="s">
        <v>165</v>
      </c>
      <c r="K6" s="41" t="s">
        <v>166</v>
      </c>
      <c r="L6" s="41" t="s">
        <v>167</v>
      </c>
      <c r="M6" s="41" t="s">
        <v>168</v>
      </c>
      <c r="N6" s="41" t="s">
        <v>162</v>
      </c>
      <c r="O6" s="41" t="s">
        <v>11</v>
      </c>
      <c r="P6" s="41" t="s">
        <v>138</v>
      </c>
      <c r="Q6" s="41" t="s">
        <v>139</v>
      </c>
      <c r="R6" s="41" t="s">
        <v>140</v>
      </c>
      <c r="S6" s="41" t="s">
        <v>141</v>
      </c>
      <c r="T6" s="41" t="s">
        <v>142</v>
      </c>
      <c r="U6" s="41" t="s">
        <v>169</v>
      </c>
    </row>
    <row r="7" spans="3:21" customFormat="1" ht="15.75" x14ac:dyDescent="0.25">
      <c r="C7" s="42" t="s">
        <v>161</v>
      </c>
      <c r="D7" s="43" t="s">
        <v>81</v>
      </c>
      <c r="E7" s="44" t="s">
        <v>143</v>
      </c>
      <c r="G7" s="42" t="s">
        <v>143</v>
      </c>
      <c r="H7" s="43" t="b">
        <v>1</v>
      </c>
      <c r="I7" s="43" t="b">
        <v>0</v>
      </c>
      <c r="J7" s="43" t="b">
        <v>0</v>
      </c>
      <c r="K7" s="43" t="b">
        <v>0</v>
      </c>
      <c r="L7" s="43" t="b">
        <v>0</v>
      </c>
      <c r="M7" s="43" t="b">
        <v>0</v>
      </c>
      <c r="N7" s="43"/>
      <c r="O7" s="43"/>
      <c r="P7" s="43" t="s">
        <v>144</v>
      </c>
      <c r="Q7" s="44" t="s">
        <v>145</v>
      </c>
      <c r="R7" s="44" t="s">
        <v>145</v>
      </c>
      <c r="S7" s="44" t="s">
        <v>49</v>
      </c>
      <c r="T7" s="44" t="s">
        <v>146</v>
      </c>
      <c r="U7" s="44" t="s">
        <v>170</v>
      </c>
    </row>
    <row r="8" spans="3:21" ht="15.75" x14ac:dyDescent="0.25">
      <c r="C8"/>
      <c r="D8"/>
      <c r="E8"/>
      <c r="F8"/>
      <c r="G8" s="42" t="s">
        <v>147</v>
      </c>
      <c r="H8" s="43" t="b">
        <v>0</v>
      </c>
      <c r="I8" s="43" t="b">
        <v>0</v>
      </c>
      <c r="J8" s="43" t="b">
        <v>0</v>
      </c>
      <c r="K8" s="43" t="b">
        <v>0</v>
      </c>
      <c r="L8" s="43" t="b">
        <v>0</v>
      </c>
      <c r="M8" s="43" t="b">
        <v>0</v>
      </c>
      <c r="N8" s="43"/>
      <c r="O8" s="43"/>
      <c r="P8" s="43" t="s">
        <v>148</v>
      </c>
      <c r="Q8" s="44" t="s">
        <v>149</v>
      </c>
      <c r="R8" s="44" t="s">
        <v>149</v>
      </c>
      <c r="S8" s="44" t="s">
        <v>49</v>
      </c>
      <c r="T8" s="44" t="s">
        <v>146</v>
      </c>
      <c r="U8" s="44" t="s">
        <v>171</v>
      </c>
    </row>
    <row r="9" spans="3:21" x14ac:dyDescent="0.2">
      <c r="G9" s="42" t="s">
        <v>150</v>
      </c>
      <c r="H9" s="43" t="b">
        <v>0</v>
      </c>
      <c r="I9" s="43" t="b">
        <v>0</v>
      </c>
      <c r="J9" s="43" t="b">
        <v>0</v>
      </c>
      <c r="K9" s="43" t="b">
        <v>0</v>
      </c>
      <c r="L9" s="43" t="b">
        <v>0</v>
      </c>
      <c r="M9" s="43" t="b">
        <v>0</v>
      </c>
      <c r="N9" s="43"/>
      <c r="O9" s="43"/>
      <c r="P9" s="43" t="s">
        <v>151</v>
      </c>
      <c r="Q9" s="44" t="s">
        <v>152</v>
      </c>
      <c r="R9" s="44" t="s">
        <v>152</v>
      </c>
      <c r="S9" s="44" t="s">
        <v>153</v>
      </c>
      <c r="T9" s="44" t="s">
        <v>154</v>
      </c>
      <c r="U9" s="44" t="s">
        <v>172</v>
      </c>
    </row>
    <row r="10" spans="3:21" x14ac:dyDescent="0.2">
      <c r="G10" s="42" t="s">
        <v>155</v>
      </c>
      <c r="H10" s="43" t="b">
        <v>0</v>
      </c>
      <c r="I10" s="43" t="b">
        <v>0</v>
      </c>
      <c r="J10" s="43" t="b">
        <v>0</v>
      </c>
      <c r="K10" s="43" t="b">
        <v>0</v>
      </c>
      <c r="L10" s="43" t="b">
        <v>0</v>
      </c>
      <c r="M10" s="43" t="b">
        <v>0</v>
      </c>
      <c r="N10" s="43"/>
      <c r="O10" s="43"/>
      <c r="P10" s="43" t="s">
        <v>156</v>
      </c>
      <c r="Q10" s="44" t="s">
        <v>157</v>
      </c>
      <c r="R10" s="44" t="s">
        <v>157</v>
      </c>
      <c r="S10" s="44" t="s">
        <v>158</v>
      </c>
      <c r="T10" s="44" t="s">
        <v>159</v>
      </c>
      <c r="U10" s="44" t="s">
        <v>173</v>
      </c>
    </row>
    <row r="26" ht="15.75" customHeight="1" x14ac:dyDescent="0.2"/>
    <row r="84" ht="15" customHeight="1" x14ac:dyDescent="0.2"/>
    <row r="166" ht="15.75" customHeight="1" x14ac:dyDescent="0.2"/>
    <row r="187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88</vt:i4>
      </vt:variant>
    </vt:vector>
  </HeadingPairs>
  <TitlesOfParts>
    <vt:vector size="96" baseType="lpstr">
      <vt:lpstr>01</vt:lpstr>
      <vt:lpstr>02</vt:lpstr>
      <vt:lpstr>03</vt:lpstr>
      <vt:lpstr>04</vt:lpstr>
      <vt:lpstr>05</vt:lpstr>
      <vt:lpstr>06</vt:lpstr>
      <vt:lpstr>07</vt:lpstr>
      <vt:lpstr>08</vt:lpstr>
      <vt:lpstr>BrojFunkcionalnihJedinica</vt:lpstr>
      <vt:lpstr>BrojParkingMesta</vt:lpstr>
      <vt:lpstr>'02'!EEE</vt:lpstr>
      <vt:lpstr>'04'!EEE</vt:lpstr>
      <vt:lpstr>'05'!EEE</vt:lpstr>
      <vt:lpstr>'06'!EEE</vt:lpstr>
      <vt:lpstr>GlavniProjektant</vt:lpstr>
      <vt:lpstr>IDP</vt:lpstr>
      <vt:lpstr>IDR</vt:lpstr>
      <vt:lpstr>IndeksIzgradjenosti</vt:lpstr>
      <vt:lpstr>IndeksZauzetosti</vt:lpstr>
      <vt:lpstr>Investitor</vt:lpstr>
      <vt:lpstr>InvestitorOdgovornoLice</vt:lpstr>
      <vt:lpstr>KategorijaObjekta</vt:lpstr>
      <vt:lpstr>MaterijalizacijaFasade</vt:lpstr>
      <vt:lpstr>MaterijalizacijaKrova</vt:lpstr>
      <vt:lpstr>NagibKrova</vt:lpstr>
      <vt:lpstr>NazivUrbanistickogPlana</vt:lpstr>
      <vt:lpstr>Objekat</vt:lpstr>
      <vt:lpstr>ObjekatIzKonteksta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OdgovorniProjektantTS</vt:lpstr>
      <vt:lpstr>OdgovornoLiceA</vt:lpstr>
      <vt:lpstr>OdgovornoLiceE</vt:lpstr>
      <vt:lpstr>OdgovornoLiceEEE</vt:lpstr>
      <vt:lpstr>OdgovornoLiceGS</vt:lpstr>
      <vt:lpstr>OdgovornoLiceH</vt:lpstr>
      <vt:lpstr>OdgovornoLiceK</vt:lpstr>
      <vt:lpstr>OdgovornoLiceTS</vt:lpstr>
      <vt:lpstr>OrjentacijaSlemena</vt:lpstr>
      <vt:lpstr>Parcele</vt:lpstr>
      <vt:lpstr>PGD</vt:lpstr>
      <vt:lpstr>PovrsinaPr</vt:lpstr>
      <vt:lpstr>PredracunskaVrednost</vt:lpstr>
      <vt:lpstr>PrikljucakNaElektro</vt:lpstr>
      <vt:lpstr>PrikljucakNaKanalizaciju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ProcenatZelenihPovrsina</vt:lpstr>
      <vt:lpstr>'04'!ProjekatA</vt:lpstr>
      <vt:lpstr>'05'!ProjekatA</vt:lpstr>
      <vt:lpstr>'06'!ProjekatA</vt:lpstr>
      <vt:lpstr>'04'!ProjekatE</vt:lpstr>
      <vt:lpstr>'05'!ProjekatE</vt:lpstr>
      <vt:lpstr>'06'!ProjekatE</vt:lpstr>
      <vt:lpstr>'04'!ProjekatH</vt:lpstr>
      <vt:lpstr>'05'!ProjekatH</vt:lpstr>
      <vt:lpstr>'06'!ProjekatH</vt:lpstr>
      <vt:lpstr>'04'!ProjekatK</vt:lpstr>
      <vt:lpstr>'05'!ProjekatK</vt:lpstr>
      <vt:lpstr>'06'!ProjekatK</vt:lpstr>
      <vt:lpstr>'04'!ProjekatTS</vt:lpstr>
      <vt:lpstr>'05'!ProjekatTS</vt:lpstr>
      <vt:lpstr>'06'!ProjekatTS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ProjektnaOrganizacijaTS</vt:lpstr>
      <vt:lpstr>PZI</vt:lpstr>
      <vt:lpstr>SpratnaVisina</vt:lpstr>
      <vt:lpstr>Spratnost</vt:lpstr>
      <vt:lpstr>tblVrstaTehnickeDokumentacije</vt:lpstr>
      <vt:lpstr>TipObjekta</vt:lpstr>
      <vt:lpstr>UcesceKlasifikacionaOznaka</vt:lpstr>
      <vt:lpstr>UkupnaBrgpNadzemno</vt:lpstr>
      <vt:lpstr>UkupnaBrutoPovrsina</vt:lpstr>
      <vt:lpstr>UkupnaNetoPovrsina</vt:lpstr>
      <vt:lpstr>UkupnaPovrsinaParcele</vt:lpstr>
      <vt:lpstr>VisinaSlemena</vt:lpstr>
      <vt:lpstr>VisinaVenca</vt:lpstr>
      <vt:lpstr>VrstaRadova</vt:lpstr>
      <vt:lpstr>VrstaRadovaIzKonteksta</vt:lpstr>
      <vt:lpstr>VrstaTehnickeDokumentacije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Vuk Stojanovic</cp:lastModifiedBy>
  <cp:lastPrinted>2017-10-29T01:53:37Z</cp:lastPrinted>
  <dcterms:created xsi:type="dcterms:W3CDTF">2015-06-05T18:17:20Z</dcterms:created>
  <dcterms:modified xsi:type="dcterms:W3CDTF">2017-11-20T01:06:33Z</dcterms:modified>
</cp:coreProperties>
</file>