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drawings/drawing23.xml" ContentType="application/vnd.openxmlformats-officedocument.drawing+xml"/>
  <Override PartName="/xl/tables/table20.xml" ContentType="application/vnd.openxmlformats-officedocument.spreadsheetml.table+xml"/>
  <Override PartName="/xl/drawings/drawing24.xml" ContentType="application/vnd.openxmlformats-officedocument.drawing+xml"/>
  <Override PartName="/xl/tables/table21.xml" ContentType="application/vnd.openxmlformats-officedocument.spreadsheetml.table+xml"/>
  <Override PartName="/xl/drawings/drawing25.xml" ContentType="application/vnd.openxmlformats-officedocument.drawing+xml"/>
  <Override PartName="/xl/tables/table22.xml" ContentType="application/vnd.openxmlformats-officedocument.spreadsheetml.table+xml"/>
  <Override PartName="/xl/drawings/drawing26.xml" ContentType="application/vnd.openxmlformats-officedocument.drawing+xml"/>
  <Override PartName="/xl/tables/table23.xml" ContentType="application/vnd.openxmlformats-officedocument.spreadsheetml.table+xml"/>
  <Override PartName="/xl/drawings/drawing27.xml" ContentType="application/vnd.openxmlformats-officedocument.drawing+xml"/>
  <Override PartName="/xl/tables/table24.xml" ContentType="application/vnd.openxmlformats-officedocument.spreadsheetml.table+xml"/>
  <Override PartName="/xl/drawings/drawing28.xml" ContentType="application/vnd.openxmlformats-officedocument.drawing+xml"/>
  <Override PartName="/xl/tables/table25.xml" ContentType="application/vnd.openxmlformats-officedocument.spreadsheetml.table+xml"/>
  <Override PartName="/xl/drawings/drawing29.xml" ContentType="application/vnd.openxmlformats-officedocument.drawing+xml"/>
  <Override PartName="/xl/tables/table26.xml" ContentType="application/vnd.openxmlformats-officedocument.spreadsheetml.table+xml"/>
  <Override PartName="/xl/drawings/drawing30.xml" ContentType="application/vnd.openxmlformats-officedocument.drawing+xml"/>
  <Override PartName="/xl/tables/table27.xml" ContentType="application/vnd.openxmlformats-officedocument.spreadsheetml.table+xml"/>
  <Override PartName="/xl/drawings/drawing31.xml" ContentType="application/vnd.openxmlformats-officedocument.drawing+xml"/>
  <Override PartName="/xl/tables/table28.xml" ContentType="application/vnd.openxmlformats-officedocument.spreadsheetml.table+xml"/>
  <Override PartName="/xl/drawings/drawing32.xml" ContentType="application/vnd.openxmlformats-officedocument.drawing+xml"/>
  <Override PartName="/xl/tables/table29.xml" ContentType="application/vnd.openxmlformats-officedocument.spreadsheetml.table+xml"/>
  <Override PartName="/xl/drawings/drawing33.xml" ContentType="application/vnd.openxmlformats-officedocument.drawing+xml"/>
  <Override PartName="/xl/tables/table30.xml" ContentType="application/vnd.openxmlformats-officedocument.spreadsheetml.table+xml"/>
  <Override PartName="/xl/drawings/drawing34.xml" ContentType="application/vnd.openxmlformats-officedocument.drawing+xml"/>
  <Override PartName="/xl/tables/table31.xml" ContentType="application/vnd.openxmlformats-officedocument.spreadsheetml.table+xml"/>
  <Override PartName="/xl/drawings/drawing3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Mehanizam\Mehanizam\Resources\"/>
    </mc:Choice>
  </mc:AlternateContent>
  <bookViews>
    <workbookView xWindow="120" yWindow="150" windowWidth="24975" windowHeight="12015"/>
  </bookViews>
  <sheets>
    <sheet name="Index" sheetId="25" r:id="rId1"/>
    <sheet name="Naslovna strana" sheetId="23" state="hidden" r:id="rId2"/>
    <sheet name="Sadrzaj" sheetId="24" state="hidden" r:id="rId3"/>
    <sheet name="R1" sheetId="20" state="hidden" r:id="rId4"/>
    <sheet name="R2" sheetId="26" state="hidden" r:id="rId5"/>
    <sheet name="R3" sheetId="27" state="hidden" r:id="rId6"/>
    <sheet name="R4" sheetId="28" state="hidden" r:id="rId7"/>
    <sheet name="R5" sheetId="29" state="hidden" r:id="rId8"/>
    <sheet name="R6" sheetId="30" state="hidden" r:id="rId9"/>
    <sheet name="R7" sheetId="31" state="hidden" r:id="rId10"/>
    <sheet name="R8" sheetId="32" state="hidden" r:id="rId11"/>
    <sheet name="R9" sheetId="33" state="hidden" r:id="rId12"/>
    <sheet name="R10" sheetId="34" state="hidden" r:id="rId13"/>
    <sheet name="R11" sheetId="35" state="hidden" r:id="rId14"/>
    <sheet name="R12" sheetId="36" state="hidden" r:id="rId15"/>
    <sheet name="R13" sheetId="37" state="hidden" r:id="rId16"/>
    <sheet name="R14" sheetId="38" state="hidden" r:id="rId17"/>
    <sheet name="R15" sheetId="39" state="hidden" r:id="rId18"/>
    <sheet name="R16" sheetId="40" state="hidden" r:id="rId19"/>
    <sheet name="R17" sheetId="41" state="hidden" r:id="rId20"/>
    <sheet name="R18" sheetId="42" state="hidden" r:id="rId21"/>
    <sheet name="R19" sheetId="43" state="hidden" r:id="rId22"/>
    <sheet name="R20" sheetId="44" state="hidden" r:id="rId23"/>
    <sheet name="R21" sheetId="45" state="hidden" r:id="rId24"/>
    <sheet name="R22" sheetId="46" state="hidden" r:id="rId25"/>
    <sheet name="R23" sheetId="47" state="hidden" r:id="rId26"/>
    <sheet name="R24" sheetId="48" state="hidden" r:id="rId27"/>
    <sheet name="R25" sheetId="49" state="hidden" r:id="rId28"/>
    <sheet name="R26" sheetId="50" state="hidden" r:id="rId29"/>
    <sheet name="R27" sheetId="51" state="hidden" r:id="rId30"/>
    <sheet name="R28" sheetId="53" state="hidden" r:id="rId31"/>
    <sheet name="R29" sheetId="54" state="hidden" r:id="rId32"/>
    <sheet name="R30" sheetId="55" state="hidden" r:id="rId33"/>
    <sheet name="R31" sheetId="56" state="hidden" r:id="rId34"/>
    <sheet name="Rekapitulacija" sheetId="22" r:id="rId35"/>
  </sheets>
  <definedNames>
    <definedName name="CenaPoJediniciMereUnos" localSheetId="3">'R1'!$I$1</definedName>
    <definedName name="CenaPoJediniciMereUnos" localSheetId="12">'R10'!$I$1</definedName>
    <definedName name="CenaPoJediniciMereUnos" localSheetId="13">'R11'!$I$1</definedName>
    <definedName name="CenaPoJediniciMereUnos" localSheetId="14">'R12'!$I$1</definedName>
    <definedName name="CenaPoJediniciMereUnos" localSheetId="15">'R13'!$I$1</definedName>
    <definedName name="CenaPoJediniciMereUnos" localSheetId="16">'R14'!$I$1</definedName>
    <definedName name="CenaPoJediniciMereUnos" localSheetId="17">'R15'!$I$1</definedName>
    <definedName name="CenaPoJediniciMereUnos" localSheetId="18">'R16'!$I$1</definedName>
    <definedName name="CenaPoJediniciMereUnos" localSheetId="19">'R17'!$I$1</definedName>
    <definedName name="CenaPoJediniciMereUnos" localSheetId="20">'R18'!$I$1</definedName>
    <definedName name="CenaPoJediniciMereUnos" localSheetId="21">'R19'!$I$1</definedName>
    <definedName name="CenaPoJediniciMereUnos" localSheetId="4">'R2'!$I$1</definedName>
    <definedName name="CenaPoJediniciMereUnos" localSheetId="22">'R20'!$I$1</definedName>
    <definedName name="CenaPoJediniciMereUnos" localSheetId="23">'R21'!$I$1</definedName>
    <definedName name="CenaPoJediniciMereUnos" localSheetId="24">'R22'!$I$1</definedName>
    <definedName name="CenaPoJediniciMereUnos" localSheetId="25">'R23'!$I$1</definedName>
    <definedName name="CenaPoJediniciMereUnos" localSheetId="26">'R24'!$I$1</definedName>
    <definedName name="CenaPoJediniciMereUnos" localSheetId="27">'R25'!$I$1</definedName>
    <definedName name="CenaPoJediniciMereUnos" localSheetId="28">'R26'!$I$1</definedName>
    <definedName name="CenaPoJediniciMereUnos" localSheetId="29">'R27'!$I$1</definedName>
    <definedName name="CenaPoJediniciMereUnos" localSheetId="30">'R28'!$I$1</definedName>
    <definedName name="CenaPoJediniciMereUnos" localSheetId="31">'R29'!$I$1</definedName>
    <definedName name="CenaPoJediniciMereUnos" localSheetId="5">'R3'!$I$1</definedName>
    <definedName name="CenaPoJediniciMereUnos" localSheetId="32">'R30'!$I$1</definedName>
    <definedName name="CenaPoJediniciMereUnos" localSheetId="33">'R31'!$I$1</definedName>
    <definedName name="CenaPoJediniciMereUnos" localSheetId="6">'R4'!$I$1</definedName>
    <definedName name="CenaPoJediniciMereUnos" localSheetId="7">'R5'!$I$1</definedName>
    <definedName name="CenaPoJediniciMereUnos" localSheetId="8">'R6'!$I$1</definedName>
    <definedName name="CenaPoJediniciMereUnos" localSheetId="9">'R7'!$I$1</definedName>
    <definedName name="CenaPoJediniciMereUnos" localSheetId="10">'R8'!$I$1</definedName>
    <definedName name="CenaPoJediniciMereUnos" localSheetId="11">'R9'!$I$1</definedName>
    <definedName name="Datum">Index!$F$24</definedName>
    <definedName name="EvidencioniBroj">Index!$F$28</definedName>
    <definedName name="Investitor">Index!$F$39</definedName>
    <definedName name="Mesto">Index!$F$32</definedName>
    <definedName name="Naslov" localSheetId="3">'R1'!$D$9:$K$12</definedName>
    <definedName name="Naslov" localSheetId="12">'R10'!$D$9:$K$12</definedName>
    <definedName name="Naslov" localSheetId="13">'R11'!$D$9:$K$12</definedName>
    <definedName name="Naslov" localSheetId="14">'R12'!$D$9:$K$12</definedName>
    <definedName name="Naslov" localSheetId="15">'R13'!$D$9:$K$12</definedName>
    <definedName name="Naslov" localSheetId="16">'R14'!$D$9:$K$12</definedName>
    <definedName name="Naslov" localSheetId="17">'R15'!$D$9:$K$12</definedName>
    <definedName name="Naslov" localSheetId="18">'R16'!$D$9:$K$12</definedName>
    <definedName name="Naslov" localSheetId="19">'R17'!$D$9:$K$12</definedName>
    <definedName name="Naslov" localSheetId="20">'R18'!$D$9:$K$12</definedName>
    <definedName name="Naslov" localSheetId="21">'R19'!$D$9:$K$12</definedName>
    <definedName name="Naslov" localSheetId="4">'R2'!$D$9:$K$12</definedName>
    <definedName name="Naslov" localSheetId="22">'R20'!$D$9:$K$12</definedName>
    <definedName name="Naslov" localSheetId="23">'R21'!$D$9:$K$12</definedName>
    <definedName name="Naslov" localSheetId="24">'R22'!$D$9:$K$12</definedName>
    <definedName name="Naslov" localSheetId="25">'R23'!$D$9:$K$12</definedName>
    <definedName name="Naslov" localSheetId="26">'R24'!$D$9:$K$12</definedName>
    <definedName name="Naslov" localSheetId="27">'R25'!$D$9:$K$12</definedName>
    <definedName name="Naslov" localSheetId="28">'R26'!$D$9:$K$12</definedName>
    <definedName name="Naslov" localSheetId="29">'R27'!$D$9:$K$12</definedName>
    <definedName name="Naslov" localSheetId="30">'R28'!$D$9:$K$12</definedName>
    <definedName name="Naslov" localSheetId="31">'R29'!$D$9:$K$12</definedName>
    <definedName name="Naslov" localSheetId="5">'R3'!$D$9:$K$12</definedName>
    <definedName name="Naslov" localSheetId="32">'R30'!$D$9:$K$12</definedName>
    <definedName name="Naslov" localSheetId="33">'R31'!$D$9:$K$12</definedName>
    <definedName name="Naslov" localSheetId="6">'R4'!$D$9:$K$12</definedName>
    <definedName name="Naslov" localSheetId="7">'R5'!$D$9:$K$12</definedName>
    <definedName name="Naslov" localSheetId="8">'R6'!$D$9:$K$12</definedName>
    <definedName name="Naslov" localSheetId="9">'R7'!$D$9:$K$12</definedName>
    <definedName name="Naslov" localSheetId="10">'R8'!$D$9:$K$12</definedName>
    <definedName name="Naslov" localSheetId="11">'R9'!$D$9:$K$12</definedName>
    <definedName name="Objekat">Index!$F$46</definedName>
    <definedName name="OdgovorniProjektant">Index!$F$64</definedName>
    <definedName name="OdgovorniProjektantSlika">Index!$F$88</definedName>
    <definedName name="OdgovornoLice">Index!$F$57</definedName>
    <definedName name="Pilot">Index!$F$8</definedName>
    <definedName name="_xlnm.Print_Area" localSheetId="0">Index!$P$3</definedName>
    <definedName name="_xlnm.Print_Area" localSheetId="1">'Naslovna strana'!$D$9:$D$37</definedName>
    <definedName name="_xlnm.Print_Area" localSheetId="3">'R1'!$D$9:$K$21</definedName>
    <definedName name="_xlnm.Print_Area" localSheetId="12">'R10'!$D$9:$K$21</definedName>
    <definedName name="_xlnm.Print_Area" localSheetId="13">'R11'!$D$9:$K$21</definedName>
    <definedName name="_xlnm.Print_Area" localSheetId="14">'R12'!$D$9:$K$21</definedName>
    <definedName name="_xlnm.Print_Area" localSheetId="15">'R13'!$D$9:$K$21</definedName>
    <definedName name="_xlnm.Print_Area" localSheetId="16">'R14'!$D$9:$K$21</definedName>
    <definedName name="_xlnm.Print_Area" localSheetId="17">'R15'!$D$9:$K$21</definedName>
    <definedName name="_xlnm.Print_Area" localSheetId="18">'R16'!$D$9:$K$21</definedName>
    <definedName name="_xlnm.Print_Area" localSheetId="19">'R17'!$D$9:$K$21</definedName>
    <definedName name="_xlnm.Print_Area" localSheetId="20">'R18'!$D$9:$K$21</definedName>
    <definedName name="_xlnm.Print_Area" localSheetId="21">'R19'!$D$9:$K$21</definedName>
    <definedName name="_xlnm.Print_Area" localSheetId="4">'R2'!$D$9:$K$21</definedName>
    <definedName name="_xlnm.Print_Area" localSheetId="22">'R20'!$D$9:$K$21</definedName>
    <definedName name="_xlnm.Print_Area" localSheetId="23">'R21'!$D$9:$K$21</definedName>
    <definedName name="_xlnm.Print_Area" localSheetId="24">'R22'!$D$9:$K$21</definedName>
    <definedName name="_xlnm.Print_Area" localSheetId="25">'R23'!$D$9:$K$21</definedName>
    <definedName name="_xlnm.Print_Area" localSheetId="26">'R24'!$D$9:$K$21</definedName>
    <definedName name="_xlnm.Print_Area" localSheetId="27">'R25'!$D$9:$K$21</definedName>
    <definedName name="_xlnm.Print_Area" localSheetId="28">'R26'!$D$9:$K$21</definedName>
    <definedName name="_xlnm.Print_Area" localSheetId="29">'R27'!$D$9:$K$21</definedName>
    <definedName name="_xlnm.Print_Area" localSheetId="30">'R28'!$D$9:$K$21</definedName>
    <definedName name="_xlnm.Print_Area" localSheetId="31">'R29'!$D$9:$K$21</definedName>
    <definedName name="_xlnm.Print_Area" localSheetId="5">'R3'!$D$9:$K$21</definedName>
    <definedName name="_xlnm.Print_Area" localSheetId="32">'R30'!$D$9:$K$21</definedName>
    <definedName name="_xlnm.Print_Area" localSheetId="33">'R31'!$D$9:$K$21</definedName>
    <definedName name="_xlnm.Print_Area" localSheetId="6">'R4'!$D$9:$K$21</definedName>
    <definedName name="_xlnm.Print_Area" localSheetId="7">'R5'!$D$9:$K$21</definedName>
    <definedName name="_xlnm.Print_Area" localSheetId="8">'R6'!$D$9:$K$21</definedName>
    <definedName name="_xlnm.Print_Area" localSheetId="9">'R7'!$D$9:$K$21</definedName>
    <definedName name="_xlnm.Print_Area" localSheetId="10">'R8'!$D$9:$K$21</definedName>
    <definedName name="_xlnm.Print_Area" localSheetId="11">'R9'!$D$9:$K$21</definedName>
    <definedName name="_xlnm.Print_Area" localSheetId="34">Rekapitulacija!$D$9:$E$56</definedName>
    <definedName name="_xlnm.Print_Area" localSheetId="2">Sadrzaj!$D$9:$E$20</definedName>
    <definedName name="ProjektnaOrganizacija">Index!$F$53</definedName>
    <definedName name="ProjektnaOrganizacijaSlika">Index!$F$83</definedName>
    <definedName name="PutanjaBaze">Index!$F$15</definedName>
    <definedName name="Radovi1">Index!$C$26</definedName>
    <definedName name="Radovi10">Index!$C$35</definedName>
    <definedName name="Radovi11">Index!$C$36</definedName>
    <definedName name="Radovi12">Index!$C$37</definedName>
    <definedName name="Radovi13">Index!$C$38</definedName>
    <definedName name="Radovi14">Index!$C$39</definedName>
    <definedName name="Radovi15">Index!$C$40</definedName>
    <definedName name="Radovi16">Index!$C$41</definedName>
    <definedName name="Radovi17">Index!$C$42</definedName>
    <definedName name="Radovi18">Index!$C$43</definedName>
    <definedName name="Radovi19">Index!$C$44</definedName>
    <definedName name="Radovi2">Index!$C$27</definedName>
    <definedName name="Radovi20">Index!$C$45</definedName>
    <definedName name="Radovi21">Index!$C$46</definedName>
    <definedName name="Radovi22">Index!$C$47</definedName>
    <definedName name="Radovi23">Index!$C$48</definedName>
    <definedName name="Radovi24">Index!$C$49</definedName>
    <definedName name="Radovi25">Index!$C$50</definedName>
    <definedName name="Radovi26">Index!$C$51</definedName>
    <definedName name="Radovi27">Index!$C$52</definedName>
    <definedName name="Radovi28">Index!$C$53</definedName>
    <definedName name="Radovi29">Index!$C$54</definedName>
    <definedName name="Radovi3">Index!$C$28</definedName>
    <definedName name="Radovi30">Index!$C$55</definedName>
    <definedName name="Radovi31">Index!$C$56</definedName>
    <definedName name="Radovi4">Index!$C$29</definedName>
    <definedName name="Radovi5">Index!$C$30</definedName>
    <definedName name="Radovi6">Index!$C$31</definedName>
    <definedName name="Radovi7">Index!$C$32</definedName>
    <definedName name="Radovi8">Index!$C$33</definedName>
    <definedName name="Radovi9">Index!$C$34</definedName>
    <definedName name="SrednjaVrednostDinara">Index!$F$75</definedName>
    <definedName name="Valuta">Index!$G$71</definedName>
  </definedNames>
  <calcPr calcId="162913"/>
</workbook>
</file>

<file path=xl/calcChain.xml><?xml version="1.0" encoding="utf-8"?>
<calcChain xmlns="http://schemas.openxmlformats.org/spreadsheetml/2006/main">
  <c r="D48" i="22" l="1"/>
  <c r="D54" i="22"/>
  <c r="D35" i="23"/>
  <c r="D27" i="23"/>
  <c r="D21" i="23"/>
  <c r="D19" i="23"/>
  <c r="D17" i="23" l="1"/>
  <c r="D15" i="23"/>
  <c r="E44" i="22" l="1"/>
  <c r="D44" i="22"/>
  <c r="K20" i="56"/>
  <c r="J20" i="56"/>
  <c r="K16" i="56"/>
  <c r="E43" i="22"/>
  <c r="D43" i="22"/>
  <c r="K20" i="55"/>
  <c r="J20" i="55"/>
  <c r="K16" i="55"/>
  <c r="E42" i="22"/>
  <c r="D42" i="22"/>
  <c r="K20" i="54"/>
  <c r="J20" i="54"/>
  <c r="K16" i="54"/>
  <c r="E41" i="22"/>
  <c r="D41" i="22"/>
  <c r="K20" i="53"/>
  <c r="J20" i="53"/>
  <c r="K16" i="53"/>
  <c r="E40" i="22"/>
  <c r="D40" i="22"/>
  <c r="K20" i="51"/>
  <c r="J20" i="51"/>
  <c r="K16" i="51"/>
  <c r="E39" i="22"/>
  <c r="D39" i="22"/>
  <c r="K20" i="50"/>
  <c r="J20" i="50"/>
  <c r="K16" i="50"/>
  <c r="E38" i="22"/>
  <c r="D38" i="22"/>
  <c r="K20" i="49"/>
  <c r="J20" i="49"/>
  <c r="K16" i="49"/>
  <c r="E37" i="22"/>
  <c r="D37" i="22"/>
  <c r="K20" i="48"/>
  <c r="J20" i="48"/>
  <c r="K16" i="48"/>
  <c r="E36" i="22"/>
  <c r="D36" i="22"/>
  <c r="K20" i="47"/>
  <c r="J20" i="47"/>
  <c r="K16" i="47"/>
  <c r="E35" i="22"/>
  <c r="D35" i="22"/>
  <c r="K20" i="46"/>
  <c r="J20" i="46"/>
  <c r="K16" i="46"/>
  <c r="E34" i="22"/>
  <c r="D34" i="22"/>
  <c r="K20" i="45"/>
  <c r="J20" i="45"/>
  <c r="K16" i="45"/>
  <c r="E33" i="22"/>
  <c r="D33" i="22"/>
  <c r="K20" i="44"/>
  <c r="J20" i="44"/>
  <c r="K16" i="44"/>
  <c r="E32" i="22"/>
  <c r="D32" i="22"/>
  <c r="K20" i="43"/>
  <c r="J20" i="43"/>
  <c r="K16" i="43"/>
  <c r="E31" i="22"/>
  <c r="D31" i="22"/>
  <c r="K20" i="42"/>
  <c r="J20" i="42"/>
  <c r="K16" i="42"/>
  <c r="E30" i="22"/>
  <c r="D30" i="22"/>
  <c r="K20" i="41"/>
  <c r="J20" i="41"/>
  <c r="K16" i="41"/>
  <c r="E29" i="22"/>
  <c r="D29" i="22"/>
  <c r="K20" i="40"/>
  <c r="J20" i="40"/>
  <c r="K16" i="40"/>
  <c r="E28" i="22"/>
  <c r="D28" i="22"/>
  <c r="K20" i="39"/>
  <c r="J20" i="39"/>
  <c r="K16" i="39"/>
  <c r="E27" i="22"/>
  <c r="D27" i="22"/>
  <c r="K20" i="38"/>
  <c r="J20" i="38"/>
  <c r="K16" i="38"/>
  <c r="E26" i="22"/>
  <c r="D26" i="22"/>
  <c r="K20" i="37"/>
  <c r="J20" i="37"/>
  <c r="K16" i="37"/>
  <c r="E25" i="22"/>
  <c r="D25" i="22"/>
  <c r="K20" i="36"/>
  <c r="J20" i="36"/>
  <c r="K16" i="36"/>
  <c r="E24" i="22"/>
  <c r="D24" i="22"/>
  <c r="K20" i="35"/>
  <c r="J20" i="35"/>
  <c r="K16" i="35"/>
  <c r="E23" i="22"/>
  <c r="D23" i="22"/>
  <c r="K20" i="34"/>
  <c r="J20" i="34"/>
  <c r="K16" i="34"/>
  <c r="E22" i="22"/>
  <c r="D22" i="22"/>
  <c r="K20" i="33"/>
  <c r="J20" i="33"/>
  <c r="K16" i="33"/>
  <c r="E21" i="22"/>
  <c r="D21" i="22"/>
  <c r="K20" i="32"/>
  <c r="J20" i="32"/>
  <c r="K16" i="32"/>
  <c r="E20" i="22"/>
  <c r="D20" i="22"/>
  <c r="K20" i="31"/>
  <c r="J20" i="31"/>
  <c r="K16" i="31"/>
  <c r="E19" i="22"/>
  <c r="E18" i="22"/>
  <c r="D19" i="22"/>
  <c r="K20" i="30"/>
  <c r="J20" i="30"/>
  <c r="K16" i="30"/>
  <c r="E17" i="22"/>
  <c r="E16" i="22"/>
  <c r="E15" i="22"/>
  <c r="D18" i="22"/>
  <c r="K20" i="29"/>
  <c r="J20" i="29"/>
  <c r="K16" i="29"/>
  <c r="K20" i="28"/>
  <c r="J20" i="28"/>
  <c r="K16" i="28"/>
  <c r="K20" i="27"/>
  <c r="J20" i="27"/>
  <c r="K16" i="27"/>
  <c r="K20" i="26"/>
  <c r="J20" i="26"/>
  <c r="K16" i="26"/>
  <c r="D17" i="22" l="1"/>
  <c r="D16" i="22"/>
  <c r="D15" i="22" l="1"/>
  <c r="K16" i="20" l="1"/>
  <c r="D14" i="22" l="1"/>
  <c r="E14" i="22"/>
  <c r="F71" i="25" l="1"/>
  <c r="A57" i="25" s="1"/>
  <c r="E75" i="25" l="1"/>
  <c r="E71" i="25"/>
  <c r="E46" i="22" l="1"/>
  <c r="E64" i="25"/>
  <c r="E57" i="25"/>
  <c r="E53" i="25"/>
  <c r="E46" i="25"/>
  <c r="E39" i="25"/>
  <c r="E32" i="25"/>
  <c r="E28" i="25"/>
  <c r="E24" i="25"/>
  <c r="A24" i="25"/>
  <c r="A23" i="25"/>
  <c r="A22" i="25"/>
  <c r="A21" i="25"/>
  <c r="A20" i="25"/>
  <c r="E15" i="25"/>
  <c r="E8" i="25"/>
  <c r="A6" i="25"/>
  <c r="A5" i="25"/>
  <c r="J20" i="20" l="1"/>
  <c r="K20" i="20" l="1"/>
</calcChain>
</file>

<file path=xl/sharedStrings.xml><?xml version="1.0" encoding="utf-8"?>
<sst xmlns="http://schemas.openxmlformats.org/spreadsheetml/2006/main" count="512" uniqueCount="130">
  <si>
    <t>Redni broj</t>
  </si>
  <si>
    <t>gr</t>
  </si>
  <si>
    <t>Opis posla</t>
  </si>
  <si>
    <t>Jedinica mere</t>
  </si>
  <si>
    <t>Količina</t>
  </si>
  <si>
    <t>PRIPREMNO ZAVRŠNI RADOVI</t>
  </si>
  <si>
    <t>UKUPNO:</t>
  </si>
  <si>
    <t>PREDMER I PREDRAČUN RADOVA</t>
  </si>
  <si>
    <t>REKAPITULACIJA</t>
  </si>
  <si>
    <t>Projektant</t>
  </si>
  <si>
    <t>Odgovorni projektant</t>
  </si>
  <si>
    <t>Valuta</t>
  </si>
  <si>
    <t>Pripremno završni radovi</t>
  </si>
  <si>
    <t>Naziv radova</t>
  </si>
  <si>
    <t>Iznos</t>
  </si>
  <si>
    <t>Istraživački radovi</t>
  </si>
  <si>
    <t>Demontaža i rušenje</t>
  </si>
  <si>
    <t>Zemljani radovi</t>
  </si>
  <si>
    <t>Zidarski radovi</t>
  </si>
  <si>
    <t>Betonski i armirano betonski radovi</t>
  </si>
  <si>
    <t>Tesarski radovi</t>
  </si>
  <si>
    <t>Pokrivački radovi</t>
  </si>
  <si>
    <t>Izolaterski radovi</t>
  </si>
  <si>
    <t>Građevinska stolarija</t>
  </si>
  <si>
    <t>Stolarski radovi</t>
  </si>
  <si>
    <t>Bravarski radovi</t>
  </si>
  <si>
    <t>Limarski radovi</t>
  </si>
  <si>
    <t>Staklorezački radovi</t>
  </si>
  <si>
    <t>Keramičarski radovi</t>
  </si>
  <si>
    <t>Teracerski radovi</t>
  </si>
  <si>
    <t>Kamenorezački radovi</t>
  </si>
  <si>
    <t>Parketarski radovi</t>
  </si>
  <si>
    <t>Podopolagački radovi</t>
  </si>
  <si>
    <t>Tapetarski radovi</t>
  </si>
  <si>
    <t>Roletnarski radovi</t>
  </si>
  <si>
    <t>Suvomontažerski radovi</t>
  </si>
  <si>
    <t>Gipsarski radovi</t>
  </si>
  <si>
    <t>Fasaderski radovi</t>
  </si>
  <si>
    <t>Likorezački radovi</t>
  </si>
  <si>
    <t>Molerskofasaderski radovi</t>
  </si>
  <si>
    <t>Livački radovi</t>
  </si>
  <si>
    <t>Razni zanatski radovi</t>
  </si>
  <si>
    <t>Vodovod</t>
  </si>
  <si>
    <t>Kanalizacija</t>
  </si>
  <si>
    <t>Sanitarni uređaji</t>
  </si>
  <si>
    <t>Investitor</t>
  </si>
  <si>
    <t>Objekat</t>
  </si>
  <si>
    <t>Odgovorno lice projektanta</t>
  </si>
  <si>
    <t>NASLOVNA STRANA PREDMERA I PREDRAČUNA RADOVA</t>
  </si>
  <si>
    <t>Sadržaj predmera i predračuna radova</t>
  </si>
  <si>
    <t>Naslovna strana predmera i predračuna radova</t>
  </si>
  <si>
    <t>Predmer i predračun radova</t>
  </si>
  <si>
    <t>SADRŽAJ PREDMERA I PREDRAČUNA RADOVA</t>
  </si>
  <si>
    <t>Naziv pozicije</t>
  </si>
  <si>
    <t>PODEŠAVANJA</t>
  </si>
  <si>
    <t>Pilot</t>
  </si>
  <si>
    <t>Baza</t>
  </si>
  <si>
    <t>Naziv pilota</t>
  </si>
  <si>
    <t>PRILOZI</t>
  </si>
  <si>
    <t>4.1. Naslovna strana snimka izvedenog stanja</t>
  </si>
  <si>
    <t>4.2. Sadržaj snimka izvedenog stanja</t>
  </si>
  <si>
    <t>4.5.0. Tekstualna dokumentacija</t>
  </si>
  <si>
    <t>4.5.1. Opšti podaci o objektu i lokaciji</t>
  </si>
  <si>
    <t>4.6.0. Numerička dokumentacija</t>
  </si>
  <si>
    <t>Informacije</t>
  </si>
  <si>
    <t>4.6.1. Tabelarni prikaz visina</t>
  </si>
  <si>
    <t>4.7.0. Fotografije</t>
  </si>
  <si>
    <t>Putanja baze podataka (.accdb)</t>
  </si>
  <si>
    <t>PODACI</t>
  </si>
  <si>
    <t>Evidencija</t>
  </si>
  <si>
    <t>Projektna organizacija</t>
  </si>
  <si>
    <t>Datum</t>
  </si>
  <si>
    <t>(primer: 23.11.2017)</t>
  </si>
  <si>
    <t>Evidencioni broj</t>
  </si>
  <si>
    <t>(primer: 23-1/11/2017)</t>
  </si>
  <si>
    <t>Mesto</t>
  </si>
  <si>
    <t>(primer: Ćuprija 35230)</t>
  </si>
  <si>
    <t>(primer: Vuk Stojanović, JMBG 1234567891234, Ćuprija 35230, Alekse Šantića 3)</t>
  </si>
  <si>
    <t>(primer: Stambena zgrada sa jednim stanom - porodična kuća, spratnosti Pr+2+Pk)</t>
  </si>
  <si>
    <t>Projektne organizacije</t>
  </si>
  <si>
    <t>(primer: Stoing (DOO), Ćuprija 35230, Alekse Šantića 3)</t>
  </si>
  <si>
    <t>Odgovorno lice projektne organizacije</t>
  </si>
  <si>
    <t>(primer: Vesna Stojanović, Dipl. inž. građ.)</t>
  </si>
  <si>
    <t>Odgovorni projektanti</t>
  </si>
  <si>
    <t>Odgovorni projektant arhitekture</t>
  </si>
  <si>
    <t>(primer: Zoran Stojanović, Dipl. inž. građ. sa brojem licence 317 A335 04)</t>
  </si>
  <si>
    <t>(primer: Predmer i predracun radova)</t>
  </si>
  <si>
    <t>Predmer i predracun radova</t>
  </si>
  <si>
    <t>Radovi</t>
  </si>
  <si>
    <t>Ostale vrednosti</t>
  </si>
  <si>
    <t>Cena po jedinici mere unos (€)</t>
  </si>
  <si>
    <t>a</t>
  </si>
  <si>
    <t>Cena po jedinici mere</t>
  </si>
  <si>
    <t>b</t>
  </si>
  <si>
    <t>POTPISI I PEČATI</t>
  </si>
  <si>
    <t>ISTRAŽIVAČKI RADOVI</t>
  </si>
  <si>
    <t>DEMOTAŽA I RUŠENJE</t>
  </si>
  <si>
    <t>ZEMLJANI RADOVI</t>
  </si>
  <si>
    <t>ZIDARSKI RADOVI</t>
  </si>
  <si>
    <t>BETONSKI I ARMIRANO BETONSKI RADOVI</t>
  </si>
  <si>
    <t>TESARSKI RADOVI</t>
  </si>
  <si>
    <t>POKRIVAČKI RADOVI</t>
  </si>
  <si>
    <t>IZOLATERSKI RADOVI</t>
  </si>
  <si>
    <t>GRAĐEVINSKA STOLARIJA</t>
  </si>
  <si>
    <t>STOLARSKI RADOVI</t>
  </si>
  <si>
    <t>BRAVARSKI RADOVI</t>
  </si>
  <si>
    <t>LIMARSKI RADOVI</t>
  </si>
  <si>
    <t>STAKLOREZAČKI RADOVI</t>
  </si>
  <si>
    <t>KERAMIČARSKI RADOVI</t>
  </si>
  <si>
    <t>TERACERSKI RADOVI</t>
  </si>
  <si>
    <t>KAMENOREZAČKI RADOVI</t>
  </si>
  <si>
    <t>PARKETARSKI RADOVI</t>
  </si>
  <si>
    <t>PODOPOLAGAČKI RADOVI</t>
  </si>
  <si>
    <t>TAPETARSKI RADOVI</t>
  </si>
  <si>
    <t>ROLETNARSKI RADOVI</t>
  </si>
  <si>
    <t>SUVOMONTAŽERSKI RADOVI</t>
  </si>
  <si>
    <t>GIPSARSKI RADOVI</t>
  </si>
  <si>
    <t>FASADERSKI RADOVI</t>
  </si>
  <si>
    <t>LIKOREZAČKI RADOVI</t>
  </si>
  <si>
    <t>MOLERSKOFARBARSKI RADOVI</t>
  </si>
  <si>
    <t>LIVAČKI RADOVI</t>
  </si>
  <si>
    <t>RAZNI ZANATSKI RADOVI</t>
  </si>
  <si>
    <t>VODOVOD</t>
  </si>
  <si>
    <t>KANALIZACIJA</t>
  </si>
  <si>
    <t>SANITARNI UREĐAJI</t>
  </si>
  <si>
    <t>Datum, broj projekta, mesto</t>
  </si>
  <si>
    <t>C:\Users\vukst\Desktop\Arhiva_radna\Baze\Informacije\Informacije.accdb</t>
  </si>
  <si>
    <t>(primer: RSD)</t>
  </si>
  <si>
    <t>(primer: 120,00)</t>
  </si>
  <si>
    <t>Srednja vrednost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</si>
</sst>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2"/>
      <color theme="1"/>
      <name val="Arial"/>
      <family val="2"/>
    </font>
    <font>
      <sz val="12"/>
      <color theme="1"/>
      <name val="Arial"/>
      <family val="2"/>
      <charset val="238"/>
    </font>
    <font>
      <sz val="12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238"/>
    </font>
    <font>
      <sz val="12"/>
      <color theme="0" tint="-0.249977111117893"/>
      <name val="Arial"/>
      <family val="2"/>
    </font>
    <font>
      <b/>
      <sz val="12"/>
      <color theme="1"/>
      <name val="Arial"/>
      <family val="2"/>
      <charset val="238"/>
    </font>
    <font>
      <i/>
      <sz val="8"/>
      <color theme="1" tint="0.499984740745262"/>
      <name val="Arial"/>
      <family val="2"/>
      <charset val="238"/>
    </font>
    <font>
      <sz val="12"/>
      <color theme="5" tint="-0.249977111117893"/>
      <name val="Arial"/>
      <family val="2"/>
      <charset val="238"/>
    </font>
    <font>
      <sz val="12"/>
      <color theme="5" tint="-0.249977111117893"/>
      <name val="Arial"/>
      <family val="2"/>
    </font>
    <font>
      <sz val="10"/>
      <color theme="1" tint="0.249977111117893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  <charset val="238"/>
    </font>
    <font>
      <sz val="8"/>
      <color theme="1" tint="0.249977111117893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i/>
      <sz val="8"/>
      <color rgb="FF808080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10"/>
      <color theme="1"/>
      <name val="Arial"/>
      <family val="2"/>
      <charset val="238"/>
    </font>
    <font>
      <sz val="12"/>
      <color theme="1"/>
      <name val="Wingdings 2"/>
      <family val="1"/>
      <charset val="2"/>
    </font>
    <font>
      <sz val="10"/>
      <name val="Arial"/>
      <family val="2"/>
      <charset val="238"/>
    </font>
    <font>
      <sz val="10"/>
      <color theme="1" tint="0.249977111117893"/>
      <name val="Arial"/>
      <family val="2"/>
    </font>
    <font>
      <u/>
      <sz val="10"/>
      <color theme="1" tint="0.249977111117893"/>
      <name val="Arial"/>
      <family val="2"/>
      <charset val="238"/>
    </font>
    <font>
      <u/>
      <sz val="12"/>
      <color theme="10"/>
      <name val="Arial"/>
      <family val="2"/>
    </font>
    <font>
      <i/>
      <sz val="8"/>
      <color theme="1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10"/>
      <color rgb="FF404040"/>
      <name val="Arial"/>
      <family val="2"/>
    </font>
    <font>
      <sz val="9"/>
      <color theme="0" tint="-0.249977111117893"/>
      <name val="Forte"/>
      <family val="4"/>
    </font>
    <font>
      <sz val="12"/>
      <color theme="1"/>
      <name val="Arial"/>
    </font>
    <font>
      <sz val="12"/>
      <color theme="0" tint="-0.249977111117893"/>
      <name val="Arial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medium">
        <color theme="0" tint="-4.9989318521683403E-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1" tint="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</borders>
  <cellStyleXfs count="5">
    <xf numFmtId="0" fontId="0" fillId="0" borderId="0"/>
    <xf numFmtId="0" fontId="4" fillId="0" borderId="0"/>
    <xf numFmtId="0" fontId="3" fillId="0" borderId="0"/>
    <xf numFmtId="0" fontId="1" fillId="0" borderId="0"/>
    <xf numFmtId="0" fontId="24" fillId="0" borderId="0" applyNumberFormat="0" applyFill="0" applyBorder="0" applyAlignment="0" applyProtection="0"/>
  </cellStyleXfs>
  <cellXfs count="154">
    <xf numFmtId="0" fontId="0" fillId="0" borderId="0" xfId="0"/>
    <xf numFmtId="0" fontId="2" fillId="2" borderId="1" xfId="2" applyFont="1" applyFill="1" applyBorder="1"/>
    <xf numFmtId="0" fontId="2" fillId="0" borderId="0" xfId="1" applyFont="1"/>
    <xf numFmtId="0" fontId="2" fillId="0" borderId="0" xfId="2" applyFont="1"/>
    <xf numFmtId="0" fontId="4" fillId="3" borderId="0" xfId="1" applyFont="1" applyFill="1" applyAlignment="1">
      <alignment horizontal="justify"/>
    </xf>
    <xf numFmtId="0" fontId="4" fillId="3" borderId="0" xfId="1" applyFill="1"/>
    <xf numFmtId="0" fontId="4" fillId="4" borderId="0" xfId="1" applyFont="1" applyFill="1" applyAlignment="1">
      <alignment horizontal="justify"/>
    </xf>
    <xf numFmtId="0" fontId="4" fillId="5" borderId="0" xfId="1" applyFont="1" applyFill="1" applyAlignment="1">
      <alignment horizontal="justify"/>
    </xf>
    <xf numFmtId="0" fontId="4" fillId="5" borderId="0" xfId="1" applyFill="1"/>
    <xf numFmtId="0" fontId="4" fillId="0" borderId="0" xfId="1" applyFont="1" applyAlignment="1">
      <alignment horizontal="justify"/>
    </xf>
    <xf numFmtId="0" fontId="2" fillId="5" borderId="0" xfId="1" applyFont="1" applyFill="1"/>
    <xf numFmtId="0" fontId="6" fillId="0" borderId="0" xfId="1" applyFont="1" applyAlignment="1">
      <alignment horizontal="right"/>
    </xf>
    <xf numFmtId="4" fontId="6" fillId="0" borderId="0" xfId="1" applyNumberFormat="1" applyFont="1" applyAlignment="1">
      <alignment horizontal="right"/>
    </xf>
    <xf numFmtId="0" fontId="4" fillId="0" borderId="0" xfId="1"/>
    <xf numFmtId="0" fontId="4" fillId="2" borderId="0" xfId="1" applyFont="1" applyFill="1" applyAlignment="1">
      <alignment horizontal="justify"/>
    </xf>
    <xf numFmtId="0" fontId="10" fillId="0" borderId="0" xfId="1" applyFont="1" applyAlignment="1">
      <alignment horizontal="right" vertical="center"/>
    </xf>
    <xf numFmtId="0" fontId="3" fillId="3" borderId="0" xfId="2" applyFont="1" applyFill="1" applyAlignment="1">
      <alignment horizontal="justify"/>
    </xf>
    <xf numFmtId="0" fontId="3" fillId="3" borderId="0" xfId="2" applyFill="1"/>
    <xf numFmtId="0" fontId="3" fillId="5" borderId="0" xfId="2" applyFont="1" applyFill="1" applyAlignment="1">
      <alignment horizontal="justify"/>
    </xf>
    <xf numFmtId="0" fontId="3" fillId="5" borderId="0" xfId="2" applyFill="1"/>
    <xf numFmtId="0" fontId="3" fillId="0" borderId="0" xfId="2" applyFont="1" applyAlignment="1">
      <alignment horizontal="justify"/>
    </xf>
    <xf numFmtId="0" fontId="12" fillId="6" borderId="2" xfId="2" applyFont="1" applyFill="1" applyBorder="1" applyAlignment="1">
      <alignment horizontal="left" vertical="center"/>
    </xf>
    <xf numFmtId="0" fontId="12" fillId="6" borderId="4" xfId="2" applyFont="1" applyFill="1" applyBorder="1" applyAlignment="1">
      <alignment horizontal="right" vertical="center"/>
    </xf>
    <xf numFmtId="0" fontId="2" fillId="0" borderId="3" xfId="2" applyFont="1" applyFill="1" applyBorder="1" applyAlignment="1">
      <alignment horizontal="justify"/>
    </xf>
    <xf numFmtId="4" fontId="2" fillId="0" borderId="3" xfId="2" applyNumberFormat="1" applyFont="1" applyFill="1" applyBorder="1" applyAlignment="1">
      <alignment horizontal="right"/>
    </xf>
    <xf numFmtId="4" fontId="6" fillId="0" borderId="0" xfId="2" applyNumberFormat="1" applyFont="1" applyAlignment="1">
      <alignment horizontal="right"/>
    </xf>
    <xf numFmtId="0" fontId="3" fillId="0" borderId="5" xfId="2" applyFont="1" applyBorder="1" applyAlignment="1">
      <alignment horizontal="justify"/>
    </xf>
    <xf numFmtId="4" fontId="6" fillId="0" borderId="5" xfId="2" applyNumberFormat="1" applyFont="1" applyBorder="1" applyAlignment="1">
      <alignment horizontal="right"/>
    </xf>
    <xf numFmtId="0" fontId="3" fillId="2" borderId="0" xfId="2" applyFont="1" applyFill="1" applyAlignment="1">
      <alignment horizontal="justify"/>
    </xf>
    <xf numFmtId="0" fontId="10" fillId="0" borderId="0" xfId="2" applyFont="1" applyAlignment="1">
      <alignment horizontal="right" vertical="center"/>
    </xf>
    <xf numFmtId="0" fontId="0" fillId="5" borderId="0" xfId="0" applyFill="1"/>
    <xf numFmtId="0" fontId="2" fillId="0" borderId="6" xfId="2" applyFont="1" applyFill="1" applyBorder="1" applyAlignment="1">
      <alignment horizontal="justify"/>
    </xf>
    <xf numFmtId="0" fontId="3" fillId="0" borderId="7" xfId="2" applyFont="1" applyBorder="1" applyAlignment="1">
      <alignment horizontal="justify"/>
    </xf>
    <xf numFmtId="0" fontId="8" fillId="5" borderId="0" xfId="1" applyFont="1" applyFill="1" applyAlignment="1">
      <alignment horizontal="center" vertical="top"/>
    </xf>
    <xf numFmtId="0" fontId="0" fillId="2" borderId="1" xfId="0" applyFill="1" applyBorder="1"/>
    <xf numFmtId="0" fontId="14" fillId="0" borderId="0" xfId="0" applyFont="1" applyAlignment="1">
      <alignment vertical="center"/>
    </xf>
    <xf numFmtId="0" fontId="0" fillId="3" borderId="0" xfId="0" applyFont="1" applyFill="1" applyAlignment="1">
      <alignment horizontal="justify"/>
    </xf>
    <xf numFmtId="0" fontId="15" fillId="3" borderId="0" xfId="0" applyFont="1" applyFill="1" applyAlignment="1">
      <alignment horizontal="right" vertical="center"/>
    </xf>
    <xf numFmtId="0" fontId="0" fillId="5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6" fillId="0" borderId="0" xfId="0" applyFont="1" applyAlignment="1">
      <alignment horizontal="center"/>
    </xf>
    <xf numFmtId="0" fontId="0" fillId="0" borderId="8" xfId="0" applyFont="1" applyFill="1" applyBorder="1" applyAlignment="1">
      <alignment horizontal="justify"/>
    </xf>
    <xf numFmtId="0" fontId="16" fillId="0" borderId="0" xfId="0" applyFont="1" applyAlignment="1">
      <alignment horizontal="left" vertical="top"/>
    </xf>
    <xf numFmtId="0" fontId="0" fillId="0" borderId="0" xfId="0" applyFont="1" applyFill="1" applyAlignment="1">
      <alignment horizontal="justify"/>
    </xf>
    <xf numFmtId="0" fontId="16" fillId="0" borderId="9" xfId="0" applyFont="1" applyBorder="1" applyAlignment="1">
      <alignment horizontal="left" vertical="top"/>
    </xf>
    <xf numFmtId="0" fontId="0" fillId="2" borderId="0" xfId="0" applyFont="1" applyFill="1" applyAlignment="1">
      <alignment horizontal="justify"/>
    </xf>
    <xf numFmtId="0" fontId="2" fillId="2" borderId="1" xfId="0" applyFont="1" applyFill="1" applyBorder="1"/>
    <xf numFmtId="0" fontId="2" fillId="0" borderId="0" xfId="0" applyFont="1"/>
    <xf numFmtId="0" fontId="0" fillId="3" borderId="0" xfId="0" applyFill="1"/>
    <xf numFmtId="0" fontId="0" fillId="4" borderId="0" xfId="0" applyFont="1" applyFill="1" applyAlignment="1">
      <alignment horizontal="justify"/>
    </xf>
    <xf numFmtId="0" fontId="3" fillId="2" borderId="10" xfId="2" applyFill="1" applyBorder="1" applyProtection="1"/>
    <xf numFmtId="0" fontId="0" fillId="3" borderId="0" xfId="0" applyFill="1" applyProtection="1"/>
    <xf numFmtId="0" fontId="3" fillId="3" borderId="0" xfId="2" applyFill="1" applyBorder="1" applyProtection="1"/>
    <xf numFmtId="0" fontId="0" fillId="3" borderId="0" xfId="0" applyFill="1" applyBorder="1" applyProtection="1"/>
    <xf numFmtId="0" fontId="3" fillId="0" borderId="0" xfId="2" applyBorder="1" applyProtection="1"/>
    <xf numFmtId="0" fontId="1" fillId="0" borderId="0" xfId="3" applyBorder="1" applyProtection="1"/>
    <xf numFmtId="0" fontId="1" fillId="5" borderId="0" xfId="3" applyFill="1" applyBorder="1" applyProtection="1"/>
    <xf numFmtId="0" fontId="11" fillId="3" borderId="0" xfId="2" applyFont="1" applyFill="1" applyAlignment="1" applyProtection="1">
      <alignment horizontal="left" vertical="center"/>
    </xf>
    <xf numFmtId="0" fontId="3" fillId="0" borderId="0" xfId="2" applyProtection="1"/>
    <xf numFmtId="0" fontId="17" fillId="0" borderId="0" xfId="3" applyFont="1" applyBorder="1" applyAlignment="1" applyProtection="1">
      <alignment horizontal="center" vertical="center"/>
    </xf>
    <xf numFmtId="0" fontId="1" fillId="5" borderId="0" xfId="3" applyFill="1" applyProtection="1"/>
    <xf numFmtId="0" fontId="18" fillId="3" borderId="0" xfId="0" applyFont="1" applyFill="1" applyAlignment="1" applyProtection="1">
      <alignment horizontal="center" vertical="top"/>
    </xf>
    <xf numFmtId="0" fontId="10" fillId="3" borderId="0" xfId="2" applyFont="1" applyFill="1" applyAlignment="1" applyProtection="1">
      <alignment horizontal="left" vertical="center"/>
    </xf>
    <xf numFmtId="0" fontId="11" fillId="0" borderId="0" xfId="2" applyFont="1" applyAlignment="1" applyProtection="1">
      <alignment horizontal="left" vertical="center"/>
    </xf>
    <xf numFmtId="0" fontId="1" fillId="0" borderId="0" xfId="3" applyProtection="1"/>
    <xf numFmtId="0" fontId="3" fillId="0" borderId="11" xfId="2" applyBorder="1" applyProtection="1"/>
    <xf numFmtId="0" fontId="1" fillId="0" borderId="12" xfId="3" applyBorder="1" applyProtection="1"/>
    <xf numFmtId="0" fontId="3" fillId="0" borderId="13" xfId="2" applyBorder="1" applyProtection="1"/>
    <xf numFmtId="0" fontId="3" fillId="0" borderId="14" xfId="2" applyBorder="1" applyProtection="1"/>
    <xf numFmtId="0" fontId="10" fillId="0" borderId="0" xfId="3" applyFont="1" applyBorder="1" applyAlignment="1" applyProtection="1">
      <alignment horizontal="left" vertical="center"/>
    </xf>
    <xf numFmtId="0" fontId="3" fillId="0" borderId="15" xfId="2" applyBorder="1" applyProtection="1"/>
    <xf numFmtId="0" fontId="3" fillId="0" borderId="16" xfId="2" applyBorder="1" applyProtection="1"/>
    <xf numFmtId="0" fontId="9" fillId="0" borderId="0" xfId="3" applyFont="1" applyFill="1" applyBorder="1" applyAlignment="1" applyProtection="1">
      <alignment horizontal="center"/>
    </xf>
    <xf numFmtId="0" fontId="19" fillId="0" borderId="17" xfId="3" applyNumberFormat="1" applyFont="1" applyBorder="1" applyAlignment="1" applyProtection="1">
      <alignment horizontal="justify"/>
    </xf>
    <xf numFmtId="0" fontId="9" fillId="0" borderId="15" xfId="3" applyFont="1" applyFill="1" applyBorder="1" applyAlignment="1" applyProtection="1">
      <alignment horizontal="center"/>
    </xf>
    <xf numFmtId="0" fontId="15" fillId="0" borderId="0" xfId="3" applyFont="1" applyBorder="1" applyAlignment="1" applyProtection="1">
      <alignment horizontal="left" vertical="top"/>
    </xf>
    <xf numFmtId="0" fontId="3" fillId="0" borderId="18" xfId="2" applyBorder="1" applyProtection="1"/>
    <xf numFmtId="0" fontId="1" fillId="0" borderId="19" xfId="3" applyBorder="1" applyProtection="1"/>
    <xf numFmtId="0" fontId="3" fillId="0" borderId="20" xfId="2" applyBorder="1" applyProtection="1"/>
    <xf numFmtId="0" fontId="10" fillId="3" borderId="0" xfId="2" applyFont="1" applyFill="1" applyAlignment="1" applyProtection="1">
      <alignment horizontal="left" vertical="center" indent="1"/>
    </xf>
    <xf numFmtId="0" fontId="3" fillId="3" borderId="0" xfId="2" applyFill="1" applyProtection="1"/>
    <xf numFmtId="0" fontId="20" fillId="3" borderId="0" xfId="0" applyFont="1" applyFill="1" applyAlignment="1" applyProtection="1">
      <alignment horizontal="center" vertical="top"/>
    </xf>
    <xf numFmtId="0" fontId="15" fillId="0" borderId="0" xfId="3" applyFont="1" applyBorder="1" applyAlignment="1" applyProtection="1">
      <alignment horizontal="justify" vertical="top"/>
    </xf>
    <xf numFmtId="0" fontId="1" fillId="3" borderId="0" xfId="3" applyFill="1" applyProtection="1"/>
    <xf numFmtId="0" fontId="3" fillId="0" borderId="21" xfId="2" applyBorder="1" applyProtection="1"/>
    <xf numFmtId="0" fontId="1" fillId="0" borderId="22" xfId="3" applyBorder="1" applyProtection="1"/>
    <xf numFmtId="0" fontId="3" fillId="0" borderId="23" xfId="2" applyBorder="1" applyProtection="1"/>
    <xf numFmtId="0" fontId="3" fillId="0" borderId="24" xfId="2" applyBorder="1" applyProtection="1"/>
    <xf numFmtId="0" fontId="3" fillId="0" borderId="25" xfId="2" applyBorder="1" applyProtection="1"/>
    <xf numFmtId="0" fontId="3" fillId="0" borderId="22" xfId="2" applyBorder="1" applyProtection="1"/>
    <xf numFmtId="0" fontId="3" fillId="0" borderId="12" xfId="2" applyBorder="1" applyProtection="1"/>
    <xf numFmtId="0" fontId="22" fillId="3" borderId="0" xfId="0" applyFont="1" applyFill="1" applyAlignment="1" applyProtection="1">
      <alignment horizontal="left" vertical="center" indent="1"/>
    </xf>
    <xf numFmtId="0" fontId="22" fillId="3" borderId="0" xfId="2" applyFont="1" applyFill="1" applyAlignment="1" applyProtection="1">
      <alignment horizontal="left" vertical="center" indent="1"/>
    </xf>
    <xf numFmtId="0" fontId="23" fillId="3" borderId="0" xfId="2" applyFont="1" applyFill="1" applyAlignment="1" applyProtection="1">
      <alignment horizontal="left" vertical="center"/>
    </xf>
    <xf numFmtId="0" fontId="19" fillId="0" borderId="17" xfId="3" applyFont="1" applyBorder="1" applyAlignment="1" applyProtection="1">
      <alignment horizontal="justify"/>
    </xf>
    <xf numFmtId="1" fontId="10" fillId="3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0" xfId="1" applyFont="1" applyFill="1" applyAlignment="1">
      <alignment horizontal="justify"/>
    </xf>
    <xf numFmtId="4" fontId="1" fillId="0" borderId="0" xfId="1" applyNumberFormat="1" applyFont="1" applyFill="1" applyAlignment="1">
      <alignment horizontal="right"/>
    </xf>
    <xf numFmtId="0" fontId="7" fillId="0" borderId="28" xfId="0" applyNumberFormat="1" applyFont="1" applyFill="1" applyBorder="1" applyAlignment="1" applyProtection="1">
      <alignment horizontal="center" vertical="center" wrapText="1"/>
    </xf>
    <xf numFmtId="0" fontId="25" fillId="0" borderId="0" xfId="0" applyNumberFormat="1" applyFont="1" applyFill="1" applyBorder="1" applyAlignment="1" applyProtection="1">
      <alignment horizontal="justify" vertical="center" wrapText="1"/>
    </xf>
    <xf numFmtId="0" fontId="25" fillId="0" borderId="0" xfId="0" applyNumberFormat="1" applyFont="1" applyFill="1" applyBorder="1" applyAlignment="1" applyProtection="1">
      <alignment horizontal="justify" vertical="center"/>
    </xf>
    <xf numFmtId="0" fontId="25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justify"/>
    </xf>
    <xf numFmtId="4" fontId="1" fillId="0" borderId="0" xfId="0" applyNumberFormat="1" applyFont="1" applyFill="1" applyBorder="1" applyAlignment="1" applyProtection="1">
      <alignment horizontal="right"/>
    </xf>
    <xf numFmtId="0" fontId="26" fillId="0" borderId="0" xfId="1" applyFont="1" applyAlignment="1">
      <alignment horizontal="right" vertical="center"/>
    </xf>
    <xf numFmtId="0" fontId="25" fillId="7" borderId="0" xfId="0" applyNumberFormat="1" applyFont="1" applyFill="1" applyBorder="1" applyAlignment="1" applyProtection="1">
      <alignment horizontal="justify" vertical="center" wrapText="1"/>
    </xf>
    <xf numFmtId="0" fontId="25" fillId="7" borderId="0" xfId="0" applyNumberFormat="1" applyFont="1" applyFill="1" applyBorder="1" applyAlignment="1" applyProtection="1">
      <alignment horizontal="left" vertical="center" wrapText="1"/>
    </xf>
    <xf numFmtId="0" fontId="17" fillId="0" borderId="0" xfId="0" applyFont="1" applyBorder="1" applyAlignment="1" applyProtection="1">
      <alignment horizontal="center" vertical="center"/>
    </xf>
    <xf numFmtId="0" fontId="3" fillId="5" borderId="0" xfId="2" applyFill="1" applyProtection="1"/>
    <xf numFmtId="0" fontId="0" fillId="0" borderId="0" xfId="0" applyProtection="1"/>
    <xf numFmtId="0" fontId="0" fillId="0" borderId="0" xfId="0" applyBorder="1" applyProtection="1"/>
    <xf numFmtId="0" fontId="11" fillId="0" borderId="0" xfId="2" applyFont="1" applyFill="1" applyBorder="1" applyAlignment="1" applyProtection="1">
      <alignment horizontal="left" vertical="center"/>
    </xf>
    <xf numFmtId="0" fontId="0" fillId="0" borderId="0" xfId="0" applyFill="1" applyBorder="1" applyProtection="1"/>
    <xf numFmtId="0" fontId="3" fillId="0" borderId="0" xfId="2" applyFill="1" applyBorder="1" applyProtection="1"/>
    <xf numFmtId="0" fontId="3" fillId="0" borderId="29" xfId="2" applyFill="1" applyBorder="1" applyProtection="1"/>
    <xf numFmtId="0" fontId="0" fillId="0" borderId="30" xfId="0" applyFill="1" applyBorder="1" applyProtection="1"/>
    <xf numFmtId="0" fontId="3" fillId="0" borderId="31" xfId="2" applyFill="1" applyBorder="1" applyProtection="1"/>
    <xf numFmtId="0" fontId="3" fillId="0" borderId="32" xfId="2" applyFill="1" applyBorder="1" applyProtection="1"/>
    <xf numFmtId="0" fontId="3" fillId="0" borderId="16" xfId="2" applyFill="1" applyBorder="1" applyProtection="1"/>
    <xf numFmtId="0" fontId="0" fillId="0" borderId="24" xfId="0" applyFill="1" applyBorder="1" applyProtection="1"/>
    <xf numFmtId="0" fontId="0" fillId="0" borderId="19" xfId="0" applyFill="1" applyBorder="1" applyProtection="1"/>
    <xf numFmtId="0" fontId="3" fillId="0" borderId="25" xfId="2" applyFill="1" applyBorder="1" applyProtection="1"/>
    <xf numFmtId="0" fontId="27" fillId="5" borderId="0" xfId="4" applyNumberFormat="1" applyFont="1" applyFill="1" applyBorder="1" applyAlignment="1" applyProtection="1">
      <alignment horizontal="center" vertical="top"/>
    </xf>
    <xf numFmtId="0" fontId="28" fillId="5" borderId="0" xfId="1" applyFont="1" applyFill="1" applyAlignment="1">
      <alignment horizontal="center" vertical="top"/>
    </xf>
    <xf numFmtId="0" fontId="5" fillId="2" borderId="1" xfId="1" applyFont="1" applyFill="1" applyBorder="1" applyAlignment="1">
      <alignment vertical="center"/>
    </xf>
    <xf numFmtId="4" fontId="13" fillId="7" borderId="0" xfId="0" applyNumberFormat="1" applyFont="1" applyFill="1" applyBorder="1" applyAlignment="1" applyProtection="1">
      <alignment horizontal="right"/>
    </xf>
    <xf numFmtId="0" fontId="1" fillId="0" borderId="0" xfId="0" applyNumberFormat="1" applyFont="1" applyFill="1" applyBorder="1" applyAlignment="1" applyProtection="1">
      <alignment horizontal="left" vertical="top"/>
    </xf>
    <xf numFmtId="0" fontId="19" fillId="0" borderId="17" xfId="3" applyNumberFormat="1" applyFont="1" applyBorder="1" applyAlignment="1" applyProtection="1">
      <alignment horizontal="justify"/>
      <protection locked="0"/>
    </xf>
    <xf numFmtId="14" fontId="21" fillId="0" borderId="17" xfId="3" applyNumberFormat="1" applyFont="1" applyBorder="1" applyAlignment="1" applyProtection="1">
      <alignment horizontal="justify"/>
      <protection locked="0"/>
    </xf>
    <xf numFmtId="0" fontId="19" fillId="0" borderId="17" xfId="3" applyFont="1" applyBorder="1" applyAlignment="1" applyProtection="1">
      <alignment horizontal="justify" wrapText="1"/>
      <protection locked="0"/>
    </xf>
    <xf numFmtId="0" fontId="19" fillId="0" borderId="17" xfId="3" applyFont="1" applyBorder="1" applyAlignment="1" applyProtection="1">
      <alignment horizontal="justify"/>
      <protection locked="0"/>
    </xf>
    <xf numFmtId="0" fontId="0" fillId="0" borderId="0" xfId="0" applyFill="1" applyBorder="1" applyProtection="1">
      <protection locked="0"/>
    </xf>
    <xf numFmtId="1" fontId="21" fillId="0" borderId="26" xfId="0" applyNumberFormat="1" applyFont="1" applyFill="1" applyBorder="1" applyAlignment="1" applyProtection="1">
      <alignment horizontal="center" vertical="center"/>
      <protection locked="0"/>
    </xf>
    <xf numFmtId="0" fontId="3" fillId="2" borderId="0" xfId="2" applyFill="1" applyProtection="1"/>
    <xf numFmtId="0" fontId="5" fillId="2" borderId="1" xfId="0" applyFont="1" applyFill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0" xfId="1" applyFont="1" applyAlignment="1">
      <alignment horizontal="center"/>
    </xf>
    <xf numFmtId="0" fontId="6" fillId="0" borderId="0" xfId="1" applyFont="1" applyAlignment="1">
      <alignment horizontal="left"/>
    </xf>
    <xf numFmtId="0" fontId="7" fillId="0" borderId="5" xfId="2" applyFont="1" applyBorder="1" applyAlignment="1">
      <alignment horizontal="left" vertical="top"/>
    </xf>
    <xf numFmtId="0" fontId="13" fillId="2" borderId="1" xfId="2" applyFont="1" applyFill="1" applyBorder="1" applyAlignment="1">
      <alignment horizontal="left" vertical="center"/>
    </xf>
    <xf numFmtId="0" fontId="6" fillId="0" borderId="0" xfId="2" applyFont="1" applyAlignment="1">
      <alignment horizontal="left"/>
    </xf>
    <xf numFmtId="0" fontId="0" fillId="0" borderId="0" xfId="2" applyFont="1" applyAlignment="1">
      <alignment horizontal="justify"/>
    </xf>
    <xf numFmtId="0" fontId="3" fillId="0" borderId="0" xfId="2" applyFont="1" applyAlignment="1">
      <alignment horizontal="justify"/>
    </xf>
    <xf numFmtId="0" fontId="7" fillId="0" borderId="0" xfId="2" applyFont="1" applyBorder="1" applyAlignment="1">
      <alignment horizontal="left" vertical="top"/>
    </xf>
    <xf numFmtId="0" fontId="0" fillId="0" borderId="0" xfId="2" applyFont="1" applyAlignment="1">
      <alignment horizontal="left"/>
    </xf>
    <xf numFmtId="0" fontId="3" fillId="0" borderId="0" xfId="2" applyFont="1" applyAlignment="1">
      <alignment horizontal="left"/>
    </xf>
    <xf numFmtId="0" fontId="29" fillId="0" borderId="0" xfId="0" applyNumberFormat="1" applyFont="1" applyFill="1" applyBorder="1" applyAlignment="1" applyProtection="1">
      <alignment horizontal="left" vertical="top"/>
    </xf>
    <xf numFmtId="0" fontId="29" fillId="0" borderId="0" xfId="1" applyFont="1" applyFill="1" applyAlignment="1">
      <alignment horizontal="justify"/>
    </xf>
    <xf numFmtId="0" fontId="29" fillId="0" borderId="0" xfId="0" applyNumberFormat="1" applyFont="1" applyFill="1" applyBorder="1" applyAlignment="1" applyProtection="1">
      <alignment horizontal="justify"/>
    </xf>
    <xf numFmtId="4" fontId="29" fillId="0" borderId="0" xfId="0" applyNumberFormat="1" applyFont="1" applyFill="1" applyBorder="1" applyAlignment="1" applyProtection="1">
      <alignment horizontal="right"/>
    </xf>
    <xf numFmtId="4" fontId="30" fillId="7" borderId="0" xfId="0" applyNumberFormat="1" applyFont="1" applyFill="1" applyBorder="1" applyAlignment="1" applyProtection="1">
      <alignment horizontal="right"/>
    </xf>
    <xf numFmtId="4" fontId="29" fillId="0" borderId="0" xfId="1" applyNumberFormat="1" applyFont="1" applyFill="1" applyAlignment="1">
      <alignment horizontal="right"/>
    </xf>
    <xf numFmtId="4" fontId="19" fillId="0" borderId="17" xfId="0" applyNumberFormat="1" applyFont="1" applyBorder="1" applyAlignment="1" applyProtection="1">
      <alignment horizontal="justify"/>
      <protection locked="0"/>
    </xf>
  </cellXfs>
  <cellStyles count="5">
    <cellStyle name="Hyperlink" xfId="4" builtinId="8"/>
    <cellStyle name="Normal" xfId="0" builtinId="0"/>
    <cellStyle name="Normal 2 2" xfId="2"/>
    <cellStyle name="Normal 3 2" xfId="1"/>
    <cellStyle name="Normal 3 2 2" xfId="3"/>
  </cellStyles>
  <dxfs count="343"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0" tint="-0.249977111117893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top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1" defaultTableStyle="TableStyleMedium9" defaultPivotStyle="PivotStyleLight16">
    <tableStyle name="Mehanizam2" pivot="0" count="2">
      <tableStyleElement type="wholeTable" dxfId="342"/>
      <tableStyleElement type="headerRow" dxfId="341"/>
    </tableStyle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utanjaBaze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#Datum"/><Relationship Id="rId7" Type="http://schemas.openxmlformats.org/officeDocument/2006/relationships/hyperlink" Target="#'Naslovna strana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Sadrzaj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3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4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5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6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7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8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9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0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1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2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3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4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5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6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7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8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19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0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1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2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3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4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5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6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7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8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29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30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hyperlink" Target="#'R31'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#Datum"/><Relationship Id="rId7" Type="http://schemas.openxmlformats.org/officeDocument/2006/relationships/hyperlink" Target="#Rekapitulacija!A2"/><Relationship Id="rId2" Type="http://schemas.openxmlformats.org/officeDocument/2006/relationships/hyperlink" Target="#ProjektnaOrganizacijaSlika"/><Relationship Id="rId1" Type="http://schemas.openxmlformats.org/officeDocument/2006/relationships/hyperlink" Target="#PutanjaBaze"/><Relationship Id="rId6" Type="http://schemas.openxmlformats.org/officeDocument/2006/relationships/image" Target="NULL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2924175"/>
          <a:ext cx="152400" cy="152400"/>
        </a:xfrm>
        <a:prstGeom prst="rect">
          <a:avLst/>
        </a:prstGeom>
      </xdr:spPr>
    </xdr:pic>
    <xdr:clientData/>
  </xdr:twoCellAnchor>
  <xdr:twoCellAnchor>
    <xdr:from>
      <xdr:col>1</xdr:col>
      <xdr:colOff>2247900</xdr:colOff>
      <xdr:row>2</xdr:row>
      <xdr:rowOff>0</xdr:rowOff>
    </xdr:from>
    <xdr:to>
      <xdr:col>2</xdr:col>
      <xdr:colOff>0</xdr:colOff>
      <xdr:row>3</xdr:row>
      <xdr:rowOff>180676</xdr:rowOff>
    </xdr:to>
    <xdr:sp macro="[0]!PDF" textlink="">
      <xdr:nvSpPr>
        <xdr:cNvPr id="3" name="PDF"/>
        <xdr:cNvSpPr/>
      </xdr:nvSpPr>
      <xdr:spPr>
        <a:xfrm>
          <a:off x="2438400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1676400</xdr:colOff>
      <xdr:row>2</xdr:row>
      <xdr:rowOff>0</xdr:rowOff>
    </xdr:from>
    <xdr:to>
      <xdr:col>1</xdr:col>
      <xdr:colOff>2057400</xdr:colOff>
      <xdr:row>3</xdr:row>
      <xdr:rowOff>180676</xdr:rowOff>
    </xdr:to>
    <xdr:sp macro="[0]!RastezanjeRedova" textlink="">
      <xdr:nvSpPr>
        <xdr:cNvPr id="4" name="Red"/>
        <xdr:cNvSpPr/>
      </xdr:nvSpPr>
      <xdr:spPr>
        <a:xfrm>
          <a:off x="1866900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189294</xdr:colOff>
      <xdr:row>1</xdr:row>
      <xdr:rowOff>9525</xdr:rowOff>
    </xdr:to>
    <xdr:grpSp>
      <xdr:nvGrpSpPr>
        <xdr:cNvPr id="17" name="Zaglavlje"/>
        <xdr:cNvGrpSpPr/>
      </xdr:nvGrpSpPr>
      <xdr:grpSpPr>
        <a:xfrm>
          <a:off x="0" y="0"/>
          <a:ext cx="9942894" cy="390525"/>
          <a:chOff x="0" y="0"/>
          <a:chExt cx="9942894" cy="390525"/>
        </a:xfrm>
      </xdr:grpSpPr>
      <xdr:sp macro="" textlink="">
        <xdr:nvSpPr>
          <xdr:cNvPr id="6" name="Logo"/>
          <xdr:cNvSpPr/>
        </xdr:nvSpPr>
        <xdr:spPr>
          <a:xfrm>
            <a:off x="0" y="0"/>
            <a:ext cx="336758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7" name="Naslov"/>
          <xdr:cNvSpPr/>
        </xdr:nvSpPr>
        <xdr:spPr>
          <a:xfrm>
            <a:off x="336915" y="0"/>
            <a:ext cx="9442034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Predmer i predračun radova</a:t>
            </a:r>
          </a:p>
        </xdr:txBody>
      </xdr:sp>
      <xdr:sp macro="" textlink="">
        <xdr:nvSpPr>
          <xdr:cNvPr id="8" name="Gore">
            <a:hlinkClick xmlns:r="http://schemas.openxmlformats.org/officeDocument/2006/relationships" r:id="rId2" tooltip="Gore"/>
          </xdr:cNvPr>
          <xdr:cNvSpPr/>
        </xdr:nvSpPr>
        <xdr:spPr>
          <a:xfrm>
            <a:off x="9753600" y="85725"/>
            <a:ext cx="189294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6</xdr:col>
      <xdr:colOff>38119</xdr:colOff>
      <xdr:row>80</xdr:row>
      <xdr:rowOff>0</xdr:rowOff>
    </xdr:from>
    <xdr:to>
      <xdr:col>7</xdr:col>
      <xdr:colOff>0</xdr:colOff>
      <xdr:row>80</xdr:row>
      <xdr:rowOff>152381</xdr:rowOff>
    </xdr:to>
    <xdr:pic macro="[0]!OdaberiSlikuZaProjektnuOrganizaciju">
      <xdr:nvPicPr>
        <xdr:cNvPr id="9" name="Slika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3778150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85</xdr:row>
      <xdr:rowOff>0</xdr:rowOff>
    </xdr:from>
    <xdr:ext cx="152381" cy="152381"/>
    <xdr:pic macro="[0]!OdaberiSlikuZaOdgovornogProjektanta">
      <xdr:nvPicPr>
        <xdr:cNvPr id="10" name="Slika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58369" y="56083200"/>
          <a:ext cx="152381" cy="152381"/>
        </a:xfrm>
        <a:prstGeom prst="rect">
          <a:avLst/>
        </a:prstGeom>
      </xdr:spPr>
    </xdr:pic>
    <xdr:clientData/>
  </xdr:oneCellAnchor>
  <xdr:twoCellAnchor editAs="oneCell">
    <xdr:from>
      <xdr:col>0</xdr:col>
      <xdr:colOff>38119</xdr:colOff>
      <xdr:row>7</xdr:row>
      <xdr:rowOff>19050</xdr:rowOff>
    </xdr:from>
    <xdr:to>
      <xdr:col>1</xdr:col>
      <xdr:colOff>0</xdr:colOff>
      <xdr:row>7</xdr:row>
      <xdr:rowOff>171431</xdr:rowOff>
    </xdr:to>
    <xdr:pic macro="[0]!PrikaziFrmPrilozi">
      <xdr:nvPicPr>
        <xdr:cNvPr id="11" name="Uredi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19" y="1552575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814060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3</xdr:col>
      <xdr:colOff>899468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3</xdr:col>
      <xdr:colOff>6677025</xdr:colOff>
      <xdr:row>3</xdr:row>
      <xdr:rowOff>9525</xdr:rowOff>
    </xdr:from>
    <xdr:to>
      <xdr:col>5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72485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3</xdr:col>
      <xdr:colOff>6105525</xdr:colOff>
      <xdr:row>3</xdr:row>
      <xdr:rowOff>0</xdr:rowOff>
    </xdr:from>
    <xdr:to>
      <xdr:col>3</xdr:col>
      <xdr:colOff>6486525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66770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8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6892</xdr:colOff>
      <xdr:row>0</xdr:row>
      <xdr:rowOff>0</xdr:rowOff>
    </xdr:from>
    <xdr:to>
      <xdr:col>3</xdr:col>
      <xdr:colOff>5915026</xdr:colOff>
      <xdr:row>1</xdr:row>
      <xdr:rowOff>9525</xdr:rowOff>
    </xdr:to>
    <xdr:sp macro="" textlink="">
      <xdr:nvSpPr>
        <xdr:cNvPr id="9" name="Naslov"/>
        <xdr:cNvSpPr/>
      </xdr:nvSpPr>
      <xdr:spPr>
        <a:xfrm>
          <a:off x="387892" y="0"/>
          <a:ext cx="6098634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4</xdr:col>
      <xdr:colOff>1206</xdr:colOff>
      <xdr:row>0</xdr:row>
      <xdr:rowOff>85725</xdr:rowOff>
    </xdr:from>
    <xdr:to>
      <xdr:col>5</xdr:col>
      <xdr:colOff>0</xdr:colOff>
      <xdr:row>0</xdr:row>
      <xdr:rowOff>276225</xdr:rowOff>
    </xdr:to>
    <xdr:sp macro="" textlink="">
      <xdr:nvSpPr>
        <xdr:cNvPr id="10" name="Gore">
          <a:hlinkClick xmlns:r="http://schemas.openxmlformats.org/officeDocument/2006/relationships" r:id="rId7" tooltip="Gore"/>
        </xdr:cNvPr>
        <xdr:cNvSpPr/>
      </xdr:nvSpPr>
      <xdr:spPr>
        <a:xfrm>
          <a:off x="74402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19</xdr:row>
          <xdr:rowOff>180975</xdr:rowOff>
        </xdr:from>
        <xdr:to>
          <xdr:col>4</xdr:col>
          <xdr:colOff>0</xdr:colOff>
          <xdr:row>28</xdr:row>
          <xdr:rowOff>0</xdr:rowOff>
        </xdr:to>
        <xdr:pic>
          <xdr:nvPicPr>
            <xdr:cNvPr id="11" name="Picture 10"/>
            <xdr:cNvPicPr>
              <a:picLocks noChangeAspect="1" noChangeArrowheads="1"/>
              <a:extLst>
                <a:ext uri="{84589F7E-364E-4C9E-8A38-B11213B215E9}">
                  <a14:cameraTool cellRange="ProjektnaOrganizacijaSlika" spid="_x0000_s3484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447800" y="4010025"/>
              <a:ext cx="59912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28</xdr:row>
          <xdr:rowOff>0</xdr:rowOff>
        </xdr:from>
        <xdr:to>
          <xdr:col>4</xdr:col>
          <xdr:colOff>0</xdr:colOff>
          <xdr:row>36</xdr:row>
          <xdr:rowOff>9525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OdgovorniProjektantSlika" spid="_x0000_s3484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447800" y="5543550"/>
              <a:ext cx="5991225" cy="1533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356860</xdr:colOff>
      <xdr:row>3</xdr:row>
      <xdr:rowOff>598</xdr:rowOff>
    </xdr:to>
    <xdr:sp macro="" textlink="">
      <xdr:nvSpPr>
        <xdr:cNvPr id="11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4</xdr:col>
      <xdr:colOff>442268</xdr:colOff>
      <xdr:row>5</xdr:row>
      <xdr:rowOff>10123</xdr:rowOff>
    </xdr:to>
    <xdr:sp macro="" textlink="">
      <xdr:nvSpPr>
        <xdr:cNvPr id="12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4</xdr:col>
      <xdr:colOff>7534</xdr:colOff>
      <xdr:row>4</xdr:row>
      <xdr:rowOff>10123</xdr:rowOff>
    </xdr:to>
    <xdr:sp macro="" textlink="">
      <xdr:nvSpPr>
        <xdr:cNvPr id="13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4</xdr:col>
      <xdr:colOff>5305425</xdr:colOff>
      <xdr:row>3</xdr:row>
      <xdr:rowOff>9525</xdr:rowOff>
    </xdr:from>
    <xdr:to>
      <xdr:col>6</xdr:col>
      <xdr:colOff>0</xdr:colOff>
      <xdr:row>5</xdr:row>
      <xdr:rowOff>0</xdr:rowOff>
    </xdr:to>
    <xdr:sp macro="[0]!PDF" textlink="">
      <xdr:nvSpPr>
        <xdr:cNvPr id="14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15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4</xdr:col>
      <xdr:colOff>4733925</xdr:colOff>
      <xdr:row>3</xdr:row>
      <xdr:rowOff>0</xdr:rowOff>
    </xdr:from>
    <xdr:to>
      <xdr:col>4</xdr:col>
      <xdr:colOff>5114925</xdr:colOff>
      <xdr:row>4</xdr:row>
      <xdr:rowOff>180676</xdr:rowOff>
    </xdr:to>
    <xdr:sp macro="[0]!RastezanjeRedova" textlink="">
      <xdr:nvSpPr>
        <xdr:cNvPr id="16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17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6892</xdr:colOff>
      <xdr:row>0</xdr:row>
      <xdr:rowOff>0</xdr:rowOff>
    </xdr:from>
    <xdr:to>
      <xdr:col>4</xdr:col>
      <xdr:colOff>5457826</xdr:colOff>
      <xdr:row>1</xdr:row>
      <xdr:rowOff>9525</xdr:rowOff>
    </xdr:to>
    <xdr:sp macro="" textlink="">
      <xdr:nvSpPr>
        <xdr:cNvPr id="18" name="Naslov"/>
        <xdr:cNvSpPr/>
      </xdr:nvSpPr>
      <xdr:spPr>
        <a:xfrm>
          <a:off x="387892" y="0"/>
          <a:ext cx="6098634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4</xdr:col>
      <xdr:colOff>5457825</xdr:colOff>
      <xdr:row>0</xdr:row>
      <xdr:rowOff>85725</xdr:rowOff>
    </xdr:from>
    <xdr:to>
      <xdr:col>5</xdr:col>
      <xdr:colOff>151194</xdr:colOff>
      <xdr:row>0</xdr:row>
      <xdr:rowOff>276225</xdr:rowOff>
    </xdr:to>
    <xdr:sp macro="" textlink="">
      <xdr:nvSpPr>
        <xdr:cNvPr id="19" name="Gore">
          <a:hlinkClick xmlns:r="http://schemas.openxmlformats.org/officeDocument/2006/relationships" r:id="rId7" tooltip="Gore"/>
        </xdr:cNvPr>
        <xdr:cNvSpPr/>
      </xdr:nvSpPr>
      <xdr:spPr>
        <a:xfrm>
          <a:off x="6486525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3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4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5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6" name="PDF"/>
        <xdr:cNvSpPr/>
      </xdr:nvSpPr>
      <xdr:spPr>
        <a:xfrm>
          <a:off x="72866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7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8" name="Red"/>
        <xdr:cNvSpPr/>
      </xdr:nvSpPr>
      <xdr:spPr>
        <a:xfrm>
          <a:off x="67151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PripremnoZavrsniRadovi" textlink="">
      <xdr:nvSpPr>
        <xdr:cNvPr id="9" name="Dodaj"/>
        <xdr:cNvSpPr/>
      </xdr:nvSpPr>
      <xdr:spPr>
        <a:xfrm>
          <a:off x="5572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11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2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3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6" name="Cena"/>
        <xdr:cNvSpPr/>
      </xdr:nvSpPr>
      <xdr:spPr>
        <a:xfrm>
          <a:off x="6143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Istraziv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DemontazaRusenje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Zemljan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Zid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BetonskiArmiranoBeton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Tes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Pokriv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Izolate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GradjevinskaStolarija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Stol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Brav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Lim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Lim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Karamic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Terace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Kamenorez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Pokriv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Pokriv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Tapet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Roletn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Suvomontaze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Gips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Fasade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Likorez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Molerskofarbars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Livack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RazniZanatskiRadoviRadov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Vodovod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Kanalizacija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128260</xdr:colOff>
      <xdr:row>3</xdr:row>
      <xdr:rowOff>598</xdr:rowOff>
    </xdr:to>
    <xdr:sp macro="" textlink="">
      <xdr:nvSpPr>
        <xdr:cNvPr id="2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5</xdr:col>
      <xdr:colOff>213668</xdr:colOff>
      <xdr:row>5</xdr:row>
      <xdr:rowOff>10123</xdr:rowOff>
    </xdr:to>
    <xdr:sp macro="" textlink="">
      <xdr:nvSpPr>
        <xdr:cNvPr id="3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4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10</xdr:col>
      <xdr:colOff>990600</xdr:colOff>
      <xdr:row>3</xdr:row>
      <xdr:rowOff>9525</xdr:rowOff>
    </xdr:from>
    <xdr:to>
      <xdr:col>12</xdr:col>
      <xdr:colOff>0</xdr:colOff>
      <xdr:row>5</xdr:row>
      <xdr:rowOff>0</xdr:rowOff>
    </xdr:to>
    <xdr:sp macro="[0]!PDF" textlink="">
      <xdr:nvSpPr>
        <xdr:cNvPr id="5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6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10</xdr:col>
      <xdr:colOff>419100</xdr:colOff>
      <xdr:row>3</xdr:row>
      <xdr:rowOff>0</xdr:rowOff>
    </xdr:from>
    <xdr:to>
      <xdr:col>10</xdr:col>
      <xdr:colOff>800100</xdr:colOff>
      <xdr:row>4</xdr:row>
      <xdr:rowOff>180676</xdr:rowOff>
    </xdr:to>
    <xdr:sp macro="[0]!RastezanjeRedova" textlink="">
      <xdr:nvSpPr>
        <xdr:cNvPr id="7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9</xdr:col>
      <xdr:colOff>228600</xdr:colOff>
      <xdr:row>3</xdr:row>
      <xdr:rowOff>9525</xdr:rowOff>
    </xdr:from>
    <xdr:to>
      <xdr:col>9</xdr:col>
      <xdr:colOff>609600</xdr:colOff>
      <xdr:row>4</xdr:row>
      <xdr:rowOff>190201</xdr:rowOff>
    </xdr:to>
    <xdr:sp macro="[0]!SanitarniUredjaji" textlink="">
      <xdr:nvSpPr>
        <xdr:cNvPr id="8" name="Dodaj"/>
        <xdr:cNvSpPr/>
      </xdr:nvSpPr>
      <xdr:spPr>
        <a:xfrm>
          <a:off x="46196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2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Simplex" panose="00000400000000000000" pitchFamily="2" charset="0"/>
              <a:ea typeface="+mn-ea"/>
              <a:cs typeface="Simplex" panose="00000400000000000000" pitchFamily="2" charset="0"/>
            </a:rPr>
            <a:t>+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9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6891</xdr:colOff>
      <xdr:row>0</xdr:row>
      <xdr:rowOff>0</xdr:rowOff>
    </xdr:from>
    <xdr:to>
      <xdr:col>11</xdr:col>
      <xdr:colOff>9525</xdr:colOff>
      <xdr:row>1</xdr:row>
      <xdr:rowOff>9525</xdr:rowOff>
    </xdr:to>
    <xdr:sp macro="" textlink="">
      <xdr:nvSpPr>
        <xdr:cNvPr id="10" name="Naslov"/>
        <xdr:cNvSpPr/>
      </xdr:nvSpPr>
      <xdr:spPr>
        <a:xfrm>
          <a:off x="387891" y="0"/>
          <a:ext cx="6146259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11</xdr:col>
      <xdr:colOff>1206</xdr:colOff>
      <xdr:row>0</xdr:row>
      <xdr:rowOff>85725</xdr:rowOff>
    </xdr:from>
    <xdr:to>
      <xdr:col>12</xdr:col>
      <xdr:colOff>0</xdr:colOff>
      <xdr:row>0</xdr:row>
      <xdr:rowOff>276225</xdr:rowOff>
    </xdr:to>
    <xdr:sp macro="" textlink="">
      <xdr:nvSpPr>
        <xdr:cNvPr id="11" name="Gore">
          <a:hlinkClick xmlns:r="http://schemas.openxmlformats.org/officeDocument/2006/relationships" r:id="rId7" tooltip="Gore"/>
        </xdr:cNvPr>
        <xdr:cNvSpPr/>
      </xdr:nvSpPr>
      <xdr:spPr>
        <a:xfrm>
          <a:off x="6525831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800100</xdr:colOff>
      <xdr:row>3</xdr:row>
      <xdr:rowOff>9525</xdr:rowOff>
    </xdr:from>
    <xdr:to>
      <xdr:col>10</xdr:col>
      <xdr:colOff>228600</xdr:colOff>
      <xdr:row>4</xdr:row>
      <xdr:rowOff>190201</xdr:rowOff>
    </xdr:to>
    <xdr:sp macro="[0]!CenaUnos" textlink="">
      <xdr:nvSpPr>
        <xdr:cNvPr id="12" name="Cena"/>
        <xdr:cNvSpPr/>
      </xdr:nvSpPr>
      <xdr:spPr>
        <a:xfrm>
          <a:off x="5191125" y="781050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Cen.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3</xdr:col>
      <xdr:colOff>814060</xdr:colOff>
      <xdr:row>3</xdr:row>
      <xdr:rowOff>598</xdr:rowOff>
    </xdr:to>
    <xdr:sp macro="" textlink="">
      <xdr:nvSpPr>
        <xdr:cNvPr id="20" name="Podesavanja">
          <a:hlinkClick xmlns:r="http://schemas.openxmlformats.org/officeDocument/2006/relationships" r:id="rId1" tooltip="Podešavanja"/>
        </xdr:cNvPr>
        <xdr:cNvSpPr/>
      </xdr:nvSpPr>
      <xdr:spPr>
        <a:xfrm>
          <a:off x="571500" y="581025"/>
          <a:ext cx="814060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Podešavanja</a:t>
          </a:r>
        </a:p>
      </xdr:txBody>
    </xdr:sp>
    <xdr:clientData/>
  </xdr:twoCellAnchor>
  <xdr:twoCellAnchor>
    <xdr:from>
      <xdr:col>3</xdr:col>
      <xdr:colOff>0</xdr:colOff>
      <xdr:row>4</xdr:row>
      <xdr:rowOff>9525</xdr:rowOff>
    </xdr:from>
    <xdr:to>
      <xdr:col>3</xdr:col>
      <xdr:colOff>899468</xdr:colOff>
      <xdr:row>5</xdr:row>
      <xdr:rowOff>10123</xdr:rowOff>
    </xdr:to>
    <xdr:sp macro="" textlink="">
      <xdr:nvSpPr>
        <xdr:cNvPr id="21" name="Potpisi i pecati">
          <a:hlinkClick xmlns:r="http://schemas.openxmlformats.org/officeDocument/2006/relationships" r:id="rId2" tooltip="Potpisi i pečati"/>
        </xdr:cNvPr>
        <xdr:cNvSpPr/>
      </xdr:nvSpPr>
      <xdr:spPr>
        <a:xfrm>
          <a:off x="571500" y="971550"/>
          <a:ext cx="899468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Potpisi i pečati</a:t>
          </a:r>
        </a:p>
      </xdr:txBody>
    </xdr:sp>
    <xdr:clientData/>
  </xdr:twoCellAnchor>
  <xdr:twoCellAnchor>
    <xdr:from>
      <xdr:col>3</xdr:col>
      <xdr:colOff>0</xdr:colOff>
      <xdr:row>3</xdr:row>
      <xdr:rowOff>9525</xdr:rowOff>
    </xdr:from>
    <xdr:to>
      <xdr:col>3</xdr:col>
      <xdr:colOff>464734</xdr:colOff>
      <xdr:row>4</xdr:row>
      <xdr:rowOff>10123</xdr:rowOff>
    </xdr:to>
    <xdr:sp macro="" textlink="">
      <xdr:nvSpPr>
        <xdr:cNvPr id="22" name="Podaci">
          <a:hlinkClick xmlns:r="http://schemas.openxmlformats.org/officeDocument/2006/relationships" r:id="rId3" tooltip="Podaci"/>
        </xdr:cNvPr>
        <xdr:cNvSpPr/>
      </xdr:nvSpPr>
      <xdr:spPr>
        <a:xfrm>
          <a:off x="571500" y="781050"/>
          <a:ext cx="464734" cy="19109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wrap="none" lIns="36000" tIns="21600" rIns="36000" bIns="2160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Podaci</a:t>
          </a:r>
        </a:p>
      </xdr:txBody>
    </xdr:sp>
    <xdr:clientData/>
  </xdr:twoCellAnchor>
  <xdr:twoCellAnchor>
    <xdr:from>
      <xdr:col>4</xdr:col>
      <xdr:colOff>1009650</xdr:colOff>
      <xdr:row>3</xdr:row>
      <xdr:rowOff>9525</xdr:rowOff>
    </xdr:from>
    <xdr:to>
      <xdr:col>6</xdr:col>
      <xdr:colOff>38100</xdr:colOff>
      <xdr:row>5</xdr:row>
      <xdr:rowOff>0</xdr:rowOff>
    </xdr:to>
    <xdr:sp macro="[0]!PDF" textlink="">
      <xdr:nvSpPr>
        <xdr:cNvPr id="23" name="PDF"/>
        <xdr:cNvSpPr/>
      </xdr:nvSpPr>
      <xdr:spPr>
        <a:xfrm>
          <a:off x="6334125" y="781050"/>
          <a:ext cx="381000" cy="371475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2</xdr:col>
      <xdr:colOff>0</xdr:colOff>
      <xdr:row>2</xdr:row>
      <xdr:rowOff>10721</xdr:rowOff>
    </xdr:from>
    <xdr:to>
      <xdr:col>3</xdr:col>
      <xdr:colOff>0</xdr:colOff>
      <xdr:row>3</xdr:row>
      <xdr:rowOff>10721</xdr:rowOff>
    </xdr:to>
    <xdr:pic>
      <xdr:nvPicPr>
        <xdr:cNvPr id="24" name="Nazad" descr="Back">
          <a:extLst>
            <a:ext uri="{FF2B5EF4-FFF2-40B4-BE49-F238E27FC236}">
              <a16:creationId xmlns:a16="http://schemas.microsoft.com/office/drawing/2014/main" id="{7DE1ABB1-D455-4E15-BE3C-1433BE90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591746"/>
          <a:ext cx="190500" cy="190500"/>
        </a:xfrm>
        <a:prstGeom prst="rect">
          <a:avLst/>
        </a:prstGeom>
      </xdr:spPr>
    </xdr:pic>
    <xdr:clientData/>
  </xdr:twoCellAnchor>
  <xdr:twoCellAnchor>
    <xdr:from>
      <xdr:col>4</xdr:col>
      <xdr:colOff>438150</xdr:colOff>
      <xdr:row>3</xdr:row>
      <xdr:rowOff>0</xdr:rowOff>
    </xdr:from>
    <xdr:to>
      <xdr:col>4</xdr:col>
      <xdr:colOff>819150</xdr:colOff>
      <xdr:row>4</xdr:row>
      <xdr:rowOff>180676</xdr:rowOff>
    </xdr:to>
    <xdr:sp macro="[0]!RastezanjeRedova" textlink="">
      <xdr:nvSpPr>
        <xdr:cNvPr id="25" name="Red"/>
        <xdr:cNvSpPr/>
      </xdr:nvSpPr>
      <xdr:spPr>
        <a:xfrm>
          <a:off x="5762625" y="771525"/>
          <a:ext cx="381000" cy="371176"/>
        </a:xfrm>
        <a:prstGeom prst="ellipse">
          <a:avLst/>
        </a:prstGeom>
        <a:solidFill>
          <a:sysClr val="window" lastClr="FFFFFF">
            <a:lumMod val="95000"/>
          </a:sysClr>
        </a:solidFill>
        <a:ln w="3175" cap="flat" cmpd="sng" algn="ctr">
          <a:noFill/>
          <a:prstDash val="solid"/>
          <a:miter lim="800000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r-Latn-RS" sz="10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75000"/>
                  <a:lumOff val="25000"/>
                </a:sysClr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6888</xdr:colOff>
      <xdr:row>1</xdr:row>
      <xdr:rowOff>0</xdr:rowOff>
    </xdr:to>
    <xdr:sp macro="" textlink="">
      <xdr:nvSpPr>
        <xdr:cNvPr id="26" name="Logo"/>
        <xdr:cNvSpPr/>
      </xdr:nvSpPr>
      <xdr:spPr>
        <a:xfrm>
          <a:off x="0" y="0"/>
          <a:ext cx="387888" cy="381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Stoing, symbol" panose="020B0603050302020204" pitchFamily="34" charset="2"/>
            </a:rPr>
            <a:t>,</a:t>
          </a:r>
        </a:p>
      </xdr:txBody>
    </xdr:sp>
    <xdr:clientData/>
  </xdr:twoCellAnchor>
  <xdr:twoCellAnchor>
    <xdr:from>
      <xdr:col>2</xdr:col>
      <xdr:colOff>6892</xdr:colOff>
      <xdr:row>0</xdr:row>
      <xdr:rowOff>0</xdr:rowOff>
    </xdr:from>
    <xdr:to>
      <xdr:col>5</xdr:col>
      <xdr:colOff>1</xdr:colOff>
      <xdr:row>1</xdr:row>
      <xdr:rowOff>9525</xdr:rowOff>
    </xdr:to>
    <xdr:sp macro="" textlink="">
      <xdr:nvSpPr>
        <xdr:cNvPr id="27" name="Naslov"/>
        <xdr:cNvSpPr/>
      </xdr:nvSpPr>
      <xdr:spPr>
        <a:xfrm>
          <a:off x="387892" y="0"/>
          <a:ext cx="6098634" cy="3905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4000" tIns="0" rIns="0" bIns="0" rtlCol="0" anchor="ctr"/>
        <a:lstStyle/>
        <a:p>
          <a:pPr algn="l"/>
          <a:r>
            <a:rPr lang="sr-Latn-RS" sz="1200" b="0" i="0" u="none" baseline="0">
              <a:solidFill>
                <a:schemeClr val="bg1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Pilot - Predmer i predračun radova</a:t>
          </a:r>
        </a:p>
      </xdr:txBody>
    </xdr:sp>
    <xdr:clientData/>
  </xdr:twoCellAnchor>
  <xdr:twoCellAnchor>
    <xdr:from>
      <xdr:col>5</xdr:col>
      <xdr:colOff>0</xdr:colOff>
      <xdr:row>0</xdr:row>
      <xdr:rowOff>85725</xdr:rowOff>
    </xdr:from>
    <xdr:to>
      <xdr:col>5</xdr:col>
      <xdr:colOff>189294</xdr:colOff>
      <xdr:row>0</xdr:row>
      <xdr:rowOff>276225</xdr:rowOff>
    </xdr:to>
    <xdr:sp macro="" textlink="">
      <xdr:nvSpPr>
        <xdr:cNvPr id="28" name="Gore">
          <a:hlinkClick xmlns:r="http://schemas.openxmlformats.org/officeDocument/2006/relationships" r:id="rId7" tooltip="Gore"/>
        </xdr:cNvPr>
        <xdr:cNvSpPr/>
      </xdr:nvSpPr>
      <xdr:spPr>
        <a:xfrm>
          <a:off x="6486525" y="85725"/>
          <a:ext cx="189294" cy="190500"/>
        </a:xfrm>
        <a:prstGeom prst="upArrow">
          <a:avLst/>
        </a:prstGeom>
        <a:solidFill>
          <a:schemeClr val="bg1">
            <a:lumMod val="75000"/>
          </a:schemeClr>
        </a:solidFill>
        <a:ln>
          <a:noFill/>
        </a:ln>
        <a:effectLst>
          <a:outerShdw blurRad="50800" dist="127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sr-Latn-RS" sz="10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47</xdr:row>
          <xdr:rowOff>0</xdr:rowOff>
        </xdr:from>
        <xdr:to>
          <xdr:col>5</xdr:col>
          <xdr:colOff>0</xdr:colOff>
          <xdr:row>55</xdr:row>
          <xdr:rowOff>0</xdr:rowOff>
        </xdr:to>
        <xdr:pic>
          <xdr:nvPicPr>
            <xdr:cNvPr id="11" name="Picture 10"/>
            <xdr:cNvPicPr>
              <a:picLocks noChangeAspect="1" noChangeArrowheads="1"/>
              <a:extLst>
                <a:ext uri="{84589F7E-364E-4C9E-8A38-B11213B215E9}">
                  <a14:cameraTool cellRange="OdgovorniProjektantSlika" spid="_x0000_s3380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571500" y="9182100"/>
              <a:ext cx="5915025" cy="1562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blRadovi1" displayName="tblRadovi1" ref="C17:L18" insertRow="1" headerRowDxfId="340">
  <autoFilter ref="C17:L18"/>
  <tableColumns count="10">
    <tableColumn id="7" name="a" dataDxfId="339" dataCellStyle="Normal 3 2">
      <calculatedColumnFormula>IF(OR(tblRadovi1[Opis posla]=0,tblRadovi1[Jedinica mere]=0,tblRadovi1[Količina]=0,tblRadovi1[Cena po jedinici mere unos (€)]=0),"*","")</calculatedColumnFormula>
    </tableColumn>
    <tableColumn id="1" name="Redni broj" totalsRowLabel="Total" dataDxfId="338">
      <calculatedColumnFormula>ROW(A18)-17&amp;"."</calculatedColumnFormula>
    </tableColumn>
    <tableColumn id="11" name="Naziv pozicije" dataDxfId="337" dataCellStyle="Normal 3 2"/>
    <tableColumn id="2" name="Opis posla" dataDxfId="336"/>
    <tableColumn id="8" name="Jedinica mere" dataDxfId="335" dataCellStyle="Normal 3 2"/>
    <tableColumn id="3" name="Količina" dataDxfId="334"/>
    <tableColumn id="4" name="Cena po jedinici mere unos (€)" dataDxfId="333"/>
    <tableColumn id="5" name="Cena po jedinici mere" totalsRowFunction="sum" dataDxfId="332" dataCellStyle="Normal 3 2">
      <calculatedColumnFormula>IF(Valuta=0,tblRadovi1[Cena po jedinici mere unos (€)]*SrednjaVrednostDinara,tblRadovi1[Cena po jedinici mere unos (€)])</calculatedColumnFormula>
    </tableColumn>
    <tableColumn id="9" name="Iznos" dataDxfId="1" dataCellStyle="Normal 3 2">
      <calculatedColumnFormula>tblRadovi1[Količina]*tblRadovi1[Cena po jedinici mere]</calculatedColumnFormula>
    </tableColumn>
    <tableColumn id="6" name="b" dataDxfId="0" dataCellStyle="Hyperlink"/>
  </tableColumns>
  <tableStyleInfo name="Mehanizam2" showFirstColumn="0" showLastColumn="0" showRowStripes="1" showColumnStripes="0"/>
</table>
</file>

<file path=xl/tables/table2.xml><?xml version="1.0" encoding="utf-8"?>
<table xmlns="http://schemas.openxmlformats.org/spreadsheetml/2006/main" id="2" name="tblRadovi2" displayName="tblRadovi2" ref="C17:L18" insertRow="1" headerRowDxfId="331">
  <autoFilter ref="C17:L18"/>
  <tableColumns count="10">
    <tableColumn id="7" name="a" dataDxfId="330" dataCellStyle="Normal 3 2">
      <calculatedColumnFormula>IF(OR(tblRadovi2[Opis posla]=0,tblRadovi2[Jedinica mere]=0,tblRadovi2[Količina]=0,tblRadovi2[Cena po jedinici mere unos (€)]=0),"*","")</calculatedColumnFormula>
    </tableColumn>
    <tableColumn id="1" name="Redni broj" totalsRowLabel="Total" dataDxfId="329">
      <calculatedColumnFormula>ROW(A18)-17&amp;"."</calculatedColumnFormula>
    </tableColumn>
    <tableColumn id="11" name="Naziv pozicije" dataDxfId="328" dataCellStyle="Normal 3 2"/>
    <tableColumn id="2" name="Opis posla" dataDxfId="327"/>
    <tableColumn id="8" name="Jedinica mere" dataDxfId="326" dataCellStyle="Normal 3 2"/>
    <tableColumn id="3" name="Količina" dataDxfId="325"/>
    <tableColumn id="4" name="Cena po jedinici mere unos (€)" dataDxfId="324"/>
    <tableColumn id="5" name="Cena po jedinici mere" totalsRowFunction="sum" dataDxfId="323" dataCellStyle="Normal 3 2">
      <calculatedColumnFormula>IF(Valuta=0,tblRadovi2[Cena po jedinici mere unos (€)]*SrednjaVrednostDinara,tblRadovi2[Cena po jedinici mere unos (€)])</calculatedColumnFormula>
    </tableColumn>
    <tableColumn id="9" name="Iznos" dataDxfId="322" dataCellStyle="Normal 3 2">
      <calculatedColumnFormula>tblRadovi2[Količina]*tblRadovi2[Cena po jedinici mere]</calculatedColumnFormula>
    </tableColumn>
    <tableColumn id="6" name="b" dataDxfId="321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tblRadovi3" displayName="tblRadovi3" ref="C17:L18" insertRow="1" headerRowDxfId="320">
  <autoFilter ref="C17:L18"/>
  <tableColumns count="10">
    <tableColumn id="7" name="a" dataDxfId="319" dataCellStyle="Normal 3 2">
      <calculatedColumnFormula>IF(OR(tblRadovi3[Opis posla]=0,tblRadovi3[Jedinica mere]=0,tblRadovi3[Količina]=0,tblRadovi3[Cena po jedinici mere unos (€)]=0),"*","")</calculatedColumnFormula>
    </tableColumn>
    <tableColumn id="1" name="Redni broj" totalsRowLabel="Total" dataDxfId="318">
      <calculatedColumnFormula>ROW(A18)-17&amp;"."</calculatedColumnFormula>
    </tableColumn>
    <tableColumn id="11" name="Naziv pozicije" dataDxfId="317" dataCellStyle="Normal 3 2"/>
    <tableColumn id="2" name="Opis posla" dataDxfId="316"/>
    <tableColumn id="8" name="Jedinica mere" dataDxfId="315" dataCellStyle="Normal 3 2"/>
    <tableColumn id="3" name="Količina" dataDxfId="314"/>
    <tableColumn id="4" name="Cena po jedinici mere unos (€)" dataDxfId="313"/>
    <tableColumn id="5" name="Cena po jedinici mere" totalsRowFunction="sum" dataDxfId="312" dataCellStyle="Normal 3 2">
      <calculatedColumnFormula>IF(Valuta=0,tblRadovi3[Cena po jedinici mere unos (€)]*SrednjaVrednostDinara,tblRadovi3[Cena po jedinici mere unos (€)])</calculatedColumnFormula>
    </tableColumn>
    <tableColumn id="9" name="Iznos" dataDxfId="311" dataCellStyle="Normal 3 2">
      <calculatedColumnFormula>tblRadovi3[Količina]*tblRadovi3[Cena po jedinici mere]</calculatedColumnFormula>
    </tableColumn>
    <tableColumn id="6" name="b" dataDxfId="310" dataCellStyle="Hyperlink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tblRadovi4" displayName="tblRadovi4" ref="C17:L18" insertRow="1" headerRowDxfId="309">
  <autoFilter ref="C17:L18"/>
  <tableColumns count="10">
    <tableColumn id="7" name="a" dataDxfId="308" dataCellStyle="Normal 3 2">
      <calculatedColumnFormula>IF(OR(tblRadovi4[Opis posla]=0,tblRadovi4[Jedinica mere]=0,tblRadovi4[Količina]=0,tblRadovi4[Cena po jedinici mere unos (€)]=0),"*","")</calculatedColumnFormula>
    </tableColumn>
    <tableColumn id="1" name="Redni broj" totalsRowLabel="Total" dataDxfId="307">
      <calculatedColumnFormula>ROW(A18)-17&amp;"."</calculatedColumnFormula>
    </tableColumn>
    <tableColumn id="11" name="Naziv pozicije" dataDxfId="306" dataCellStyle="Normal 3 2"/>
    <tableColumn id="2" name="Opis posla" dataDxfId="305"/>
    <tableColumn id="8" name="Jedinica mere" dataDxfId="304" dataCellStyle="Normal 3 2"/>
    <tableColumn id="3" name="Količina" dataDxfId="303"/>
    <tableColumn id="4" name="Cena po jedinici mere unos (€)" dataDxfId="302"/>
    <tableColumn id="5" name="Cena po jedinici mere" totalsRowFunction="sum" dataDxfId="301" dataCellStyle="Normal 3 2">
      <calculatedColumnFormula>IF(Valuta=0,tblRadovi4[Cena po jedinici mere unos (€)]*SrednjaVrednostDinara,tblRadovi4[Cena po jedinici mere unos (€)])</calculatedColumnFormula>
    </tableColumn>
    <tableColumn id="9" name="Iznos" dataDxfId="300" dataCellStyle="Normal 3 2">
      <calculatedColumnFormula>tblRadovi4[Količina]*tblRadovi4[Cena po jedinici mere]</calculatedColumnFormula>
    </tableColumn>
    <tableColumn id="6" name="b" dataDxfId="299" dataCellStyle="Hyperlink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tblRadovi5" displayName="tblRadovi5" ref="C17:L18" insertRow="1" headerRowDxfId="298">
  <autoFilter ref="C17:L18"/>
  <tableColumns count="10">
    <tableColumn id="7" name="a" dataDxfId="297" dataCellStyle="Normal 3 2">
      <calculatedColumnFormula>IF(OR(tblRadovi5[Opis posla]=0,tblRadovi5[Jedinica mere]=0,tblRadovi5[Količina]=0,tblRadovi5[Cena po jedinici mere unos (€)]=0),"*","")</calculatedColumnFormula>
    </tableColumn>
    <tableColumn id="1" name="Redni broj" totalsRowLabel="Total" dataDxfId="296">
      <calculatedColumnFormula>ROW(A18)-17&amp;"."</calculatedColumnFormula>
    </tableColumn>
    <tableColumn id="11" name="Naziv pozicije" dataDxfId="295" dataCellStyle="Normal 3 2"/>
    <tableColumn id="2" name="Opis posla" dataDxfId="294"/>
    <tableColumn id="8" name="Jedinica mere" dataDxfId="293" dataCellStyle="Normal 3 2"/>
    <tableColumn id="3" name="Količina" dataDxfId="292"/>
    <tableColumn id="4" name="Cena po jedinici mere unos (€)" dataDxfId="291"/>
    <tableColumn id="5" name="Cena po jedinici mere" totalsRowFunction="sum" dataDxfId="290" dataCellStyle="Normal 3 2">
      <calculatedColumnFormula>IF(Valuta=0,tblRadovi5[Cena po jedinici mere unos (€)]*SrednjaVrednostDinara,tblRadovi5[Cena po jedinici mere unos (€)])</calculatedColumnFormula>
    </tableColumn>
    <tableColumn id="9" name="Iznos" dataDxfId="289" dataCellStyle="Normal 3 2">
      <calculatedColumnFormula>tblRadovi5[Količina]*tblRadovi5[Cena po jedinici mere]</calculatedColumnFormula>
    </tableColumn>
    <tableColumn id="6" name="b" dataDxfId="288" dataCellStyle="Hyperlink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6" name="tblRadovi6" displayName="tblRadovi6" ref="C17:L18" insertRow="1" headerRowDxfId="287">
  <autoFilter ref="C17:L18"/>
  <tableColumns count="10">
    <tableColumn id="7" name="a" dataDxfId="286" dataCellStyle="Normal 3 2">
      <calculatedColumnFormula>IF(OR(tblRadovi6[Opis posla]=0,tblRadovi6[Jedinica mere]=0,tblRadovi6[Količina]=0,tblRadovi6[Cena po jedinici mere unos (€)]=0),"*","")</calculatedColumnFormula>
    </tableColumn>
    <tableColumn id="1" name="Redni broj" totalsRowLabel="Total" dataDxfId="285">
      <calculatedColumnFormula>ROW(A18)-17&amp;"."</calculatedColumnFormula>
    </tableColumn>
    <tableColumn id="11" name="Naziv pozicije" dataDxfId="284" dataCellStyle="Normal 3 2"/>
    <tableColumn id="2" name="Opis posla" dataDxfId="283"/>
    <tableColumn id="8" name="Jedinica mere" dataDxfId="282" dataCellStyle="Normal 3 2"/>
    <tableColumn id="3" name="Količina" dataDxfId="281"/>
    <tableColumn id="4" name="Cena po jedinici mere unos (€)" dataDxfId="280"/>
    <tableColumn id="5" name="Cena po jedinici mere" totalsRowFunction="sum" dataDxfId="279" dataCellStyle="Normal 3 2">
      <calculatedColumnFormula>IF(Valuta=0,tblRadovi6[Cena po jedinici mere unos (€)]*SrednjaVrednostDinara,tblRadovi6[Cena po jedinici mere unos (€)])</calculatedColumnFormula>
    </tableColumn>
    <tableColumn id="9" name="Iznos" dataDxfId="278" dataCellStyle="Normal 3 2">
      <calculatedColumnFormula>tblRadovi6[Količina]*tblRadovi6[Cena po jedinici mere]</calculatedColumnFormula>
    </tableColumn>
    <tableColumn id="6" name="b" dataDxfId="277" dataCellStyle="Hyperlink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7" name="tblRadovi7" displayName="tblRadovi7" ref="C17:L18" insertRow="1" headerRowDxfId="276">
  <autoFilter ref="C17:L18"/>
  <tableColumns count="10">
    <tableColumn id="7" name="a" dataDxfId="275" dataCellStyle="Normal 3 2">
      <calculatedColumnFormula>IF(OR(tblRadovi7[Opis posla]=0,tblRadovi7[Jedinica mere]=0,tblRadovi7[Količina]=0,tblRadovi7[Cena po jedinici mere unos (€)]=0),"*","")</calculatedColumnFormula>
    </tableColumn>
    <tableColumn id="1" name="Redni broj" totalsRowLabel="Total" dataDxfId="274">
      <calculatedColumnFormula>ROW(A18)-17&amp;"."</calculatedColumnFormula>
    </tableColumn>
    <tableColumn id="11" name="Naziv pozicije" dataDxfId="273" dataCellStyle="Normal 3 2"/>
    <tableColumn id="2" name="Opis posla" dataDxfId="272"/>
    <tableColumn id="8" name="Jedinica mere" dataDxfId="271" dataCellStyle="Normal 3 2"/>
    <tableColumn id="3" name="Količina" dataDxfId="270"/>
    <tableColumn id="4" name="Cena po jedinici mere unos (€)" dataDxfId="269"/>
    <tableColumn id="5" name="Cena po jedinici mere" totalsRowFunction="sum" dataDxfId="268" dataCellStyle="Normal 3 2">
      <calculatedColumnFormula>IF(Valuta=0,tblRadovi7[Cena po jedinici mere unos (€)]*SrednjaVrednostDinara,tblRadovi7[Cena po jedinici mere unos (€)])</calculatedColumnFormula>
    </tableColumn>
    <tableColumn id="9" name="Iznos" dataDxfId="267" dataCellStyle="Normal 3 2">
      <calculatedColumnFormula>tblRadovi7[Količina]*tblRadovi7[Cena po jedinici mere]</calculatedColumnFormula>
    </tableColumn>
    <tableColumn id="6" name="b" dataDxfId="266" dataCellStyle="Hyperlink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8" name="tblRadovi8" displayName="tblRadovi8" ref="C17:L18" insertRow="1" headerRowDxfId="265">
  <autoFilter ref="C17:L18"/>
  <tableColumns count="10">
    <tableColumn id="7" name="a" dataDxfId="264" dataCellStyle="Normal 3 2">
      <calculatedColumnFormula>IF(OR(tblRadovi8[Opis posla]=0,tblRadovi8[Jedinica mere]=0,tblRadovi8[Količina]=0,tblRadovi8[Cena po jedinici mere unos (€)]=0),"*","")</calculatedColumnFormula>
    </tableColumn>
    <tableColumn id="1" name="Redni broj" totalsRowLabel="Total" dataDxfId="263">
      <calculatedColumnFormula>ROW(A18)-17&amp;"."</calculatedColumnFormula>
    </tableColumn>
    <tableColumn id="11" name="Naziv pozicije" dataDxfId="262" dataCellStyle="Normal 3 2"/>
    <tableColumn id="2" name="Opis posla" dataDxfId="261"/>
    <tableColumn id="8" name="Jedinica mere" dataDxfId="260" dataCellStyle="Normal 3 2"/>
    <tableColumn id="3" name="Količina" dataDxfId="259"/>
    <tableColumn id="4" name="Cena po jedinici mere unos (€)" dataDxfId="258"/>
    <tableColumn id="5" name="Cena po jedinici mere" totalsRowFunction="sum" dataDxfId="257" dataCellStyle="Normal 3 2">
      <calculatedColumnFormula>IF(Valuta=0,tblRadovi8[Cena po jedinici mere unos (€)]*SrednjaVrednostDinara,tblRadovi8[Cena po jedinici mere unos (€)])</calculatedColumnFormula>
    </tableColumn>
    <tableColumn id="9" name="Iznos" dataDxfId="256" dataCellStyle="Normal 3 2">
      <calculatedColumnFormula>tblRadovi8[Količina]*tblRadovi8[Cena po jedinici mere]</calculatedColumnFormula>
    </tableColumn>
    <tableColumn id="6" name="b" dataDxfId="255" dataCellStyle="Hyperlink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9" name="tblRadovi9" displayName="tblRadovi9" ref="C17:L18" insertRow="1" headerRowDxfId="254">
  <autoFilter ref="C17:L18"/>
  <tableColumns count="10">
    <tableColumn id="7" name="a" dataDxfId="253" dataCellStyle="Normal 3 2">
      <calculatedColumnFormula>IF(OR(tblRadovi9[Opis posla]=0,tblRadovi9[Jedinica mere]=0,tblRadovi9[Količina]=0,tblRadovi9[Cena po jedinici mere unos (€)]=0),"*","")</calculatedColumnFormula>
    </tableColumn>
    <tableColumn id="1" name="Redni broj" totalsRowLabel="Total" dataDxfId="252">
      <calculatedColumnFormula>ROW(A18)-17&amp;"."</calculatedColumnFormula>
    </tableColumn>
    <tableColumn id="11" name="Naziv pozicije" dataDxfId="251" dataCellStyle="Normal 3 2"/>
    <tableColumn id="2" name="Opis posla" dataDxfId="250"/>
    <tableColumn id="8" name="Jedinica mere" dataDxfId="249" dataCellStyle="Normal 3 2"/>
    <tableColumn id="3" name="Količina" dataDxfId="248"/>
    <tableColumn id="4" name="Cena po jedinici mere unos (€)" dataDxfId="247"/>
    <tableColumn id="5" name="Cena po jedinici mere" totalsRowFunction="sum" dataDxfId="246" dataCellStyle="Normal 3 2">
      <calculatedColumnFormula>IF(Valuta=0,tblRadovi9[Cena po jedinici mere unos (€)]*SrednjaVrednostDinara,tblRadovi9[Cena po jedinici mere unos (€)])</calculatedColumnFormula>
    </tableColumn>
    <tableColumn id="9" name="Iznos" dataDxfId="245" dataCellStyle="Normal 3 2">
      <calculatedColumnFormula>tblRadovi9[Količina]*tblRadovi9[Cena po jedinici mere]</calculatedColumnFormula>
    </tableColumn>
    <tableColumn id="6" name="b" dataDxfId="244" dataCellStyle="Hyperlink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0" name="tblRadovi10" displayName="tblRadovi10" ref="C17:L18" insertRow="1" headerRowDxfId="243">
  <autoFilter ref="C17:L18"/>
  <tableColumns count="10">
    <tableColumn id="7" name="a" dataDxfId="242" dataCellStyle="Normal 3 2">
      <calculatedColumnFormula>IF(OR(tblRadovi10[Opis posla]=0,tblRadovi10[Jedinica mere]=0,tblRadovi10[Količina]=0,tblRadovi10[Cena po jedinici mere unos (€)]=0),"*","")</calculatedColumnFormula>
    </tableColumn>
    <tableColumn id="1" name="Redni broj" totalsRowLabel="Total" dataDxfId="241">
      <calculatedColumnFormula>ROW(A18)-17&amp;"."</calculatedColumnFormula>
    </tableColumn>
    <tableColumn id="11" name="Naziv pozicije" dataDxfId="240" dataCellStyle="Normal 3 2"/>
    <tableColumn id="2" name="Opis posla" dataDxfId="239"/>
    <tableColumn id="8" name="Jedinica mere" dataDxfId="238" dataCellStyle="Normal 3 2"/>
    <tableColumn id="3" name="Količina" dataDxfId="237"/>
    <tableColumn id="4" name="Cena po jedinici mere unos (€)" dataDxfId="236"/>
    <tableColumn id="5" name="Cena po jedinici mere" totalsRowFunction="sum" dataDxfId="235" dataCellStyle="Normal 3 2">
      <calculatedColumnFormula>IF(Valuta=0,tblRadovi10[Cena po jedinici mere unos (€)]*SrednjaVrednostDinara,tblRadovi10[Cena po jedinici mere unos (€)])</calculatedColumnFormula>
    </tableColumn>
    <tableColumn id="9" name="Iznos" dataDxfId="234" dataCellStyle="Normal 3 2">
      <calculatedColumnFormula>tblRadovi10[Količina]*tblRadovi10[Cena po jedinici mere]</calculatedColumnFormula>
    </tableColumn>
    <tableColumn id="6" name="b" dataDxfId="233" dataCellStyle="Hyperlink"/>
  </tableColumns>
  <tableStyleInfo name="Mehanizam2" showFirstColumn="0" showLastColumn="0" showRowStripes="1" showColumnStripes="0"/>
</table>
</file>

<file path=xl/tables/table11.xml><?xml version="1.0" encoding="utf-8"?>
<table xmlns="http://schemas.openxmlformats.org/spreadsheetml/2006/main" id="11" name="tblRadovi11" displayName="tblRadovi11" ref="C17:L18" insertRow="1" headerRowDxfId="232">
  <autoFilter ref="C17:L18"/>
  <tableColumns count="10">
    <tableColumn id="7" name="a" dataDxfId="231" dataCellStyle="Normal 3 2">
      <calculatedColumnFormula>IF(OR(tblRadovi11[Opis posla]=0,tblRadovi11[Jedinica mere]=0,tblRadovi11[Količina]=0,tblRadovi11[Cena po jedinici mere unos (€)]=0),"*","")</calculatedColumnFormula>
    </tableColumn>
    <tableColumn id="1" name="Redni broj" totalsRowLabel="Total" dataDxfId="230">
      <calculatedColumnFormula>ROW(A18)-17&amp;"."</calculatedColumnFormula>
    </tableColumn>
    <tableColumn id="11" name="Naziv pozicije" dataDxfId="229" dataCellStyle="Normal 3 2"/>
    <tableColumn id="2" name="Opis posla" dataDxfId="228"/>
    <tableColumn id="8" name="Jedinica mere" dataDxfId="227" dataCellStyle="Normal 3 2"/>
    <tableColumn id="3" name="Količina" dataDxfId="226"/>
    <tableColumn id="4" name="Cena po jedinici mere unos (€)" dataDxfId="225"/>
    <tableColumn id="5" name="Cena po jedinici mere" totalsRowFunction="sum" dataDxfId="224" dataCellStyle="Normal 3 2">
      <calculatedColumnFormula>IF(Valuta=0,tblRadovi11[Cena po jedinici mere unos (€)]*SrednjaVrednostDinara,tblRadovi11[Cena po jedinici mere unos (€)])</calculatedColumnFormula>
    </tableColumn>
    <tableColumn id="9" name="Iznos" dataDxfId="223" dataCellStyle="Normal 3 2">
      <calculatedColumnFormula>tblRadovi11[Količina]*tblRadovi11[Cena po jedinici mere]</calculatedColumnFormula>
    </tableColumn>
    <tableColumn id="6" name="b" dataDxfId="222" dataCellStyle="Hyperlink"/>
  </tableColumns>
  <tableStyleInfo name="Mehanizam2" showFirstColumn="0" showLastColumn="0" showRowStripes="1" showColumnStripes="0"/>
</table>
</file>

<file path=xl/tables/table12.xml><?xml version="1.0" encoding="utf-8"?>
<table xmlns="http://schemas.openxmlformats.org/spreadsheetml/2006/main" id="12" name="tblRadovi12" displayName="tblRadovi12" ref="C17:L18" insertRow="1" headerRowDxfId="221">
  <autoFilter ref="C17:L18"/>
  <tableColumns count="10">
    <tableColumn id="7" name="a" dataDxfId="220" dataCellStyle="Normal 3 2">
      <calculatedColumnFormula>IF(OR(tblRadovi12[Opis posla]=0,tblRadovi12[Jedinica mere]=0,tblRadovi12[Količina]=0,tblRadovi12[Cena po jedinici mere unos (€)]=0),"*","")</calculatedColumnFormula>
    </tableColumn>
    <tableColumn id="1" name="Redni broj" totalsRowLabel="Total" dataDxfId="219">
      <calculatedColumnFormula>ROW(A18)-17&amp;"."</calculatedColumnFormula>
    </tableColumn>
    <tableColumn id="11" name="Naziv pozicije" dataDxfId="218" dataCellStyle="Normal 3 2"/>
    <tableColumn id="2" name="Opis posla" dataDxfId="217"/>
    <tableColumn id="8" name="Jedinica mere" dataDxfId="216" dataCellStyle="Normal 3 2"/>
    <tableColumn id="3" name="Količina" dataDxfId="215"/>
    <tableColumn id="4" name="Cena po jedinici mere unos (€)" dataDxfId="214"/>
    <tableColumn id="5" name="Cena po jedinici mere" totalsRowFunction="sum" dataDxfId="213" dataCellStyle="Normal 3 2">
      <calculatedColumnFormula>IF(Valuta=0,tblRadovi12[Cena po jedinici mere unos (€)]*SrednjaVrednostDinara,tblRadovi12[Cena po jedinici mere unos (€)])</calculatedColumnFormula>
    </tableColumn>
    <tableColumn id="9" name="Iznos" dataDxfId="212" dataCellStyle="Normal 3 2">
      <calculatedColumnFormula>tblRadovi12[Količina]*tblRadovi12[Cena po jedinici mere]</calculatedColumnFormula>
    </tableColumn>
    <tableColumn id="6" name="b" dataDxfId="211" dataCellStyle="Hyperlink"/>
  </tableColumns>
  <tableStyleInfo name="Mehanizam2" showFirstColumn="0" showLastColumn="0" showRowStripes="1" showColumnStripes="0"/>
</table>
</file>

<file path=xl/tables/table13.xml><?xml version="1.0" encoding="utf-8"?>
<table xmlns="http://schemas.openxmlformats.org/spreadsheetml/2006/main" id="13" name="tblRadovi13" displayName="tblRadovi13" ref="C17:L18" insertRow="1" headerRowDxfId="210">
  <autoFilter ref="C17:L18"/>
  <tableColumns count="10">
    <tableColumn id="7" name="a" dataDxfId="209" dataCellStyle="Normal 3 2">
      <calculatedColumnFormula>IF(OR(tblRadovi13[Opis posla]=0,tblRadovi13[Jedinica mere]=0,tblRadovi13[Količina]=0,tblRadovi13[Cena po jedinici mere unos (€)]=0),"*","")</calculatedColumnFormula>
    </tableColumn>
    <tableColumn id="1" name="Redni broj" totalsRowLabel="Total" dataDxfId="208">
      <calculatedColumnFormula>ROW(A18)-17&amp;"."</calculatedColumnFormula>
    </tableColumn>
    <tableColumn id="11" name="Naziv pozicije" dataDxfId="207" dataCellStyle="Normal 3 2"/>
    <tableColumn id="2" name="Opis posla" dataDxfId="206"/>
    <tableColumn id="8" name="Jedinica mere" dataDxfId="205" dataCellStyle="Normal 3 2"/>
    <tableColumn id="3" name="Količina" dataDxfId="204"/>
    <tableColumn id="4" name="Cena po jedinici mere unos (€)" dataDxfId="203"/>
    <tableColumn id="5" name="Cena po jedinici mere" totalsRowFunction="sum" dataDxfId="202" dataCellStyle="Normal 3 2">
      <calculatedColumnFormula>IF(Valuta=0,tblRadovi13[Cena po jedinici mere unos (€)]*SrednjaVrednostDinara,tblRadovi13[Cena po jedinici mere unos (€)])</calculatedColumnFormula>
    </tableColumn>
    <tableColumn id="9" name="Iznos" dataDxfId="201" dataCellStyle="Normal 3 2">
      <calculatedColumnFormula>tblRadovi13[Količina]*tblRadovi13[Cena po jedinici mere]</calculatedColumnFormula>
    </tableColumn>
    <tableColumn id="6" name="b" dataDxfId="200" dataCellStyle="Hyperlink"/>
  </tableColumns>
  <tableStyleInfo name="Mehanizam2" showFirstColumn="0" showLastColumn="0" showRowStripes="1" showColumnStripes="0"/>
</table>
</file>

<file path=xl/tables/table14.xml><?xml version="1.0" encoding="utf-8"?>
<table xmlns="http://schemas.openxmlformats.org/spreadsheetml/2006/main" id="14" name="tblRadovi14" displayName="tblRadovi14" ref="C17:L18" insertRow="1" headerRowDxfId="199">
  <autoFilter ref="C17:L18"/>
  <tableColumns count="10">
    <tableColumn id="7" name="a" dataDxfId="198" dataCellStyle="Normal 3 2">
      <calculatedColumnFormula>IF(OR(tblRadovi14[Opis posla]=0,tblRadovi14[Jedinica mere]=0,tblRadovi14[Količina]=0,tblRadovi14[Cena po jedinici mere unos (€)]=0),"*","")</calculatedColumnFormula>
    </tableColumn>
    <tableColumn id="1" name="Redni broj" totalsRowLabel="Total" dataDxfId="197">
      <calculatedColumnFormula>ROW(A18)-17&amp;"."</calculatedColumnFormula>
    </tableColumn>
    <tableColumn id="11" name="Naziv pozicije" dataDxfId="196" dataCellStyle="Normal 3 2"/>
    <tableColumn id="2" name="Opis posla" dataDxfId="195"/>
    <tableColumn id="8" name="Jedinica mere" dataDxfId="194" dataCellStyle="Normal 3 2"/>
    <tableColumn id="3" name="Količina" dataDxfId="193"/>
    <tableColumn id="4" name="Cena po jedinici mere unos (€)" dataDxfId="192"/>
    <tableColumn id="5" name="Cena po jedinici mere" totalsRowFunction="sum" dataDxfId="191" dataCellStyle="Normal 3 2">
      <calculatedColumnFormula>IF(Valuta=0,tblRadovi14[Cena po jedinici mere unos (€)]*SrednjaVrednostDinara,tblRadovi14[Cena po jedinici mere unos (€)])</calculatedColumnFormula>
    </tableColumn>
    <tableColumn id="9" name="Iznos" dataDxfId="190" dataCellStyle="Normal 3 2">
      <calculatedColumnFormula>tblRadovi14[Količina]*tblRadovi14[Cena po jedinici mere]</calculatedColumnFormula>
    </tableColumn>
    <tableColumn id="6" name="b" dataDxfId="189" dataCellStyle="Hyperlink"/>
  </tableColumns>
  <tableStyleInfo name="Mehanizam2" showFirstColumn="0" showLastColumn="0" showRowStripes="1" showColumnStripes="0"/>
</table>
</file>

<file path=xl/tables/table15.xml><?xml version="1.0" encoding="utf-8"?>
<table xmlns="http://schemas.openxmlformats.org/spreadsheetml/2006/main" id="15" name="tblRadovi15" displayName="tblRadovi15" ref="C17:L18" insertRow="1" headerRowDxfId="188">
  <autoFilter ref="C17:L18"/>
  <tableColumns count="10">
    <tableColumn id="7" name="a" dataDxfId="187" dataCellStyle="Normal 3 2">
      <calculatedColumnFormula>IF(OR(tblRadovi15[Opis posla]=0,tblRadovi15[Jedinica mere]=0,tblRadovi15[Količina]=0,tblRadovi15[Cena po jedinici mere unos (€)]=0),"*","")</calculatedColumnFormula>
    </tableColumn>
    <tableColumn id="1" name="Redni broj" totalsRowLabel="Total" dataDxfId="186">
      <calculatedColumnFormula>ROW(A18)-17&amp;"."</calculatedColumnFormula>
    </tableColumn>
    <tableColumn id="11" name="Naziv pozicije" dataDxfId="185" dataCellStyle="Normal 3 2"/>
    <tableColumn id="2" name="Opis posla" dataDxfId="184"/>
    <tableColumn id="8" name="Jedinica mere" dataDxfId="183" dataCellStyle="Normal 3 2"/>
    <tableColumn id="3" name="Količina" dataDxfId="182"/>
    <tableColumn id="4" name="Cena po jedinici mere unos (€)" dataDxfId="181"/>
    <tableColumn id="5" name="Cena po jedinici mere" totalsRowFunction="sum" dataDxfId="180" dataCellStyle="Normal 3 2">
      <calculatedColumnFormula>IF(Valuta=0,tblRadovi15[Cena po jedinici mere unos (€)]*SrednjaVrednostDinara,tblRadovi15[Cena po jedinici mere unos (€)])</calculatedColumnFormula>
    </tableColumn>
    <tableColumn id="9" name="Iznos" dataDxfId="179" dataCellStyle="Normal 3 2">
      <calculatedColumnFormula>tblRadovi15[Količina]*tblRadovi15[Cena po jedinici mere]</calculatedColumnFormula>
    </tableColumn>
    <tableColumn id="6" name="b" dataDxfId="178" dataCellStyle="Hyperlink"/>
  </tableColumns>
  <tableStyleInfo name="Mehanizam2" showFirstColumn="0" showLastColumn="0" showRowStripes="1" showColumnStripes="0"/>
</table>
</file>

<file path=xl/tables/table16.xml><?xml version="1.0" encoding="utf-8"?>
<table xmlns="http://schemas.openxmlformats.org/spreadsheetml/2006/main" id="16" name="tblRadovi16" displayName="tblRadovi16" ref="C17:L18" insertRow="1" headerRowDxfId="177">
  <autoFilter ref="C17:L18"/>
  <tableColumns count="10">
    <tableColumn id="7" name="a" dataDxfId="176" dataCellStyle="Normal 3 2">
      <calculatedColumnFormula>IF(OR(tblRadovi16[Opis posla]=0,tblRadovi16[Jedinica mere]=0,tblRadovi16[Količina]=0,tblRadovi16[Cena po jedinici mere unos (€)]=0),"*","")</calculatedColumnFormula>
    </tableColumn>
    <tableColumn id="1" name="Redni broj" totalsRowLabel="Total" dataDxfId="175">
      <calculatedColumnFormula>ROW(A18)-17&amp;"."</calculatedColumnFormula>
    </tableColumn>
    <tableColumn id="11" name="Naziv pozicije" dataDxfId="174" dataCellStyle="Normal 3 2"/>
    <tableColumn id="2" name="Opis posla" dataDxfId="173"/>
    <tableColumn id="8" name="Jedinica mere" dataDxfId="172" dataCellStyle="Normal 3 2"/>
    <tableColumn id="3" name="Količina" dataDxfId="171"/>
    <tableColumn id="4" name="Cena po jedinici mere unos (€)" dataDxfId="170"/>
    <tableColumn id="5" name="Cena po jedinici mere" totalsRowFunction="sum" dataDxfId="169" dataCellStyle="Normal 3 2">
      <calculatedColumnFormula>IF(Valuta=0,tblRadovi16[Cena po jedinici mere unos (€)]*SrednjaVrednostDinara,tblRadovi16[Cena po jedinici mere unos (€)])</calculatedColumnFormula>
    </tableColumn>
    <tableColumn id="9" name="Iznos" dataDxfId="168" dataCellStyle="Normal 3 2">
      <calculatedColumnFormula>tblRadovi16[Količina]*tblRadovi16[Cena po jedinici mere]</calculatedColumnFormula>
    </tableColumn>
    <tableColumn id="6" name="b" dataDxfId="167" dataCellStyle="Hyperlink"/>
  </tableColumns>
  <tableStyleInfo name="Mehanizam2" showFirstColumn="0" showLastColumn="0" showRowStripes="1" showColumnStripes="0"/>
</table>
</file>

<file path=xl/tables/table17.xml><?xml version="1.0" encoding="utf-8"?>
<table xmlns="http://schemas.openxmlformats.org/spreadsheetml/2006/main" id="17" name="tblRadovi17" displayName="tblRadovi17" ref="C17:L18" insertRow="1" headerRowDxfId="166">
  <autoFilter ref="C17:L18"/>
  <tableColumns count="10">
    <tableColumn id="7" name="a" dataDxfId="165" dataCellStyle="Normal 3 2">
      <calculatedColumnFormula>IF(OR(tblRadovi17[Opis posla]=0,tblRadovi17[Jedinica mere]=0,tblRadovi17[Količina]=0,tblRadovi17[Cena po jedinici mere unos (€)]=0),"*","")</calculatedColumnFormula>
    </tableColumn>
    <tableColumn id="1" name="Redni broj" totalsRowLabel="Total" dataDxfId="164">
      <calculatedColumnFormula>ROW(A18)-17&amp;"."</calculatedColumnFormula>
    </tableColumn>
    <tableColumn id="11" name="Naziv pozicije" dataDxfId="163" dataCellStyle="Normal 3 2"/>
    <tableColumn id="2" name="Opis posla" dataDxfId="162"/>
    <tableColumn id="8" name="Jedinica mere" dataDxfId="161" dataCellStyle="Normal 3 2"/>
    <tableColumn id="3" name="Količina" dataDxfId="160"/>
    <tableColumn id="4" name="Cena po jedinici mere unos (€)" dataDxfId="159"/>
    <tableColumn id="5" name="Cena po jedinici mere" totalsRowFunction="sum" dataDxfId="158" dataCellStyle="Normal 3 2">
      <calculatedColumnFormula>IF(Valuta=0,tblRadovi17[Cena po jedinici mere unos (€)]*SrednjaVrednostDinara,tblRadovi17[Cena po jedinici mere unos (€)])</calculatedColumnFormula>
    </tableColumn>
    <tableColumn id="9" name="Iznos" dataDxfId="157" dataCellStyle="Normal 3 2">
      <calculatedColumnFormula>tblRadovi17[Količina]*tblRadovi17[Cena po jedinici mere]</calculatedColumnFormula>
    </tableColumn>
    <tableColumn id="6" name="b" dataDxfId="156" dataCellStyle="Hyperlink"/>
  </tableColumns>
  <tableStyleInfo name="Mehanizam2" showFirstColumn="0" showLastColumn="0" showRowStripes="1" showColumnStripes="0"/>
</table>
</file>

<file path=xl/tables/table18.xml><?xml version="1.0" encoding="utf-8"?>
<table xmlns="http://schemas.openxmlformats.org/spreadsheetml/2006/main" id="18" name="tblRadovi18" displayName="tblRadovi18" ref="C17:L18" insertRow="1" headerRowDxfId="155">
  <autoFilter ref="C17:L18"/>
  <tableColumns count="10">
    <tableColumn id="7" name="a" dataDxfId="154" dataCellStyle="Normal 3 2">
      <calculatedColumnFormula>IF(OR(tblRadovi18[Opis posla]=0,tblRadovi18[Jedinica mere]=0,tblRadovi18[Količina]=0,tblRadovi18[Cena po jedinici mere unos (€)]=0),"*","")</calculatedColumnFormula>
    </tableColumn>
    <tableColumn id="1" name="Redni broj" totalsRowLabel="Total" dataDxfId="153">
      <calculatedColumnFormula>ROW(A18)-17&amp;"."</calculatedColumnFormula>
    </tableColumn>
    <tableColumn id="11" name="Naziv pozicije" dataDxfId="152" dataCellStyle="Normal 3 2"/>
    <tableColumn id="2" name="Opis posla" dataDxfId="151"/>
    <tableColumn id="8" name="Jedinica mere" dataDxfId="150" dataCellStyle="Normal 3 2"/>
    <tableColumn id="3" name="Količina" dataDxfId="149"/>
    <tableColumn id="4" name="Cena po jedinici mere unos (€)" dataDxfId="148"/>
    <tableColumn id="5" name="Cena po jedinici mere" totalsRowFunction="sum" dataDxfId="147" dataCellStyle="Normal 3 2">
      <calculatedColumnFormula>IF(Valuta=0,tblRadovi18[Cena po jedinici mere unos (€)]*SrednjaVrednostDinara,tblRadovi18[Cena po jedinici mere unos (€)])</calculatedColumnFormula>
    </tableColumn>
    <tableColumn id="9" name="Iznos" dataDxfId="146" dataCellStyle="Normal 3 2">
      <calculatedColumnFormula>tblRadovi18[Količina]*tblRadovi18[Cena po jedinici mere]</calculatedColumnFormula>
    </tableColumn>
    <tableColumn id="6" name="b" dataDxfId="145" dataCellStyle="Hyperlink"/>
  </tableColumns>
  <tableStyleInfo name="Mehanizam2" showFirstColumn="0" showLastColumn="0" showRowStripes="1" showColumnStripes="0"/>
</table>
</file>

<file path=xl/tables/table19.xml><?xml version="1.0" encoding="utf-8"?>
<table xmlns="http://schemas.openxmlformats.org/spreadsheetml/2006/main" id="19" name="tblRadovi19" displayName="tblRadovi19" ref="C17:L18" insertRow="1" headerRowDxfId="144">
  <autoFilter ref="C17:L18"/>
  <tableColumns count="10">
    <tableColumn id="7" name="a" dataDxfId="143" dataCellStyle="Normal 3 2">
      <calculatedColumnFormula>IF(OR(tblRadovi19[Opis posla]=0,tblRadovi19[Jedinica mere]=0,tblRadovi19[Količina]=0,tblRadovi19[Cena po jedinici mere unos (€)]=0),"*","")</calculatedColumnFormula>
    </tableColumn>
    <tableColumn id="1" name="Redni broj" totalsRowLabel="Total" dataDxfId="142">
      <calculatedColumnFormula>ROW(A18)-17&amp;"."</calculatedColumnFormula>
    </tableColumn>
    <tableColumn id="11" name="Naziv pozicije" dataDxfId="141" dataCellStyle="Normal 3 2"/>
    <tableColumn id="2" name="Opis posla" dataDxfId="140"/>
    <tableColumn id="8" name="Jedinica mere" dataDxfId="139" dataCellStyle="Normal 3 2"/>
    <tableColumn id="3" name="Količina" dataDxfId="138"/>
    <tableColumn id="4" name="Cena po jedinici mere unos (€)" dataDxfId="137"/>
    <tableColumn id="5" name="Cena po jedinici mere" totalsRowFunction="sum" dataDxfId="136" dataCellStyle="Normal 3 2">
      <calculatedColumnFormula>IF(Valuta=0,tblRadovi19[Cena po jedinici mere unos (€)]*SrednjaVrednostDinara,tblRadovi19[Cena po jedinici mere unos (€)])</calculatedColumnFormula>
    </tableColumn>
    <tableColumn id="9" name="Iznos" dataDxfId="135" dataCellStyle="Normal 3 2">
      <calculatedColumnFormula>tblRadovi19[Količina]*tblRadovi19[Cena po jedinici mere]</calculatedColumnFormula>
    </tableColumn>
    <tableColumn id="6" name="b" dataDxfId="134" dataCellStyle="Hyperlink"/>
  </tableColumns>
  <tableStyleInfo name="Mehanizam2" showFirstColumn="0" showLastColumn="0" showRowStripes="1" showColumnStripes="0"/>
</table>
</file>

<file path=xl/tables/table20.xml><?xml version="1.0" encoding="utf-8"?>
<table xmlns="http://schemas.openxmlformats.org/spreadsheetml/2006/main" id="20" name="tblRadovi20" displayName="tblRadovi20" ref="C17:L18" insertRow="1" headerRowDxfId="133">
  <autoFilter ref="C17:L18"/>
  <tableColumns count="10">
    <tableColumn id="7" name="a" dataDxfId="132" dataCellStyle="Normal 3 2">
      <calculatedColumnFormula>IF(OR(tblRadovi20[Opis posla]=0,tblRadovi20[Jedinica mere]=0,tblRadovi20[Količina]=0,tblRadovi20[Cena po jedinici mere unos (€)]=0),"*","")</calculatedColumnFormula>
    </tableColumn>
    <tableColumn id="1" name="Redni broj" totalsRowLabel="Total" dataDxfId="131">
      <calculatedColumnFormula>ROW(A18)-17&amp;"."</calculatedColumnFormula>
    </tableColumn>
    <tableColumn id="11" name="Naziv pozicije" dataDxfId="130" dataCellStyle="Normal 3 2"/>
    <tableColumn id="2" name="Opis posla" dataDxfId="129"/>
    <tableColumn id="8" name="Jedinica mere" dataDxfId="128" dataCellStyle="Normal 3 2"/>
    <tableColumn id="3" name="Količina" dataDxfId="127"/>
    <tableColumn id="4" name="Cena po jedinici mere unos (€)" dataDxfId="126"/>
    <tableColumn id="5" name="Cena po jedinici mere" totalsRowFunction="sum" dataDxfId="125" dataCellStyle="Normal 3 2">
      <calculatedColumnFormula>IF(Valuta=0,tblRadovi20[Cena po jedinici mere unos (€)]*SrednjaVrednostDinara,tblRadovi20[Cena po jedinici mere unos (€)])</calculatedColumnFormula>
    </tableColumn>
    <tableColumn id="9" name="Iznos" dataDxfId="124" dataCellStyle="Normal 3 2">
      <calculatedColumnFormula>tblRadovi20[Količina]*tblRadovi20[Cena po jedinici mere]</calculatedColumnFormula>
    </tableColumn>
    <tableColumn id="6" name="b" dataDxfId="123" dataCellStyle="Hyperlink"/>
  </tableColumns>
  <tableStyleInfo name="Mehanizam2" showFirstColumn="0" showLastColumn="0" showRowStripes="1" showColumnStripes="0"/>
</table>
</file>

<file path=xl/tables/table21.xml><?xml version="1.0" encoding="utf-8"?>
<table xmlns="http://schemas.openxmlformats.org/spreadsheetml/2006/main" id="21" name="tblRadovi21" displayName="tblRadovi21" ref="C17:L18" insertRow="1" headerRowDxfId="122">
  <autoFilter ref="C17:L18"/>
  <tableColumns count="10">
    <tableColumn id="7" name="a" dataDxfId="121" dataCellStyle="Normal 3 2">
      <calculatedColumnFormula>IF(OR(tblRadovi21[Opis posla]=0,tblRadovi21[Jedinica mere]=0,tblRadovi21[Količina]=0,tblRadovi21[Cena po jedinici mere unos (€)]=0),"*","")</calculatedColumnFormula>
    </tableColumn>
    <tableColumn id="1" name="Redni broj" totalsRowLabel="Total" dataDxfId="120">
      <calculatedColumnFormula>ROW(A18)-17&amp;"."</calculatedColumnFormula>
    </tableColumn>
    <tableColumn id="11" name="Naziv pozicije" dataDxfId="119" dataCellStyle="Normal 3 2"/>
    <tableColumn id="2" name="Opis posla" dataDxfId="118"/>
    <tableColumn id="8" name="Jedinica mere" dataDxfId="117" dataCellStyle="Normal 3 2"/>
    <tableColumn id="3" name="Količina" dataDxfId="116"/>
    <tableColumn id="4" name="Cena po jedinici mere unos (€)" dataDxfId="115"/>
    <tableColumn id="5" name="Cena po jedinici mere" totalsRowFunction="sum" dataDxfId="114" dataCellStyle="Normal 3 2">
      <calculatedColumnFormula>IF(Valuta=0,tblRadovi21[Cena po jedinici mere unos (€)]*SrednjaVrednostDinara,tblRadovi21[Cena po jedinici mere unos (€)])</calculatedColumnFormula>
    </tableColumn>
    <tableColumn id="9" name="Iznos" dataDxfId="113" dataCellStyle="Normal 3 2">
      <calculatedColumnFormula>tblRadovi21[Količina]*tblRadovi21[Cena po jedinici mere]</calculatedColumnFormula>
    </tableColumn>
    <tableColumn id="6" name="b" dataDxfId="112" dataCellStyle="Hyperlink"/>
  </tableColumns>
  <tableStyleInfo name="Mehanizam2" showFirstColumn="0" showLastColumn="0" showRowStripes="1" showColumnStripes="0"/>
</table>
</file>

<file path=xl/tables/table22.xml><?xml version="1.0" encoding="utf-8"?>
<table xmlns="http://schemas.openxmlformats.org/spreadsheetml/2006/main" id="22" name="tblRadovi22" displayName="tblRadovi22" ref="C17:L18" insertRow="1" headerRowDxfId="111">
  <autoFilter ref="C17:L18"/>
  <tableColumns count="10">
    <tableColumn id="7" name="a" dataDxfId="110" dataCellStyle="Normal 3 2">
      <calculatedColumnFormula>IF(OR(tblRadovi22[Opis posla]=0,tblRadovi22[Jedinica mere]=0,tblRadovi22[Količina]=0,tblRadovi22[Cena po jedinici mere unos (€)]=0),"*","")</calculatedColumnFormula>
    </tableColumn>
    <tableColumn id="1" name="Redni broj" totalsRowLabel="Total" dataDxfId="109">
      <calculatedColumnFormula>ROW(A18)-17&amp;"."</calculatedColumnFormula>
    </tableColumn>
    <tableColumn id="11" name="Naziv pozicije" dataDxfId="108" dataCellStyle="Normal 3 2"/>
    <tableColumn id="2" name="Opis posla" dataDxfId="107"/>
    <tableColumn id="8" name="Jedinica mere" dataDxfId="106" dataCellStyle="Normal 3 2"/>
    <tableColumn id="3" name="Količina" dataDxfId="105"/>
    <tableColumn id="4" name="Cena po jedinici mere unos (€)" dataDxfId="104"/>
    <tableColumn id="5" name="Cena po jedinici mere" totalsRowFunction="sum" dataDxfId="103" dataCellStyle="Normal 3 2">
      <calculatedColumnFormula>IF(Valuta=0,tblRadovi22[Cena po jedinici mere unos (€)]*SrednjaVrednostDinara,tblRadovi22[Cena po jedinici mere unos (€)])</calculatedColumnFormula>
    </tableColumn>
    <tableColumn id="9" name="Iznos" dataDxfId="102" dataCellStyle="Normal 3 2">
      <calculatedColumnFormula>tblRadovi22[Količina]*tblRadovi22[Cena po jedinici mere]</calculatedColumnFormula>
    </tableColumn>
    <tableColumn id="6" name="b" dataDxfId="101" dataCellStyle="Hyperlink"/>
  </tableColumns>
  <tableStyleInfo name="Mehanizam2" showFirstColumn="0" showLastColumn="0" showRowStripes="1" showColumnStripes="0"/>
</table>
</file>

<file path=xl/tables/table23.xml><?xml version="1.0" encoding="utf-8"?>
<table xmlns="http://schemas.openxmlformats.org/spreadsheetml/2006/main" id="23" name="tblRadovi23" displayName="tblRadovi23" ref="C17:L18" insertRow="1" headerRowDxfId="100">
  <autoFilter ref="C17:L18"/>
  <tableColumns count="10">
    <tableColumn id="7" name="a" dataDxfId="99" dataCellStyle="Normal 3 2">
      <calculatedColumnFormula>IF(OR(tblRadovi23[Opis posla]=0,tblRadovi23[Jedinica mere]=0,tblRadovi23[Količina]=0,tblRadovi23[Cena po jedinici mere unos (€)]=0),"*","")</calculatedColumnFormula>
    </tableColumn>
    <tableColumn id="1" name="Redni broj" totalsRowLabel="Total" dataDxfId="98">
      <calculatedColumnFormula>ROW(A18)-17&amp;"."</calculatedColumnFormula>
    </tableColumn>
    <tableColumn id="11" name="Naziv pozicije" dataDxfId="97" dataCellStyle="Normal 3 2"/>
    <tableColumn id="2" name="Opis posla" dataDxfId="96"/>
    <tableColumn id="8" name="Jedinica mere" dataDxfId="95" dataCellStyle="Normal 3 2"/>
    <tableColumn id="3" name="Količina" dataDxfId="94"/>
    <tableColumn id="4" name="Cena po jedinici mere unos (€)" dataDxfId="93"/>
    <tableColumn id="5" name="Cena po jedinici mere" totalsRowFunction="sum" dataDxfId="92" dataCellStyle="Normal 3 2">
      <calculatedColumnFormula>IF(Valuta=0,tblRadovi23[Cena po jedinici mere unos (€)]*SrednjaVrednostDinara,tblRadovi23[Cena po jedinici mere unos (€)])</calculatedColumnFormula>
    </tableColumn>
    <tableColumn id="9" name="Iznos" dataDxfId="91" dataCellStyle="Normal 3 2">
      <calculatedColumnFormula>tblRadovi23[Količina]*tblRadovi23[Cena po jedinici mere]</calculatedColumnFormula>
    </tableColumn>
    <tableColumn id="6" name="b" dataDxfId="90" dataCellStyle="Hyperlink"/>
  </tableColumns>
  <tableStyleInfo name="Mehanizam2" showFirstColumn="0" showLastColumn="0" showRowStripes="1" showColumnStripes="0"/>
</table>
</file>

<file path=xl/tables/table24.xml><?xml version="1.0" encoding="utf-8"?>
<table xmlns="http://schemas.openxmlformats.org/spreadsheetml/2006/main" id="24" name="tblRadovi24" displayName="tblRadovi24" ref="C17:L18" insertRow="1" headerRowDxfId="89">
  <autoFilter ref="C17:L18"/>
  <tableColumns count="10">
    <tableColumn id="7" name="a" dataDxfId="88" dataCellStyle="Normal 3 2">
      <calculatedColumnFormula>IF(OR(tblRadovi24[Opis posla]=0,tblRadovi24[Jedinica mere]=0,tblRadovi24[Količina]=0,tblRadovi24[Cena po jedinici mere unos (€)]=0),"*","")</calculatedColumnFormula>
    </tableColumn>
    <tableColumn id="1" name="Redni broj" totalsRowLabel="Total" dataDxfId="87">
      <calculatedColumnFormula>ROW(A18)-17&amp;"."</calculatedColumnFormula>
    </tableColumn>
    <tableColumn id="11" name="Naziv pozicije" dataDxfId="86" dataCellStyle="Normal 3 2"/>
    <tableColumn id="2" name="Opis posla" dataDxfId="85"/>
    <tableColumn id="8" name="Jedinica mere" dataDxfId="84" dataCellStyle="Normal 3 2"/>
    <tableColumn id="3" name="Količina" dataDxfId="83"/>
    <tableColumn id="4" name="Cena po jedinici mere unos (€)" dataDxfId="82"/>
    <tableColumn id="5" name="Cena po jedinici mere" totalsRowFunction="sum" dataDxfId="81" dataCellStyle="Normal 3 2">
      <calculatedColumnFormula>IF(Valuta=0,tblRadovi24[Cena po jedinici mere unos (€)]*SrednjaVrednostDinara,tblRadovi24[Cena po jedinici mere unos (€)])</calculatedColumnFormula>
    </tableColumn>
    <tableColumn id="9" name="Iznos" dataDxfId="80" dataCellStyle="Normal 3 2">
      <calculatedColumnFormula>tblRadovi24[Količina]*tblRadovi24[Cena po jedinici mere]</calculatedColumnFormula>
    </tableColumn>
    <tableColumn id="6" name="b" dataDxfId="79" dataCellStyle="Hyperlink"/>
  </tableColumns>
  <tableStyleInfo name="Mehanizam2" showFirstColumn="0" showLastColumn="0" showRowStripes="1" showColumnStripes="0"/>
</table>
</file>

<file path=xl/tables/table25.xml><?xml version="1.0" encoding="utf-8"?>
<table xmlns="http://schemas.openxmlformats.org/spreadsheetml/2006/main" id="25" name="tblRadovi25" displayName="tblRadovi25" ref="C17:L18" insertRow="1" headerRowDxfId="78">
  <autoFilter ref="C17:L18"/>
  <tableColumns count="10">
    <tableColumn id="7" name="a" dataDxfId="77" dataCellStyle="Normal 3 2">
      <calculatedColumnFormula>IF(OR(tblRadovi25[Opis posla]=0,tblRadovi25[Jedinica mere]=0,tblRadovi25[Količina]=0,tblRadovi25[Cena po jedinici mere unos (€)]=0),"*","")</calculatedColumnFormula>
    </tableColumn>
    <tableColumn id="1" name="Redni broj" totalsRowLabel="Total" dataDxfId="76">
      <calculatedColumnFormula>ROW(A18)-17&amp;"."</calculatedColumnFormula>
    </tableColumn>
    <tableColumn id="11" name="Naziv pozicije" dataDxfId="75" dataCellStyle="Normal 3 2"/>
    <tableColumn id="2" name="Opis posla" dataDxfId="74"/>
    <tableColumn id="8" name="Jedinica mere" dataDxfId="73" dataCellStyle="Normal 3 2"/>
    <tableColumn id="3" name="Količina" dataDxfId="72"/>
    <tableColumn id="4" name="Cena po jedinici mere unos (€)" dataDxfId="71"/>
    <tableColumn id="5" name="Cena po jedinici mere" totalsRowFunction="sum" dataDxfId="70" dataCellStyle="Normal 3 2">
      <calculatedColumnFormula>IF(Valuta=0,tblRadovi25[Cena po jedinici mere unos (€)]*SrednjaVrednostDinara,tblRadovi25[Cena po jedinici mere unos (€)])</calculatedColumnFormula>
    </tableColumn>
    <tableColumn id="9" name="Iznos" dataDxfId="69" dataCellStyle="Normal 3 2">
      <calculatedColumnFormula>tblRadovi25[Količina]*tblRadovi25[Cena po jedinici mere]</calculatedColumnFormula>
    </tableColumn>
    <tableColumn id="6" name="b" dataDxfId="68" dataCellStyle="Hyperlink"/>
  </tableColumns>
  <tableStyleInfo name="Mehanizam2" showFirstColumn="0" showLastColumn="0" showRowStripes="1" showColumnStripes="0"/>
</table>
</file>

<file path=xl/tables/table26.xml><?xml version="1.0" encoding="utf-8"?>
<table xmlns="http://schemas.openxmlformats.org/spreadsheetml/2006/main" id="26" name="tblRadovi26" displayName="tblRadovi26" ref="C17:L18" insertRow="1" headerRowDxfId="67">
  <autoFilter ref="C17:L18"/>
  <tableColumns count="10">
    <tableColumn id="7" name="a" dataDxfId="66" dataCellStyle="Normal 3 2">
      <calculatedColumnFormula>IF(OR(tblRadovi26[Opis posla]=0,tblRadovi26[Jedinica mere]=0,tblRadovi26[Količina]=0,tblRadovi26[Cena po jedinici mere unos (€)]=0),"*","")</calculatedColumnFormula>
    </tableColumn>
    <tableColumn id="1" name="Redni broj" totalsRowLabel="Total" dataDxfId="65">
      <calculatedColumnFormula>ROW(A18)-17&amp;"."</calculatedColumnFormula>
    </tableColumn>
    <tableColumn id="11" name="Naziv pozicije" dataDxfId="64" dataCellStyle="Normal 3 2"/>
    <tableColumn id="2" name="Opis posla" dataDxfId="63"/>
    <tableColumn id="8" name="Jedinica mere" dataDxfId="62" dataCellStyle="Normal 3 2"/>
    <tableColumn id="3" name="Količina" dataDxfId="61"/>
    <tableColumn id="4" name="Cena po jedinici mere unos (€)" dataDxfId="60"/>
    <tableColumn id="5" name="Cena po jedinici mere" totalsRowFunction="sum" dataDxfId="59" dataCellStyle="Normal 3 2">
      <calculatedColumnFormula>IF(Valuta=0,tblRadovi26[Cena po jedinici mere unos (€)]*SrednjaVrednostDinara,tblRadovi26[Cena po jedinici mere unos (€)])</calculatedColumnFormula>
    </tableColumn>
    <tableColumn id="9" name="Iznos" dataDxfId="58" dataCellStyle="Normal 3 2">
      <calculatedColumnFormula>tblRadovi26[Količina]*tblRadovi26[Cena po jedinici mere]</calculatedColumnFormula>
    </tableColumn>
    <tableColumn id="6" name="b" dataDxfId="57" dataCellStyle="Hyperlink"/>
  </tableColumns>
  <tableStyleInfo name="Mehanizam2" showFirstColumn="0" showLastColumn="0" showRowStripes="1" showColumnStripes="0"/>
</table>
</file>

<file path=xl/tables/table27.xml><?xml version="1.0" encoding="utf-8"?>
<table xmlns="http://schemas.openxmlformats.org/spreadsheetml/2006/main" id="27" name="tblRadovi27" displayName="tblRadovi27" ref="C17:L18" insertRow="1" headerRowDxfId="56">
  <autoFilter ref="C17:L18"/>
  <tableColumns count="10">
    <tableColumn id="7" name="a" dataDxfId="55" dataCellStyle="Normal 3 2">
      <calculatedColumnFormula>IF(OR(tblRadovi27[Opis posla]=0,tblRadovi27[Jedinica mere]=0,tblRadovi27[Količina]=0,tblRadovi27[Cena po jedinici mere unos (€)]=0),"*","")</calculatedColumnFormula>
    </tableColumn>
    <tableColumn id="1" name="Redni broj" totalsRowLabel="Total" dataDxfId="54">
      <calculatedColumnFormula>ROW(A18)-17&amp;"."</calculatedColumnFormula>
    </tableColumn>
    <tableColumn id="11" name="Naziv pozicije" dataDxfId="53" dataCellStyle="Normal 3 2"/>
    <tableColumn id="2" name="Opis posla" dataDxfId="52"/>
    <tableColumn id="8" name="Jedinica mere" dataDxfId="51" dataCellStyle="Normal 3 2"/>
    <tableColumn id="3" name="Količina" dataDxfId="50"/>
    <tableColumn id="4" name="Cena po jedinici mere unos (€)" dataDxfId="49"/>
    <tableColumn id="5" name="Cena po jedinici mere" totalsRowFunction="sum" dataDxfId="48" dataCellStyle="Normal 3 2">
      <calculatedColumnFormula>IF(Valuta=0,tblRadovi27[Cena po jedinici mere unos (€)]*SrednjaVrednostDinara,tblRadovi27[Cena po jedinici mere unos (€)])</calculatedColumnFormula>
    </tableColumn>
    <tableColumn id="9" name="Iznos" dataDxfId="47" dataCellStyle="Normal 3 2">
      <calculatedColumnFormula>tblRadovi27[Količina]*tblRadovi27[Cena po jedinici mere]</calculatedColumnFormula>
    </tableColumn>
    <tableColumn id="6" name="b" dataDxfId="46" dataCellStyle="Hyperlink"/>
  </tableColumns>
  <tableStyleInfo name="Mehanizam2" showFirstColumn="0" showLastColumn="0" showRowStripes="1" showColumnStripes="0"/>
</table>
</file>

<file path=xl/tables/table28.xml><?xml version="1.0" encoding="utf-8"?>
<table xmlns="http://schemas.openxmlformats.org/spreadsheetml/2006/main" id="29" name="tblRadovi28" displayName="tblRadovi28" ref="C17:L18" insertRow="1" headerRowDxfId="45">
  <autoFilter ref="C17:L18"/>
  <tableColumns count="10">
    <tableColumn id="7" name="a" dataDxfId="44" dataCellStyle="Normal 3 2">
      <calculatedColumnFormula>IF(OR(tblRadovi28[Opis posla]=0,tblRadovi28[Jedinica mere]=0,tblRadovi28[Količina]=0,tblRadovi28[Cena po jedinici mere unos (€)]=0),"*","")</calculatedColumnFormula>
    </tableColumn>
    <tableColumn id="1" name="Redni broj" totalsRowLabel="Total" dataDxfId="43">
      <calculatedColumnFormula>ROW(A18)-17&amp;"."</calculatedColumnFormula>
    </tableColumn>
    <tableColumn id="11" name="Naziv pozicije" dataDxfId="42" dataCellStyle="Normal 3 2"/>
    <tableColumn id="2" name="Opis posla" dataDxfId="41"/>
    <tableColumn id="8" name="Jedinica mere" dataDxfId="40" dataCellStyle="Normal 3 2"/>
    <tableColumn id="3" name="Količina" dataDxfId="39"/>
    <tableColumn id="4" name="Cena po jedinici mere unos (€)" dataDxfId="38"/>
    <tableColumn id="5" name="Cena po jedinici mere" totalsRowFunction="sum" dataDxfId="37" dataCellStyle="Normal 3 2">
      <calculatedColumnFormula>IF(Valuta=0,tblRadovi28[Cena po jedinici mere unos (€)]*SrednjaVrednostDinara,tblRadovi28[Cena po jedinici mere unos (€)])</calculatedColumnFormula>
    </tableColumn>
    <tableColumn id="9" name="Iznos" dataDxfId="36" dataCellStyle="Normal 3 2">
      <calculatedColumnFormula>tblRadovi28[Količina]*tblRadovi28[Cena po jedinici mere]</calculatedColumnFormula>
    </tableColumn>
    <tableColumn id="6" name="b" dataDxfId="35" dataCellStyle="Hyperlink"/>
  </tableColumns>
  <tableStyleInfo name="Mehanizam2" showFirstColumn="0" showLastColumn="0" showRowStripes="1" showColumnStripes="0"/>
</table>
</file>

<file path=xl/tables/table29.xml><?xml version="1.0" encoding="utf-8"?>
<table xmlns="http://schemas.openxmlformats.org/spreadsheetml/2006/main" id="30" name="tblRadovi29" displayName="tblRadovi29" ref="C17:L18" insertRow="1" headerRowDxfId="34">
  <autoFilter ref="C17:L18"/>
  <tableColumns count="10">
    <tableColumn id="7" name="a" dataDxfId="33" dataCellStyle="Normal 3 2">
      <calculatedColumnFormula>IF(OR(tblRadovi29[Opis posla]=0,tblRadovi29[Jedinica mere]=0,tblRadovi29[Količina]=0,tblRadovi29[Cena po jedinici mere unos (€)]=0),"*","")</calculatedColumnFormula>
    </tableColumn>
    <tableColumn id="1" name="Redni broj" totalsRowLabel="Total" dataDxfId="32">
      <calculatedColumnFormula>ROW(A18)-17&amp;"."</calculatedColumnFormula>
    </tableColumn>
    <tableColumn id="11" name="Naziv pozicije" dataDxfId="31" dataCellStyle="Normal 3 2"/>
    <tableColumn id="2" name="Opis posla" dataDxfId="30"/>
    <tableColumn id="8" name="Jedinica mere" dataDxfId="29" dataCellStyle="Normal 3 2"/>
    <tableColumn id="3" name="Količina" dataDxfId="28"/>
    <tableColumn id="4" name="Cena po jedinici mere unos (€)" dataDxfId="27"/>
    <tableColumn id="5" name="Cena po jedinici mere" totalsRowFunction="sum" dataDxfId="26" dataCellStyle="Normal 3 2">
      <calculatedColumnFormula>IF(Valuta=0,tblRadovi29[Cena po jedinici mere unos (€)]*SrednjaVrednostDinara,tblRadovi29[Cena po jedinici mere unos (€)])</calculatedColumnFormula>
    </tableColumn>
    <tableColumn id="9" name="Iznos" dataDxfId="25" dataCellStyle="Normal 3 2">
      <calculatedColumnFormula>tblRadovi29[Količina]*tblRadovi29[Cena po jedinici mere]</calculatedColumnFormula>
    </tableColumn>
    <tableColumn id="6" name="b" dataDxfId="24" dataCellStyle="Hyperlink"/>
  </tableColumns>
  <tableStyleInfo name="Mehanizam2" showFirstColumn="0" showLastColumn="0" showRowStripes="1" showColumnStripes="0"/>
</table>
</file>

<file path=xl/tables/table30.xml><?xml version="1.0" encoding="utf-8"?>
<table xmlns="http://schemas.openxmlformats.org/spreadsheetml/2006/main" id="31" name="tblRadovi30" displayName="tblRadovi30" ref="C17:L18" insertRow="1" headerRowDxfId="23">
  <autoFilter ref="C17:L18"/>
  <tableColumns count="10">
    <tableColumn id="7" name="a" dataDxfId="22" dataCellStyle="Normal 3 2">
      <calculatedColumnFormula>IF(OR(tblRadovi30[Opis posla]=0,tblRadovi30[Jedinica mere]=0,tblRadovi30[Količina]=0,tblRadovi30[Cena po jedinici mere unos (€)]=0),"*","")</calculatedColumnFormula>
    </tableColumn>
    <tableColumn id="1" name="Redni broj" totalsRowLabel="Total" dataDxfId="21">
      <calculatedColumnFormula>ROW(A18)-17&amp;"."</calculatedColumnFormula>
    </tableColumn>
    <tableColumn id="11" name="Naziv pozicije" dataDxfId="20" dataCellStyle="Normal 3 2"/>
    <tableColumn id="2" name="Opis posla" dataDxfId="19"/>
    <tableColumn id="8" name="Jedinica mere" dataDxfId="18" dataCellStyle="Normal 3 2"/>
    <tableColumn id="3" name="Količina" dataDxfId="17"/>
    <tableColumn id="4" name="Cena po jedinici mere unos (€)" dataDxfId="16"/>
    <tableColumn id="5" name="Cena po jedinici mere" totalsRowFunction="sum" dataDxfId="15" dataCellStyle="Normal 3 2">
      <calculatedColumnFormula>IF(Valuta=0,tblRadovi30[Cena po jedinici mere unos (€)]*SrednjaVrednostDinara,tblRadovi30[Cena po jedinici mere unos (€)])</calculatedColumnFormula>
    </tableColumn>
    <tableColumn id="9" name="Iznos" dataDxfId="14" dataCellStyle="Normal 3 2">
      <calculatedColumnFormula>tblRadovi30[Količina]*tblRadovi30[Cena po jedinici mere]</calculatedColumnFormula>
    </tableColumn>
    <tableColumn id="6" name="b" dataDxfId="13" dataCellStyle="Hyperlink"/>
  </tableColumns>
  <tableStyleInfo name="Mehanizam2" showFirstColumn="0" showLastColumn="0" showRowStripes="1" showColumnStripes="0"/>
</table>
</file>

<file path=xl/tables/table31.xml><?xml version="1.0" encoding="utf-8"?>
<table xmlns="http://schemas.openxmlformats.org/spreadsheetml/2006/main" id="32" name="tblRadovi31" displayName="tblRadovi31" ref="C17:L18" insertRow="1" headerRowDxfId="12">
  <autoFilter ref="C17:L18"/>
  <tableColumns count="10">
    <tableColumn id="7" name="a" dataDxfId="11" dataCellStyle="Normal 3 2">
      <calculatedColumnFormula>IF(OR(tblRadovi31[Opis posla]=0,tblRadovi31[Jedinica mere]=0,tblRadovi31[Količina]=0,tblRadovi31[Cena po jedinici mere unos (€)]=0),"*","")</calculatedColumnFormula>
    </tableColumn>
    <tableColumn id="1" name="Redni broj" totalsRowLabel="Total" dataDxfId="10">
      <calculatedColumnFormula>ROW(A18)-17&amp;"."</calculatedColumnFormula>
    </tableColumn>
    <tableColumn id="11" name="Naziv pozicije" dataDxfId="9" dataCellStyle="Normal 3 2"/>
    <tableColumn id="2" name="Opis posla" dataDxfId="8"/>
    <tableColumn id="8" name="Jedinica mere" dataDxfId="7" dataCellStyle="Normal 3 2"/>
    <tableColumn id="3" name="Količina" dataDxfId="6"/>
    <tableColumn id="4" name="Cena po jedinici mere unos (€)" dataDxfId="5"/>
    <tableColumn id="5" name="Cena po jedinici mere" totalsRowFunction="sum" dataDxfId="4" dataCellStyle="Normal 3 2">
      <calculatedColumnFormula>IF(Valuta=0,tblRadovi31[Cena po jedinici mere unos (€)]*SrednjaVrednostDinara,tblRadovi31[Cena po jedinici mere unos (€)])</calculatedColumnFormula>
    </tableColumn>
    <tableColumn id="9" name="Iznos" dataDxfId="3" dataCellStyle="Normal 3 2">
      <calculatedColumnFormula>tblRadovi31[Količina]*tblRadovi31[Cena po jedinici mere]</calculatedColumnFormula>
    </tableColumn>
    <tableColumn id="6" name="b" dataDxfId="2" dataCellStyle="Hyperlink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table" Target="../tables/table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table" Target="../tables/table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table" Target="../tables/table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table" Target="../tables/table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table" Target="../tables/table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table" Target="../tables/table3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table" Target="../tables/table3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vmlDrawing" Target="../drawings/vmlDrawing3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 tint="0.249977111117893"/>
  </sheetPr>
  <dimension ref="A1:N166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RowHeight="15" x14ac:dyDescent="0.2"/>
  <cols>
    <col min="1" max="1" width="2.21875" style="58" customWidth="1"/>
    <col min="2" max="2" width="30.6640625" style="58" customWidth="1"/>
    <col min="3" max="5" width="2.21875" style="58" customWidth="1"/>
    <col min="6" max="6" width="69.77734375" style="58" customWidth="1"/>
    <col min="7" max="193" width="2.21875" style="58" customWidth="1"/>
    <col min="194" max="16384" width="8.88671875" style="58"/>
  </cols>
  <sheetData>
    <row r="1" spans="1:9" s="50" customFormat="1" ht="30" customHeight="1" thickBot="1" x14ac:dyDescent="0.25"/>
    <row r="2" spans="1:9" s="54" customFormat="1" x14ac:dyDescent="0.2">
      <c r="A2" s="51"/>
      <c r="B2" s="52"/>
      <c r="C2" s="53"/>
      <c r="F2" s="55"/>
      <c r="I2" s="56"/>
    </row>
    <row r="3" spans="1:9" x14ac:dyDescent="0.2">
      <c r="A3" s="51"/>
      <c r="B3" s="57" t="s">
        <v>54</v>
      </c>
      <c r="C3" s="53"/>
      <c r="F3" s="59" t="s">
        <v>54</v>
      </c>
      <c r="I3" s="60"/>
    </row>
    <row r="4" spans="1:9" x14ac:dyDescent="0.2">
      <c r="A4" s="51"/>
      <c r="B4" s="52"/>
      <c r="C4" s="53"/>
      <c r="F4" s="59"/>
      <c r="I4" s="60"/>
    </row>
    <row r="5" spans="1:9" ht="15.75" thickBot="1" x14ac:dyDescent="0.25">
      <c r="A5" s="61" t="str">
        <f>IF(Pilot=0,"","P")</f>
        <v>P</v>
      </c>
      <c r="B5" s="62" t="s">
        <v>55</v>
      </c>
      <c r="C5" s="53"/>
      <c r="E5" s="63" t="s">
        <v>55</v>
      </c>
      <c r="F5" s="64"/>
      <c r="I5" s="60"/>
    </row>
    <row r="6" spans="1:9" x14ac:dyDescent="0.2">
      <c r="A6" s="61" t="str">
        <f>IF(PutanjaBaze=0,"","P")</f>
        <v>P</v>
      </c>
      <c r="B6" s="62" t="s">
        <v>56</v>
      </c>
      <c r="C6" s="53"/>
      <c r="E6" s="65"/>
      <c r="F6" s="66"/>
      <c r="G6" s="67"/>
      <c r="I6" s="60"/>
    </row>
    <row r="7" spans="1:9" x14ac:dyDescent="0.2">
      <c r="A7" s="51"/>
      <c r="B7" s="52"/>
      <c r="C7" s="53"/>
      <c r="E7" s="68"/>
      <c r="F7" s="69" t="s">
        <v>57</v>
      </c>
      <c r="G7" s="70"/>
      <c r="I7" s="60"/>
    </row>
    <row r="8" spans="1:9" x14ac:dyDescent="0.2">
      <c r="A8" s="51"/>
      <c r="B8" s="57" t="s">
        <v>58</v>
      </c>
      <c r="C8" s="51"/>
      <c r="D8" s="71"/>
      <c r="E8" s="72" t="str">
        <f>IF(F8=0,"*","")</f>
        <v/>
      </c>
      <c r="F8" s="73" t="s">
        <v>87</v>
      </c>
      <c r="G8" s="74"/>
      <c r="I8" s="60"/>
    </row>
    <row r="9" spans="1:9" x14ac:dyDescent="0.2">
      <c r="A9" s="51"/>
      <c r="B9" s="51"/>
      <c r="C9" s="51"/>
      <c r="E9" s="68"/>
      <c r="F9" s="75" t="s">
        <v>86</v>
      </c>
      <c r="G9" s="70"/>
      <c r="I9" s="60"/>
    </row>
    <row r="10" spans="1:9" ht="15.75" thickBot="1" x14ac:dyDescent="0.25">
      <c r="A10" s="51"/>
      <c r="B10" s="62" t="s">
        <v>59</v>
      </c>
      <c r="C10" s="51"/>
      <c r="E10" s="76"/>
      <c r="F10" s="77"/>
      <c r="G10" s="78"/>
      <c r="I10" s="60"/>
    </row>
    <row r="11" spans="1:9" x14ac:dyDescent="0.2">
      <c r="A11" s="51"/>
      <c r="B11" s="62" t="s">
        <v>60</v>
      </c>
      <c r="C11" s="51"/>
      <c r="F11" s="59"/>
      <c r="I11" s="60"/>
    </row>
    <row r="12" spans="1:9" ht="15.75" thickBot="1" x14ac:dyDescent="0.25">
      <c r="A12" s="51"/>
      <c r="B12" s="57" t="s">
        <v>61</v>
      </c>
      <c r="C12" s="51"/>
      <c r="E12" s="63" t="s">
        <v>56</v>
      </c>
      <c r="F12" s="64"/>
      <c r="I12" s="60"/>
    </row>
    <row r="13" spans="1:9" x14ac:dyDescent="0.2">
      <c r="A13" s="51"/>
      <c r="B13" s="79" t="s">
        <v>62</v>
      </c>
      <c r="C13" s="51"/>
      <c r="E13" s="65"/>
      <c r="F13" s="66"/>
      <c r="G13" s="67"/>
      <c r="I13" s="60"/>
    </row>
    <row r="14" spans="1:9" x14ac:dyDescent="0.2">
      <c r="A14" s="51"/>
      <c r="B14" s="57" t="s">
        <v>63</v>
      </c>
      <c r="C14" s="51"/>
      <c r="E14" s="68"/>
      <c r="F14" s="69" t="s">
        <v>64</v>
      </c>
      <c r="G14" s="70"/>
      <c r="I14" s="60"/>
    </row>
    <row r="15" spans="1:9" x14ac:dyDescent="0.2">
      <c r="A15" s="51"/>
      <c r="B15" s="79" t="s">
        <v>65</v>
      </c>
      <c r="C15" s="51"/>
      <c r="D15" s="71"/>
      <c r="E15" s="72" t="str">
        <f>IF(F15=0,"*","")</f>
        <v/>
      </c>
      <c r="F15" s="128" t="s">
        <v>126</v>
      </c>
      <c r="G15" s="74"/>
      <c r="I15" s="60"/>
    </row>
    <row r="16" spans="1:9" x14ac:dyDescent="0.2">
      <c r="A16" s="51"/>
      <c r="B16" s="57" t="s">
        <v>66</v>
      </c>
      <c r="C16" s="51"/>
      <c r="E16" s="68"/>
      <c r="F16" s="75" t="s">
        <v>67</v>
      </c>
      <c r="G16" s="70"/>
      <c r="I16" s="60"/>
    </row>
    <row r="17" spans="1:14" ht="15.75" thickBot="1" x14ac:dyDescent="0.25">
      <c r="A17" s="51"/>
      <c r="B17" s="51"/>
      <c r="C17" s="80"/>
      <c r="E17" s="76"/>
      <c r="F17" s="77"/>
      <c r="G17" s="78"/>
      <c r="I17" s="60"/>
    </row>
    <row r="18" spans="1:14" x14ac:dyDescent="0.2">
      <c r="A18" s="51"/>
      <c r="B18" s="57" t="s">
        <v>68</v>
      </c>
      <c r="C18" s="80"/>
      <c r="F18" s="64"/>
      <c r="I18" s="60"/>
    </row>
    <row r="19" spans="1:14" x14ac:dyDescent="0.2">
      <c r="A19" s="51"/>
      <c r="B19" s="51"/>
      <c r="C19" s="80"/>
      <c r="E19" s="54"/>
      <c r="F19" s="59" t="s">
        <v>68</v>
      </c>
      <c r="G19" s="54"/>
      <c r="I19" s="60"/>
    </row>
    <row r="20" spans="1:14" x14ac:dyDescent="0.2">
      <c r="A20" s="61" t="str">
        <f>IF(OR(Datum=0,EvidencioniBroj=0,Mesto=0),"","P")</f>
        <v/>
      </c>
      <c r="B20" s="62" t="s">
        <v>69</v>
      </c>
      <c r="C20" s="80"/>
      <c r="E20" s="54"/>
      <c r="F20" s="55"/>
      <c r="G20" s="54"/>
      <c r="I20" s="60"/>
    </row>
    <row r="21" spans="1:14" ht="15.75" thickBot="1" x14ac:dyDescent="0.25">
      <c r="A21" s="81" t="str">
        <f>IF(Investitor=0,"","P")</f>
        <v/>
      </c>
      <c r="B21" s="62" t="s">
        <v>45</v>
      </c>
      <c r="C21" s="51"/>
      <c r="E21" s="63" t="s">
        <v>69</v>
      </c>
      <c r="F21" s="64"/>
      <c r="I21" s="60"/>
    </row>
    <row r="22" spans="1:14" x14ac:dyDescent="0.2">
      <c r="A22" s="81" t="str">
        <f>IF(Objekat=0,"","P")</f>
        <v/>
      </c>
      <c r="B22" s="62" t="s">
        <v>46</v>
      </c>
      <c r="C22" s="51"/>
      <c r="E22" s="65"/>
      <c r="F22" s="66"/>
      <c r="G22" s="67"/>
      <c r="I22" s="60"/>
      <c r="N22" s="54"/>
    </row>
    <row r="23" spans="1:14" x14ac:dyDescent="0.2">
      <c r="A23" s="81" t="str">
        <f>IF(OR(ProjektnaOrganizacija=0,OdgovornoLice=0),"","P")</f>
        <v/>
      </c>
      <c r="B23" s="62" t="s">
        <v>70</v>
      </c>
      <c r="C23" s="51"/>
      <c r="E23" s="68"/>
      <c r="F23" s="69" t="s">
        <v>71</v>
      </c>
      <c r="G23" s="70"/>
      <c r="I23" s="60"/>
    </row>
    <row r="24" spans="1:14" x14ac:dyDescent="0.2">
      <c r="A24" s="81" t="str">
        <f>IF(OdgovorniProjektant=0,"","P")</f>
        <v/>
      </c>
      <c r="B24" s="62" t="s">
        <v>10</v>
      </c>
      <c r="C24" s="51"/>
      <c r="D24" s="71"/>
      <c r="E24" s="72" t="str">
        <f>IF(F24=0,"*","")</f>
        <v>*</v>
      </c>
      <c r="F24" s="129"/>
      <c r="G24" s="74"/>
      <c r="I24" s="60"/>
    </row>
    <row r="25" spans="1:14" x14ac:dyDescent="0.2">
      <c r="A25" s="81"/>
      <c r="B25" s="93" t="s">
        <v>88</v>
      </c>
      <c r="C25" s="51"/>
      <c r="E25" s="68"/>
      <c r="F25" s="82" t="s">
        <v>72</v>
      </c>
      <c r="G25" s="70"/>
      <c r="I25" s="60"/>
    </row>
    <row r="26" spans="1:14" x14ac:dyDescent="0.2">
      <c r="A26" s="51"/>
      <c r="B26" s="91" t="s">
        <v>12</v>
      </c>
      <c r="C26" s="95">
        <v>0</v>
      </c>
      <c r="E26" s="68"/>
      <c r="F26" s="55"/>
      <c r="G26" s="70"/>
      <c r="I26" s="60"/>
    </row>
    <row r="27" spans="1:14" x14ac:dyDescent="0.2">
      <c r="A27" s="51"/>
      <c r="B27" s="91" t="s">
        <v>15</v>
      </c>
      <c r="C27" s="95">
        <v>0</v>
      </c>
      <c r="E27" s="68"/>
      <c r="F27" s="69" t="s">
        <v>73</v>
      </c>
      <c r="G27" s="70"/>
      <c r="I27" s="60"/>
    </row>
    <row r="28" spans="1:14" x14ac:dyDescent="0.2">
      <c r="A28" s="51"/>
      <c r="B28" s="91" t="s">
        <v>16</v>
      </c>
      <c r="C28" s="95">
        <v>0</v>
      </c>
      <c r="D28" s="71"/>
      <c r="E28" s="72" t="str">
        <f>IF(F28=0,"*","")</f>
        <v>*</v>
      </c>
      <c r="F28" s="128"/>
      <c r="G28" s="74"/>
      <c r="I28" s="60"/>
    </row>
    <row r="29" spans="1:14" x14ac:dyDescent="0.2">
      <c r="A29" s="51"/>
      <c r="B29" s="91" t="s">
        <v>17</v>
      </c>
      <c r="C29" s="95">
        <v>0</v>
      </c>
      <c r="D29" s="71"/>
      <c r="E29" s="54"/>
      <c r="F29" s="82" t="s">
        <v>74</v>
      </c>
      <c r="G29" s="70"/>
      <c r="I29" s="60"/>
    </row>
    <row r="30" spans="1:14" x14ac:dyDescent="0.2">
      <c r="A30" s="51"/>
      <c r="B30" s="91" t="s">
        <v>18</v>
      </c>
      <c r="C30" s="95">
        <v>0</v>
      </c>
      <c r="D30" s="71"/>
      <c r="E30" s="54"/>
      <c r="F30" s="55"/>
      <c r="G30" s="70"/>
      <c r="I30" s="60"/>
    </row>
    <row r="31" spans="1:14" x14ac:dyDescent="0.2">
      <c r="A31" s="51"/>
      <c r="B31" s="91" t="s">
        <v>19</v>
      </c>
      <c r="C31" s="95">
        <v>0</v>
      </c>
      <c r="D31" s="71"/>
      <c r="E31" s="54"/>
      <c r="F31" s="69" t="s">
        <v>75</v>
      </c>
      <c r="G31" s="70"/>
      <c r="I31" s="60"/>
    </row>
    <row r="32" spans="1:14" x14ac:dyDescent="0.2">
      <c r="A32" s="51"/>
      <c r="B32" s="92" t="s">
        <v>20</v>
      </c>
      <c r="C32" s="95">
        <v>0</v>
      </c>
      <c r="D32" s="71"/>
      <c r="E32" s="72" t="str">
        <f>IF(F32=0,"*","")</f>
        <v>*</v>
      </c>
      <c r="F32" s="128"/>
      <c r="G32" s="74"/>
      <c r="I32" s="60"/>
    </row>
    <row r="33" spans="1:9" x14ac:dyDescent="0.2">
      <c r="A33" s="51"/>
      <c r="B33" s="92" t="s">
        <v>21</v>
      </c>
      <c r="C33" s="95">
        <v>0</v>
      </c>
      <c r="E33" s="68"/>
      <c r="F33" s="82" t="s">
        <v>76</v>
      </c>
      <c r="G33" s="70"/>
      <c r="I33" s="60"/>
    </row>
    <row r="34" spans="1:9" ht="15.75" thickBot="1" x14ac:dyDescent="0.25">
      <c r="A34" s="51"/>
      <c r="B34" s="92" t="s">
        <v>22</v>
      </c>
      <c r="C34" s="95">
        <v>0</v>
      </c>
      <c r="E34" s="84"/>
      <c r="F34" s="85"/>
      <c r="G34" s="86"/>
      <c r="I34" s="60"/>
    </row>
    <row r="35" spans="1:9" x14ac:dyDescent="0.2">
      <c r="A35" s="51"/>
      <c r="B35" s="92" t="s">
        <v>23</v>
      </c>
      <c r="C35" s="95">
        <v>0</v>
      </c>
      <c r="F35" s="64"/>
      <c r="I35" s="60"/>
    </row>
    <row r="36" spans="1:9" ht="15.75" thickBot="1" x14ac:dyDescent="0.25">
      <c r="A36" s="51"/>
      <c r="B36" s="92" t="s">
        <v>24</v>
      </c>
      <c r="C36" s="95">
        <v>0</v>
      </c>
      <c r="E36" s="63" t="s">
        <v>45</v>
      </c>
      <c r="F36" s="64"/>
      <c r="I36" s="60"/>
    </row>
    <row r="37" spans="1:9" x14ac:dyDescent="0.2">
      <c r="A37" s="51"/>
      <c r="B37" s="92" t="s">
        <v>25</v>
      </c>
      <c r="C37" s="95">
        <v>0</v>
      </c>
      <c r="E37" s="65"/>
      <c r="F37" s="66"/>
      <c r="G37" s="67"/>
      <c r="I37" s="60"/>
    </row>
    <row r="38" spans="1:9" x14ac:dyDescent="0.2">
      <c r="A38" s="51"/>
      <c r="B38" s="92" t="s">
        <v>26</v>
      </c>
      <c r="C38" s="95">
        <v>0</v>
      </c>
      <c r="E38" s="68"/>
      <c r="F38" s="69" t="s">
        <v>45</v>
      </c>
      <c r="G38" s="70"/>
      <c r="I38" s="60"/>
    </row>
    <row r="39" spans="1:9" x14ac:dyDescent="0.2">
      <c r="A39" s="51"/>
      <c r="B39" s="92" t="s">
        <v>27</v>
      </c>
      <c r="C39" s="95">
        <v>0</v>
      </c>
      <c r="D39" s="70"/>
      <c r="E39" s="72" t="str">
        <f>IF(F39=0,"*","")</f>
        <v>*</v>
      </c>
      <c r="F39" s="130"/>
      <c r="G39" s="74"/>
      <c r="I39" s="60"/>
    </row>
    <row r="40" spans="1:9" x14ac:dyDescent="0.2">
      <c r="A40" s="80"/>
      <c r="B40" s="92" t="s">
        <v>28</v>
      </c>
      <c r="C40" s="95">
        <v>0</v>
      </c>
      <c r="E40" s="68"/>
      <c r="F40" s="82" t="s">
        <v>77</v>
      </c>
      <c r="G40" s="70"/>
      <c r="I40" s="60"/>
    </row>
    <row r="41" spans="1:9" ht="15.75" thickBot="1" x14ac:dyDescent="0.25">
      <c r="A41" s="80"/>
      <c r="B41" s="92" t="s">
        <v>29</v>
      </c>
      <c r="C41" s="95">
        <v>0</v>
      </c>
      <c r="D41" s="71"/>
      <c r="E41" s="87"/>
      <c r="F41" s="77"/>
      <c r="G41" s="88"/>
      <c r="I41" s="60"/>
    </row>
    <row r="42" spans="1:9" x14ac:dyDescent="0.2">
      <c r="A42" s="80"/>
      <c r="B42" s="92" t="s">
        <v>30</v>
      </c>
      <c r="C42" s="95">
        <v>0</v>
      </c>
      <c r="F42" s="64"/>
      <c r="I42" s="60"/>
    </row>
    <row r="43" spans="1:9" ht="15.75" thickBot="1" x14ac:dyDescent="0.25">
      <c r="A43" s="80"/>
      <c r="B43" s="92" t="s">
        <v>31</v>
      </c>
      <c r="C43" s="95">
        <v>0</v>
      </c>
      <c r="E43" s="63" t="s">
        <v>46</v>
      </c>
      <c r="F43" s="64"/>
      <c r="I43" s="60"/>
    </row>
    <row r="44" spans="1:9" x14ac:dyDescent="0.2">
      <c r="A44" s="80"/>
      <c r="B44" s="92" t="s">
        <v>32</v>
      </c>
      <c r="C44" s="95">
        <v>0</v>
      </c>
      <c r="E44" s="65"/>
      <c r="F44" s="66"/>
      <c r="G44" s="67"/>
      <c r="I44" s="60"/>
    </row>
    <row r="45" spans="1:9" x14ac:dyDescent="0.2">
      <c r="A45" s="80"/>
      <c r="B45" s="92" t="s">
        <v>33</v>
      </c>
      <c r="C45" s="95">
        <v>0</v>
      </c>
      <c r="D45" s="70"/>
      <c r="E45" s="54"/>
      <c r="F45" s="69" t="s">
        <v>46</v>
      </c>
      <c r="G45" s="70"/>
      <c r="I45" s="60"/>
    </row>
    <row r="46" spans="1:9" x14ac:dyDescent="0.2">
      <c r="A46" s="80"/>
      <c r="B46" s="92" t="s">
        <v>34</v>
      </c>
      <c r="C46" s="95">
        <v>0</v>
      </c>
      <c r="D46" s="70"/>
      <c r="E46" s="72" t="str">
        <f>IF(F46=0,"*","")</f>
        <v>*</v>
      </c>
      <c r="F46" s="131"/>
      <c r="G46" s="74"/>
      <c r="I46" s="60"/>
    </row>
    <row r="47" spans="1:9" x14ac:dyDescent="0.2">
      <c r="A47" s="80"/>
      <c r="B47" s="92" t="s">
        <v>35</v>
      </c>
      <c r="C47" s="95">
        <v>0</v>
      </c>
      <c r="D47" s="70"/>
      <c r="E47" s="54"/>
      <c r="F47" s="82" t="s">
        <v>78</v>
      </c>
      <c r="G47" s="70"/>
      <c r="I47" s="60"/>
    </row>
    <row r="48" spans="1:9" ht="15.75" thickBot="1" x14ac:dyDescent="0.25">
      <c r="A48" s="80"/>
      <c r="B48" s="92" t="s">
        <v>36</v>
      </c>
      <c r="C48" s="95">
        <v>0</v>
      </c>
      <c r="D48" s="54"/>
      <c r="E48" s="84"/>
      <c r="F48" s="85"/>
      <c r="G48" s="86"/>
      <c r="I48" s="60"/>
    </row>
    <row r="49" spans="1:9" x14ac:dyDescent="0.2">
      <c r="A49" s="80"/>
      <c r="B49" s="92" t="s">
        <v>37</v>
      </c>
      <c r="C49" s="95">
        <v>0</v>
      </c>
      <c r="F49" s="64"/>
      <c r="I49" s="60"/>
    </row>
    <row r="50" spans="1:9" ht="15.75" thickBot="1" x14ac:dyDescent="0.25">
      <c r="A50" s="80"/>
      <c r="B50" s="92" t="s">
        <v>38</v>
      </c>
      <c r="C50" s="95">
        <v>0</v>
      </c>
      <c r="E50" s="63" t="s">
        <v>79</v>
      </c>
      <c r="F50" s="64"/>
      <c r="I50" s="60"/>
    </row>
    <row r="51" spans="1:9" x14ac:dyDescent="0.2">
      <c r="A51" s="80"/>
      <c r="B51" s="92" t="s">
        <v>39</v>
      </c>
      <c r="C51" s="95">
        <v>0</v>
      </c>
      <c r="E51" s="65"/>
      <c r="F51" s="66"/>
      <c r="G51" s="67"/>
      <c r="I51" s="60"/>
    </row>
    <row r="52" spans="1:9" x14ac:dyDescent="0.2">
      <c r="A52" s="80"/>
      <c r="B52" s="92" t="s">
        <v>40</v>
      </c>
      <c r="C52" s="95">
        <v>0</v>
      </c>
      <c r="D52" s="70"/>
      <c r="E52" s="54"/>
      <c r="F52" s="69" t="s">
        <v>70</v>
      </c>
      <c r="G52" s="70"/>
      <c r="I52" s="60"/>
    </row>
    <row r="53" spans="1:9" x14ac:dyDescent="0.2">
      <c r="A53" s="80"/>
      <c r="B53" s="92" t="s">
        <v>41</v>
      </c>
      <c r="C53" s="95">
        <v>0</v>
      </c>
      <c r="D53" s="70"/>
      <c r="E53" s="72" t="str">
        <f>IF(F53=0,"*","")</f>
        <v>*</v>
      </c>
      <c r="F53" s="131"/>
      <c r="G53" s="74"/>
      <c r="I53" s="60"/>
    </row>
    <row r="54" spans="1:9" x14ac:dyDescent="0.2">
      <c r="A54" s="80"/>
      <c r="B54" s="92" t="s">
        <v>42</v>
      </c>
      <c r="C54" s="95">
        <v>0</v>
      </c>
      <c r="D54" s="70"/>
      <c r="E54" s="54"/>
      <c r="F54" s="82" t="s">
        <v>80</v>
      </c>
      <c r="G54" s="70"/>
      <c r="I54" s="60"/>
    </row>
    <row r="55" spans="1:9" x14ac:dyDescent="0.2">
      <c r="A55" s="80"/>
      <c r="B55" s="92" t="s">
        <v>43</v>
      </c>
      <c r="C55" s="95">
        <v>0</v>
      </c>
      <c r="D55" s="70"/>
      <c r="E55" s="54"/>
      <c r="F55" s="55"/>
      <c r="G55" s="70"/>
      <c r="I55" s="60"/>
    </row>
    <row r="56" spans="1:9" x14ac:dyDescent="0.2">
      <c r="A56" s="80"/>
      <c r="B56" s="92" t="s">
        <v>44</v>
      </c>
      <c r="C56" s="95">
        <v>0</v>
      </c>
      <c r="D56" s="70"/>
      <c r="E56" s="54"/>
      <c r="F56" s="69" t="s">
        <v>81</v>
      </c>
      <c r="G56" s="70"/>
      <c r="I56" s="60"/>
    </row>
    <row r="57" spans="1:9" x14ac:dyDescent="0.2">
      <c r="A57" s="81" t="str">
        <f>IF(OR(F71=0,SrednjaVrednostDinara=0),"","P")</f>
        <v>P</v>
      </c>
      <c r="B57" s="62" t="s">
        <v>89</v>
      </c>
      <c r="C57" s="83"/>
      <c r="D57" s="70"/>
      <c r="E57" s="72" t="str">
        <f>IF(F57=0,"*","")</f>
        <v>*</v>
      </c>
      <c r="F57" s="131"/>
      <c r="G57" s="74"/>
      <c r="I57" s="60"/>
    </row>
    <row r="58" spans="1:9" x14ac:dyDescent="0.2">
      <c r="A58" s="80"/>
      <c r="B58" s="80"/>
      <c r="C58" s="83"/>
      <c r="D58" s="70"/>
      <c r="E58" s="54"/>
      <c r="F58" s="82" t="s">
        <v>82</v>
      </c>
      <c r="G58" s="70"/>
      <c r="I58" s="60"/>
    </row>
    <row r="59" spans="1:9" ht="15.75" thickBot="1" x14ac:dyDescent="0.25">
      <c r="A59" s="80"/>
      <c r="B59" s="57" t="s">
        <v>94</v>
      </c>
      <c r="C59" s="83"/>
      <c r="D59" s="70"/>
      <c r="E59" s="89"/>
      <c r="F59" s="85"/>
      <c r="G59" s="86"/>
      <c r="I59" s="60"/>
    </row>
    <row r="60" spans="1:9" x14ac:dyDescent="0.2">
      <c r="A60" s="80"/>
      <c r="B60" s="51"/>
      <c r="C60" s="83"/>
      <c r="E60" s="54"/>
      <c r="F60" s="55"/>
      <c r="G60" s="54"/>
      <c r="I60" s="60"/>
    </row>
    <row r="61" spans="1:9" ht="15.75" thickBot="1" x14ac:dyDescent="0.25">
      <c r="A61" s="80"/>
      <c r="B61" s="62" t="s">
        <v>70</v>
      </c>
      <c r="C61" s="83"/>
      <c r="E61" s="63" t="s">
        <v>83</v>
      </c>
      <c r="F61" s="64"/>
      <c r="I61" s="60"/>
    </row>
    <row r="62" spans="1:9" x14ac:dyDescent="0.2">
      <c r="A62" s="80"/>
      <c r="B62" s="62" t="s">
        <v>10</v>
      </c>
      <c r="C62" s="83"/>
      <c r="D62" s="70"/>
      <c r="E62" s="90"/>
      <c r="F62" s="66"/>
      <c r="G62" s="67"/>
      <c r="I62" s="60"/>
    </row>
    <row r="63" spans="1:9" x14ac:dyDescent="0.2">
      <c r="A63" s="80"/>
      <c r="B63" s="80"/>
      <c r="C63" s="83"/>
      <c r="D63" s="70"/>
      <c r="E63" s="54"/>
      <c r="F63" s="69" t="s">
        <v>84</v>
      </c>
      <c r="G63" s="70"/>
      <c r="I63" s="60"/>
    </row>
    <row r="64" spans="1:9" x14ac:dyDescent="0.2">
      <c r="A64" s="80"/>
      <c r="B64" s="80"/>
      <c r="C64" s="83"/>
      <c r="D64" s="70"/>
      <c r="E64" s="72" t="str">
        <f>IF(F64=0,"*","")</f>
        <v>*</v>
      </c>
      <c r="F64" s="131"/>
      <c r="G64" s="74"/>
      <c r="I64" s="60"/>
    </row>
    <row r="65" spans="1:9" x14ac:dyDescent="0.2">
      <c r="A65" s="80"/>
      <c r="B65" s="80"/>
      <c r="C65" s="83"/>
      <c r="D65" s="70"/>
      <c r="E65" s="54"/>
      <c r="F65" s="82" t="s">
        <v>85</v>
      </c>
      <c r="G65" s="70"/>
      <c r="I65" s="60"/>
    </row>
    <row r="66" spans="1:9" ht="15.75" thickBot="1" x14ac:dyDescent="0.25">
      <c r="A66" s="80"/>
      <c r="B66" s="80"/>
      <c r="C66" s="83"/>
      <c r="D66" s="70"/>
      <c r="E66" s="89"/>
      <c r="F66" s="85"/>
      <c r="G66" s="86"/>
      <c r="I66" s="60"/>
    </row>
    <row r="67" spans="1:9" x14ac:dyDescent="0.2">
      <c r="A67" s="80"/>
      <c r="B67" s="80"/>
      <c r="C67" s="80"/>
      <c r="F67" s="64"/>
      <c r="I67" s="60"/>
    </row>
    <row r="68" spans="1:9" ht="15.75" thickBot="1" x14ac:dyDescent="0.25">
      <c r="A68" s="80"/>
      <c r="B68" s="80"/>
      <c r="C68" s="83"/>
      <c r="E68" s="63" t="s">
        <v>89</v>
      </c>
      <c r="F68" s="64"/>
      <c r="I68" s="60"/>
    </row>
    <row r="69" spans="1:9" x14ac:dyDescent="0.2">
      <c r="A69" s="80"/>
      <c r="B69" s="80"/>
      <c r="C69" s="83"/>
      <c r="D69" s="70"/>
      <c r="E69" s="90"/>
      <c r="F69" s="66"/>
      <c r="G69" s="67"/>
      <c r="I69" s="60"/>
    </row>
    <row r="70" spans="1:9" x14ac:dyDescent="0.2">
      <c r="A70" s="80"/>
      <c r="B70" s="80"/>
      <c r="C70" s="83"/>
      <c r="D70" s="70"/>
      <c r="E70" s="54"/>
      <c r="F70" s="69" t="s">
        <v>11</v>
      </c>
      <c r="G70" s="70"/>
      <c r="I70" s="60"/>
    </row>
    <row r="71" spans="1:9" x14ac:dyDescent="0.2">
      <c r="A71" s="80"/>
      <c r="B71" s="80"/>
      <c r="C71" s="83"/>
      <c r="D71" s="70"/>
      <c r="E71" s="72" t="str">
        <f>IF(F71=0,"*","")</f>
        <v/>
      </c>
      <c r="F71" s="94" t="str">
        <f>IF(Valuta=0,"RSD","€")</f>
        <v>RSD</v>
      </c>
      <c r="G71" s="133">
        <v>0</v>
      </c>
      <c r="I71" s="60"/>
    </row>
    <row r="72" spans="1:9" x14ac:dyDescent="0.2">
      <c r="A72" s="80"/>
      <c r="B72" s="80"/>
      <c r="C72" s="83"/>
      <c r="D72" s="70"/>
      <c r="E72" s="68"/>
      <c r="F72" s="82" t="s">
        <v>127</v>
      </c>
      <c r="G72" s="70"/>
      <c r="I72" s="60"/>
    </row>
    <row r="73" spans="1:9" x14ac:dyDescent="0.2">
      <c r="A73" s="80"/>
      <c r="B73" s="80"/>
      <c r="C73" s="83"/>
      <c r="D73" s="70"/>
      <c r="E73" s="54"/>
      <c r="F73" s="55"/>
      <c r="G73" s="70"/>
      <c r="I73" s="60"/>
    </row>
    <row r="74" spans="1:9" x14ac:dyDescent="0.2">
      <c r="A74" s="80"/>
      <c r="B74" s="80"/>
      <c r="C74" s="83"/>
      <c r="D74" s="70"/>
      <c r="E74" s="54"/>
      <c r="F74" s="69" t="s">
        <v>129</v>
      </c>
      <c r="G74" s="70"/>
      <c r="I74" s="60"/>
    </row>
    <row r="75" spans="1:9" x14ac:dyDescent="0.2">
      <c r="A75" s="80"/>
      <c r="B75" s="80"/>
      <c r="C75" s="83"/>
      <c r="D75" s="70"/>
      <c r="E75" s="72" t="str">
        <f>IF(F75=0,"*","")</f>
        <v/>
      </c>
      <c r="F75" s="153">
        <v>120</v>
      </c>
      <c r="G75" s="74"/>
      <c r="I75" s="60"/>
    </row>
    <row r="76" spans="1:9" x14ac:dyDescent="0.2">
      <c r="A76" s="80"/>
      <c r="B76" s="80"/>
      <c r="C76" s="83"/>
      <c r="D76" s="70"/>
      <c r="E76" s="54"/>
      <c r="F76" s="82" t="s">
        <v>128</v>
      </c>
      <c r="G76" s="70"/>
      <c r="I76" s="60"/>
    </row>
    <row r="77" spans="1:9" ht="15.75" thickBot="1" x14ac:dyDescent="0.25">
      <c r="A77" s="80"/>
      <c r="B77" s="80"/>
      <c r="C77" s="83"/>
      <c r="D77" s="70"/>
      <c r="E77" s="89"/>
      <c r="F77" s="85"/>
      <c r="G77" s="86"/>
      <c r="I77" s="60"/>
    </row>
    <row r="78" spans="1:9" x14ac:dyDescent="0.2">
      <c r="A78" s="80"/>
      <c r="B78" s="80"/>
      <c r="C78" s="80"/>
      <c r="F78" s="64"/>
      <c r="I78" s="60"/>
    </row>
    <row r="79" spans="1:9" s="110" customFormat="1" x14ac:dyDescent="0.2">
      <c r="A79" s="80"/>
      <c r="B79" s="80"/>
      <c r="C79" s="51"/>
      <c r="D79" s="58"/>
      <c r="E79" s="58"/>
      <c r="F79" s="108" t="s">
        <v>94</v>
      </c>
      <c r="G79" s="58"/>
      <c r="H79" s="58"/>
      <c r="I79" s="109"/>
    </row>
    <row r="80" spans="1:9" s="110" customFormat="1" ht="15" customHeight="1" x14ac:dyDescent="0.2">
      <c r="A80" s="80"/>
      <c r="B80" s="80"/>
      <c r="C80" s="51"/>
      <c r="D80" s="54"/>
      <c r="E80" s="54"/>
      <c r="F80" s="111"/>
      <c r="G80" s="54"/>
      <c r="H80" s="58"/>
      <c r="I80" s="109"/>
    </row>
    <row r="81" spans="1:9" s="110" customFormat="1" ht="15.75" thickBot="1" x14ac:dyDescent="0.25">
      <c r="A81" s="80"/>
      <c r="B81" s="80"/>
      <c r="C81" s="51"/>
      <c r="D81" s="58"/>
      <c r="E81" s="112" t="s">
        <v>70</v>
      </c>
      <c r="F81" s="113"/>
      <c r="G81" s="114"/>
      <c r="H81" s="58"/>
      <c r="I81" s="109"/>
    </row>
    <row r="82" spans="1:9" s="110" customFormat="1" x14ac:dyDescent="0.2">
      <c r="A82" s="80"/>
      <c r="B82" s="80"/>
      <c r="C82" s="51"/>
      <c r="E82" s="115"/>
      <c r="F82" s="116"/>
      <c r="G82" s="117"/>
      <c r="I82" s="109"/>
    </row>
    <row r="83" spans="1:9" s="110" customFormat="1" ht="120" customHeight="1" x14ac:dyDescent="0.2">
      <c r="A83" s="80"/>
      <c r="B83" s="80"/>
      <c r="C83" s="51"/>
      <c r="E83" s="118"/>
      <c r="F83" s="132"/>
      <c r="G83" s="119"/>
      <c r="I83" s="109"/>
    </row>
    <row r="84" spans="1:9" s="110" customFormat="1" ht="15.75" thickBot="1" x14ac:dyDescent="0.25">
      <c r="A84" s="80"/>
      <c r="B84" s="80"/>
      <c r="C84" s="51"/>
      <c r="D84" s="58"/>
      <c r="E84" s="120"/>
      <c r="F84" s="121"/>
      <c r="G84" s="122"/>
      <c r="H84" s="58"/>
      <c r="I84" s="109"/>
    </row>
    <row r="85" spans="1:9" s="110" customFormat="1" x14ac:dyDescent="0.2">
      <c r="A85" s="80"/>
      <c r="B85" s="80"/>
      <c r="C85" s="51"/>
      <c r="D85" s="54"/>
      <c r="E85" s="113"/>
      <c r="F85" s="113"/>
      <c r="G85" s="114"/>
      <c r="H85" s="58"/>
      <c r="I85" s="109"/>
    </row>
    <row r="86" spans="1:9" s="110" customFormat="1" ht="15.75" thickBot="1" x14ac:dyDescent="0.25">
      <c r="A86" s="80"/>
      <c r="B86" s="80"/>
      <c r="C86" s="51"/>
      <c r="D86" s="58"/>
      <c r="E86" s="112" t="s">
        <v>10</v>
      </c>
      <c r="F86" s="113"/>
      <c r="G86" s="114"/>
      <c r="H86" s="58"/>
      <c r="I86" s="109"/>
    </row>
    <row r="87" spans="1:9" s="110" customFormat="1" x14ac:dyDescent="0.2">
      <c r="A87" s="80"/>
      <c r="B87" s="80"/>
      <c r="C87" s="51"/>
      <c r="E87" s="115"/>
      <c r="F87" s="116"/>
      <c r="G87" s="117"/>
      <c r="I87" s="109"/>
    </row>
    <row r="88" spans="1:9" s="110" customFormat="1" ht="120" customHeight="1" x14ac:dyDescent="0.2">
      <c r="A88" s="80"/>
      <c r="B88" s="80"/>
      <c r="C88" s="51"/>
      <c r="E88" s="118"/>
      <c r="F88" s="132"/>
      <c r="G88" s="119"/>
      <c r="I88" s="109"/>
    </row>
    <row r="89" spans="1:9" s="110" customFormat="1" ht="15.75" thickBot="1" x14ac:dyDescent="0.25">
      <c r="A89" s="80"/>
      <c r="B89" s="80"/>
      <c r="C89" s="51"/>
      <c r="D89" s="58"/>
      <c r="E89" s="120"/>
      <c r="F89" s="121"/>
      <c r="G89" s="122"/>
      <c r="H89" s="58"/>
      <c r="I89" s="109"/>
    </row>
    <row r="90" spans="1:9" s="110" customFormat="1" x14ac:dyDescent="0.2">
      <c r="A90" s="80"/>
      <c r="B90" s="80"/>
      <c r="C90" s="51"/>
      <c r="D90" s="54"/>
      <c r="E90" s="113"/>
      <c r="F90" s="113"/>
      <c r="G90" s="114"/>
      <c r="H90" s="58"/>
      <c r="I90" s="109"/>
    </row>
    <row r="91" spans="1:9" x14ac:dyDescent="0.2">
      <c r="A91" s="134"/>
      <c r="B91" s="134"/>
      <c r="C91" s="134"/>
      <c r="D91" s="134"/>
      <c r="E91" s="134"/>
      <c r="F91" s="134"/>
      <c r="G91" s="134"/>
      <c r="H91" s="134"/>
      <c r="I91" s="134"/>
    </row>
    <row r="145" ht="15.75" customHeight="1" x14ac:dyDescent="0.2"/>
    <row r="166" ht="15" customHeight="1" x14ac:dyDescent="0.2"/>
  </sheetData>
  <sheetProtection sheet="1" selectLockedCells="1"/>
  <dataValidations count="34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whole" allowBlank="1" showInputMessage="1" showErrorMessage="1" errorTitle="Investitorova dokumentacija" error="Vrednost mora biti brojčana, prirodan broj i čiji je opseg od 0 do 1." sqref="G71">
      <formula1>0</formula1>
      <formula2>1</formula2>
    </dataValidation>
    <dataValidation type="whole" allowBlank="1" showInputMessage="1" showErrorMessage="1" errorTitle="Pripremno završni radovi" error="Vrednost mora biti brojčana, prirodan broj i čiji je opseg od 0 do 1." sqref="C26">
      <formula1>0</formula1>
      <formula2>1</formula2>
    </dataValidation>
    <dataValidation type="whole" allowBlank="1" showInputMessage="1" showErrorMessage="1" errorTitle="Istraživački radovi" error="Vrednost mora biti brojčana, prirodan broj i čiji je opseg od 0 do 1." sqref="C27">
      <formula1>0</formula1>
      <formula2>1</formula2>
    </dataValidation>
    <dataValidation type="whole" allowBlank="1" showInputMessage="1" showErrorMessage="1" errorTitle="Demontaža i rušenje" error="Vrednost mora biti brojčana, prirodan broj i čiji je opseg od 0 do 1." sqref="C28">
      <formula1>0</formula1>
      <formula2>1</formula2>
    </dataValidation>
    <dataValidation type="whole" allowBlank="1" showInputMessage="1" showErrorMessage="1" errorTitle="Zemljani radovi" error="Vrednost mora biti brojčana, prirodan broj i čiji je opseg od 0 do 1." sqref="C29">
      <formula1>0</formula1>
      <formula2>1</formula2>
    </dataValidation>
    <dataValidation type="whole" allowBlank="1" showInputMessage="1" showErrorMessage="1" errorTitle="Zidarski radovi" error="Vrednost mora biti brojčana, prirodan broj i čiji je opseg od 0 do 1." sqref="C30">
      <formula1>0</formula1>
      <formula2>1</formula2>
    </dataValidation>
    <dataValidation type="whole" allowBlank="1" showInputMessage="1" showErrorMessage="1" errorTitle="Betonski i aemirano betonski..." error="Vrednost mora biti brojčana, prirodan broj i čiji je opseg od 0 do 1." sqref="C31">
      <formula1>0</formula1>
      <formula2>1</formula2>
    </dataValidation>
    <dataValidation type="whole" allowBlank="1" showInputMessage="1" showErrorMessage="1" errorTitle="Tesarski radovi" error="Vrednost mora biti brojčana, prirodan broj i čiji je opseg od 0 do 1." sqref="C32">
      <formula1>0</formula1>
      <formula2>1</formula2>
    </dataValidation>
    <dataValidation type="whole" allowBlank="1" showInputMessage="1" showErrorMessage="1" errorTitle="Pokrivački radovi" error="Vrednost mora biti brojčana, prirodan broj i čiji je opseg od 0 do 1." sqref="C33">
      <formula1>0</formula1>
      <formula2>1</formula2>
    </dataValidation>
    <dataValidation type="whole" allowBlank="1" showInputMessage="1" showErrorMessage="1" errorTitle="Izolaterski radovi" error="Vrednost mora biti brojčana, prirodan broj i čiji je opseg od 0 do 1." sqref="C34">
      <formula1>0</formula1>
      <formula2>1</formula2>
    </dataValidation>
    <dataValidation type="whole" allowBlank="1" showInputMessage="1" showErrorMessage="1" errorTitle="Građevinska stolarija" error="Vrednost mora biti brojčana, prirodan broj i čiji je opseg od 0 do 1." sqref="C35">
      <formula1>0</formula1>
      <formula2>1</formula2>
    </dataValidation>
    <dataValidation type="whole" allowBlank="1" showInputMessage="1" showErrorMessage="1" errorTitle="Stolarski radovi" error="Vrednost mora biti brojčana, prirodan broj i čiji je opseg od 0 do 1." sqref="C36">
      <formula1>0</formula1>
      <formula2>1</formula2>
    </dataValidation>
    <dataValidation type="whole" allowBlank="1" showInputMessage="1" showErrorMessage="1" errorTitle="Bravarski radovi" error="Vrednost mora biti brojčana, prirodan broj i čiji je opseg od 0 do 1." sqref="C37">
      <formula1>0</formula1>
      <formula2>1</formula2>
    </dataValidation>
    <dataValidation type="whole" allowBlank="1" showInputMessage="1" showErrorMessage="1" errorTitle="Limarski radovi" error="Vrednost mora biti brojčana, prirodan broj i čiji je opseg od 0 do 1." sqref="C38">
      <formula1>0</formula1>
      <formula2>1</formula2>
    </dataValidation>
    <dataValidation type="whole" allowBlank="1" showInputMessage="1" showErrorMessage="1" errorTitle="Staklorezački radovi" error="Vrednost mora biti brojčana, prirodan broj i čiji je opseg od 0 do 1." sqref="C39">
      <formula1>0</formula1>
      <formula2>1</formula2>
    </dataValidation>
    <dataValidation type="whole" allowBlank="1" showInputMessage="1" showErrorMessage="1" errorTitle="Keramičarski radovi" error="Vrednost mora biti brojčana, prirodan broj i čiji je opseg od 0 do 1." sqref="C40">
      <formula1>0</formula1>
      <formula2>1</formula2>
    </dataValidation>
    <dataValidation type="whole" allowBlank="1" showInputMessage="1" showErrorMessage="1" errorTitle="Teracerski radovi" error="Vrednost mora biti brojčana, prirodan broj i čiji je opseg od 0 do 1." sqref="C41">
      <formula1>0</formula1>
      <formula2>1</formula2>
    </dataValidation>
    <dataValidation type="whole" allowBlank="1" showInputMessage="1" showErrorMessage="1" errorTitle="Kamenorezački radovi" error="Vrednost mora biti brojčana, prirodan broj i čiji je opseg od 0 do 1." sqref="C42">
      <formula1>0</formula1>
      <formula2>1</formula2>
    </dataValidation>
    <dataValidation type="whole" allowBlank="1" showInputMessage="1" showErrorMessage="1" errorTitle="Parketarski radovi" error="Vrednost mora biti brojčana, prirodan broj i čiji je opseg od 0 do 1." sqref="C43">
      <formula1>0</formula1>
      <formula2>1</formula2>
    </dataValidation>
    <dataValidation type="whole" allowBlank="1" showInputMessage="1" showErrorMessage="1" errorTitle="Podopolagački radovi" error="Vrednost mora biti brojčana, prirodan broj i čiji je opseg od 0 do 1." sqref="C44">
      <formula1>0</formula1>
      <formula2>1</formula2>
    </dataValidation>
    <dataValidation type="whole" allowBlank="1" showInputMessage="1" showErrorMessage="1" errorTitle="Tapetarski radovi" error="Vrednost mora biti brojčana, prirodan broj i čiji je opseg od 0 do 1." sqref="C45">
      <formula1>0</formula1>
      <formula2>1</formula2>
    </dataValidation>
    <dataValidation type="whole" allowBlank="1" showInputMessage="1" showErrorMessage="1" errorTitle="Roletnarski radovi" error="Vrednost mora biti brojčana, prirodan broj i čiji je opseg od 0 do 1." sqref="C46">
      <formula1>0</formula1>
      <formula2>1</formula2>
    </dataValidation>
    <dataValidation type="whole" allowBlank="1" showInputMessage="1" showErrorMessage="1" errorTitle="Suvomontažerski radovi" error="Vrednost mora biti brojčana, prirodan broj i čiji je opseg od 0 do 1." sqref="C47">
      <formula1>0</formula1>
      <formula2>1</formula2>
    </dataValidation>
    <dataValidation type="whole" allowBlank="1" showInputMessage="1" showErrorMessage="1" errorTitle="Gipsarski radovi" error="Vrednost mora biti brojčana, prirodan broj i čiji je opseg od 0 do 1." sqref="C48">
      <formula1>0</formula1>
      <formula2>1</formula2>
    </dataValidation>
    <dataValidation type="whole" allowBlank="1" showInputMessage="1" showErrorMessage="1" errorTitle="Fasaderski radovi" error="Vrednost mora biti brojčana, prirodan broj i čiji je opseg od 0 do 1." sqref="C49">
      <formula1>0</formula1>
      <formula2>1</formula2>
    </dataValidation>
    <dataValidation type="whole" allowBlank="1" showInputMessage="1" showErrorMessage="1" errorTitle="Likorezački radovi" error="Vrednost mora biti brojčana, prirodan broj i čiji je opseg od 0 do 1." sqref="C50">
      <formula1>0</formula1>
      <formula2>1</formula2>
    </dataValidation>
    <dataValidation type="whole" allowBlank="1" showInputMessage="1" showErrorMessage="1" errorTitle="Molerskofasaderski radovi" error="Vrednost mora biti brojčana, prirodan broj i čiji je opseg od 0 do 1." sqref="C51">
      <formula1>0</formula1>
      <formula2>1</formula2>
    </dataValidation>
    <dataValidation type="whole" allowBlank="1" showInputMessage="1" showErrorMessage="1" errorTitle="Livački radovi" error="Vrednost mora biti brojčana, prirodan broj i čiji je opseg od 0 do 1." sqref="C52">
      <formula1>0</formula1>
      <formula2>1</formula2>
    </dataValidation>
    <dataValidation type="whole" allowBlank="1" showInputMessage="1" showErrorMessage="1" errorTitle="Razni zanatski radovi" error="Vrednost mora biti brojčana, prirodan broj i čiji je opseg od 0 do 1." sqref="C53">
      <formula1>0</formula1>
      <formula2>1</formula2>
    </dataValidation>
    <dataValidation type="whole" allowBlank="1" showInputMessage="1" showErrorMessage="1" errorTitle="Vodovod" error="Vrednost mora biti brojčana, prirodan broj i čiji je opseg od 0 do 1." sqref="C54">
      <formula1>0</formula1>
      <formula2>1</formula2>
    </dataValidation>
    <dataValidation type="whole" allowBlank="1" showInputMessage="1" showErrorMessage="1" errorTitle="Kanalizacija" error="Vrednost mora biti brojčana, prirodan broj i čiji je opseg od 0 do 1." sqref="C55">
      <formula1>0</formula1>
      <formula2>1</formula2>
    </dataValidation>
    <dataValidation type="whole" allowBlank="1" showInputMessage="1" showErrorMessage="1" errorTitle="Sanitarni uređaji" error="Vrednost mora biti brojčana, prirodan broj i čiji je opseg od 0 do 1." sqref="C56">
      <formula1>0</formula1>
      <formula2>1</formula2>
    </dataValidation>
    <dataValidation type="decimal" allowBlank="1" showInputMessage="1" showErrorMessage="1" errorTitle="Srednja vrednost €" error="Vrednost mora biti brojčana, broj sa decimalnim zarezom i čiji je opseg od 1 do 999999." sqref="F75">
      <formula1>1</formula1>
      <formula2>999999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A1:E205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customWidth="1"/>
    <col min="4" max="4" width="80.109375" customWidth="1"/>
    <col min="5" max="191" width="2.21875" customWidth="1"/>
  </cols>
  <sheetData>
    <row r="1" spans="1:5" s="34" customFormat="1" ht="30" customHeight="1" thickBot="1" x14ac:dyDescent="0.25">
      <c r="C1" s="135"/>
      <c r="D1" s="135"/>
      <c r="E1" s="135"/>
    </row>
    <row r="2" spans="1:5" ht="15.75" thickTop="1" x14ac:dyDescent="0.2">
      <c r="A2" s="35"/>
    </row>
    <row r="3" spans="1:5" x14ac:dyDescent="0.2">
      <c r="A3" s="35"/>
    </row>
    <row r="4" spans="1:5" x14ac:dyDescent="0.2">
      <c r="A4" s="35"/>
    </row>
    <row r="5" spans="1:5" x14ac:dyDescent="0.2">
      <c r="A5" s="35"/>
    </row>
    <row r="6" spans="1:5" x14ac:dyDescent="0.2">
      <c r="A6" s="35"/>
    </row>
    <row r="7" spans="1:5" x14ac:dyDescent="0.2">
      <c r="C7" s="36"/>
      <c r="D7" s="37"/>
      <c r="E7" s="37"/>
    </row>
    <row r="8" spans="1:5" x14ac:dyDescent="0.2">
      <c r="C8" s="30"/>
      <c r="D8" s="38"/>
      <c r="E8" s="30"/>
    </row>
    <row r="9" spans="1:5" x14ac:dyDescent="0.2">
      <c r="C9" s="30"/>
      <c r="D9" s="39"/>
      <c r="E9" s="30"/>
    </row>
    <row r="10" spans="1:5" x14ac:dyDescent="0.2">
      <c r="C10" s="30"/>
      <c r="D10" s="39"/>
      <c r="E10" s="30"/>
    </row>
    <row r="11" spans="1:5" ht="15.75" x14ac:dyDescent="0.25">
      <c r="C11" s="30"/>
      <c r="D11" s="40" t="s">
        <v>48</v>
      </c>
      <c r="E11" s="30"/>
    </row>
    <row r="12" spans="1:5" x14ac:dyDescent="0.2">
      <c r="C12" s="30"/>
      <c r="D12" s="39"/>
      <c r="E12" s="30"/>
    </row>
    <row r="13" spans="1:5" x14ac:dyDescent="0.2">
      <c r="C13" s="30"/>
      <c r="D13" s="39"/>
      <c r="E13" s="30"/>
    </row>
    <row r="14" spans="1:5" x14ac:dyDescent="0.2">
      <c r="C14" s="30"/>
      <c r="D14" s="39"/>
      <c r="E14" s="30"/>
    </row>
    <row r="15" spans="1:5" x14ac:dyDescent="0.2">
      <c r="C15" s="30"/>
      <c r="D15" s="41" t="str">
        <f>IF(Investitor=0,"...",Investitor)</f>
        <v>...</v>
      </c>
      <c r="E15" s="30"/>
    </row>
    <row r="16" spans="1:5" x14ac:dyDescent="0.2">
      <c r="C16" s="30"/>
      <c r="D16" s="42" t="s">
        <v>45</v>
      </c>
      <c r="E16" s="30"/>
    </row>
    <row r="17" spans="3:5" x14ac:dyDescent="0.2">
      <c r="C17" s="30"/>
      <c r="D17" s="43" t="str">
        <f>IF(Objekat=0,"...",Objekat)</f>
        <v>...</v>
      </c>
      <c r="E17" s="30"/>
    </row>
    <row r="18" spans="3:5" x14ac:dyDescent="0.2">
      <c r="C18" s="30"/>
      <c r="D18" s="42" t="s">
        <v>46</v>
      </c>
      <c r="E18" s="30"/>
    </row>
    <row r="19" spans="3:5" x14ac:dyDescent="0.2">
      <c r="C19" s="30"/>
      <c r="D19" s="43" t="str">
        <f>IF(OR(Datum=0,EvidencioniBroj=0,Mesto=0),"...",TEXT(Datum,"DD.MM.YYYY")&amp;". godine"&amp;", "&amp;EvidencioniBroj&amp;", "&amp;Mesto)</f>
        <v>...</v>
      </c>
      <c r="E19" s="30"/>
    </row>
    <row r="20" spans="3:5" x14ac:dyDescent="0.2">
      <c r="C20" s="30"/>
      <c r="D20" s="44" t="s">
        <v>125</v>
      </c>
      <c r="E20" s="30"/>
    </row>
    <row r="21" spans="3:5" x14ac:dyDescent="0.2">
      <c r="C21" s="30"/>
      <c r="D21" s="43" t="str">
        <f>IF(ProjektnaOrganizacija=0,"...",ProjektnaOrganizacija)</f>
        <v>...</v>
      </c>
      <c r="E21" s="30"/>
    </row>
    <row r="22" spans="3:5" x14ac:dyDescent="0.2">
      <c r="C22" s="30"/>
      <c r="D22" s="42" t="s">
        <v>9</v>
      </c>
      <c r="E22" s="30"/>
    </row>
    <row r="23" spans="3:5" x14ac:dyDescent="0.2">
      <c r="C23" s="30"/>
      <c r="D23" s="39"/>
      <c r="E23" s="30"/>
    </row>
    <row r="24" spans="3:5" x14ac:dyDescent="0.2">
      <c r="C24" s="30"/>
      <c r="D24" s="39"/>
      <c r="E24" s="30"/>
    </row>
    <row r="25" spans="3:5" x14ac:dyDescent="0.2">
      <c r="C25" s="30"/>
      <c r="D25" s="39"/>
      <c r="E25" s="30"/>
    </row>
    <row r="26" spans="3:5" x14ac:dyDescent="0.2">
      <c r="C26" s="30"/>
      <c r="D26" s="39"/>
      <c r="E26" s="30"/>
    </row>
    <row r="27" spans="3:5" x14ac:dyDescent="0.2">
      <c r="C27" s="30"/>
      <c r="D27" s="43" t="str">
        <f>IF(OdgovornoLice=0,"...",OdgovornoLice)</f>
        <v>...</v>
      </c>
      <c r="E27" s="30"/>
    </row>
    <row r="28" spans="3:5" x14ac:dyDescent="0.2">
      <c r="C28" s="30"/>
      <c r="D28" s="44" t="s">
        <v>47</v>
      </c>
      <c r="E28" s="30"/>
    </row>
    <row r="29" spans="3:5" x14ac:dyDescent="0.2">
      <c r="C29" s="30"/>
      <c r="D29" s="39"/>
      <c r="E29" s="30"/>
    </row>
    <row r="30" spans="3:5" x14ac:dyDescent="0.2">
      <c r="C30" s="30"/>
      <c r="D30" s="39"/>
      <c r="E30" s="30"/>
    </row>
    <row r="31" spans="3:5" x14ac:dyDescent="0.2">
      <c r="C31" s="30"/>
      <c r="D31" s="39"/>
      <c r="E31" s="30"/>
    </row>
    <row r="32" spans="3:5" x14ac:dyDescent="0.2">
      <c r="C32" s="30"/>
      <c r="D32" s="39"/>
      <c r="E32" s="30"/>
    </row>
    <row r="33" spans="3:5" x14ac:dyDescent="0.2">
      <c r="C33" s="30"/>
      <c r="D33" s="39"/>
      <c r="E33" s="30"/>
    </row>
    <row r="34" spans="3:5" x14ac:dyDescent="0.2">
      <c r="C34" s="30"/>
      <c r="D34" s="39"/>
      <c r="E34" s="30"/>
    </row>
    <row r="35" spans="3:5" x14ac:dyDescent="0.2">
      <c r="C35" s="30"/>
      <c r="D35" s="43" t="str">
        <f>IF(OdgovorniProjektant=0,"...",OdgovorniProjektant)</f>
        <v>...</v>
      </c>
      <c r="E35" s="30"/>
    </row>
    <row r="36" spans="3:5" x14ac:dyDescent="0.2">
      <c r="C36" s="30"/>
      <c r="D36" s="44" t="s">
        <v>10</v>
      </c>
      <c r="E36" s="30"/>
    </row>
    <row r="37" spans="3:5" x14ac:dyDescent="0.2">
      <c r="C37" s="30"/>
      <c r="D37" s="39"/>
      <c r="E37" s="30"/>
    </row>
    <row r="38" spans="3:5" x14ac:dyDescent="0.2">
      <c r="C38" s="45"/>
      <c r="D38" s="45"/>
      <c r="E38" s="45"/>
    </row>
    <row r="40" spans="3:5" ht="15" customHeight="1" x14ac:dyDescent="0.2"/>
    <row r="102" ht="15" customHeight="1" x14ac:dyDescent="0.2"/>
    <row r="184" ht="15.75" customHeight="1" x14ac:dyDescent="0.2"/>
    <row r="205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C1:F182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47" customWidth="1"/>
    <col min="4" max="4" width="5.33203125" style="47" customWidth="1"/>
    <col min="5" max="5" width="64.109375" style="47" customWidth="1"/>
    <col min="6" max="187" width="2.21875" style="47" customWidth="1"/>
    <col min="188" max="16384" width="8.88671875" style="47"/>
  </cols>
  <sheetData>
    <row r="1" spans="3:6" s="46" customFormat="1" ht="30" customHeight="1" thickBot="1" x14ac:dyDescent="0.25">
      <c r="C1" s="135"/>
      <c r="D1" s="135"/>
      <c r="E1" s="135"/>
      <c r="F1" s="135"/>
    </row>
    <row r="2" spans="3:6" ht="15.75" thickTop="1" x14ac:dyDescent="0.2"/>
    <row r="7" spans="3:6" x14ac:dyDescent="0.2">
      <c r="C7" s="36"/>
      <c r="D7" s="36"/>
      <c r="E7" s="37"/>
      <c r="F7" s="48"/>
    </row>
    <row r="8" spans="3:6" x14ac:dyDescent="0.2">
      <c r="C8" s="49"/>
      <c r="D8" s="38"/>
      <c r="E8" s="38"/>
      <c r="F8" s="30"/>
    </row>
    <row r="9" spans="3:6" x14ac:dyDescent="0.2">
      <c r="C9" s="49"/>
      <c r="D9" s="39"/>
      <c r="E9" s="39"/>
      <c r="F9" s="30"/>
    </row>
    <row r="10" spans="3:6" x14ac:dyDescent="0.2">
      <c r="C10" s="49"/>
      <c r="D10" s="39"/>
      <c r="E10" s="39"/>
      <c r="F10" s="30"/>
    </row>
    <row r="11" spans="3:6" ht="15.75" x14ac:dyDescent="0.25">
      <c r="C11" s="49"/>
      <c r="D11" s="136" t="s">
        <v>52</v>
      </c>
      <c r="E11" s="136"/>
      <c r="F11" s="30"/>
    </row>
    <row r="12" spans="3:6" x14ac:dyDescent="0.2">
      <c r="C12" s="49"/>
      <c r="D12" s="39"/>
      <c r="E12" s="39"/>
      <c r="F12" s="30"/>
    </row>
    <row r="13" spans="3:6" x14ac:dyDescent="0.2">
      <c r="C13" s="49"/>
      <c r="D13" s="39"/>
      <c r="E13" s="39"/>
      <c r="F13" s="30"/>
    </row>
    <row r="14" spans="3:6" x14ac:dyDescent="0.2">
      <c r="C14" s="49"/>
      <c r="D14" s="39"/>
      <c r="E14" s="39"/>
      <c r="F14" s="30"/>
    </row>
    <row r="15" spans="3:6" x14ac:dyDescent="0.2">
      <c r="C15" s="49"/>
      <c r="D15" s="39"/>
      <c r="E15" s="39" t="s">
        <v>50</v>
      </c>
      <c r="F15" s="30"/>
    </row>
    <row r="16" spans="3:6" x14ac:dyDescent="0.2">
      <c r="C16" s="49"/>
      <c r="D16" s="39"/>
      <c r="E16" s="39"/>
      <c r="F16" s="30"/>
    </row>
    <row r="17" spans="3:6" x14ac:dyDescent="0.2">
      <c r="C17" s="49"/>
      <c r="D17" s="39"/>
      <c r="E17" s="39" t="s">
        <v>49</v>
      </c>
      <c r="F17" s="30"/>
    </row>
    <row r="18" spans="3:6" x14ac:dyDescent="0.2">
      <c r="C18" s="49"/>
      <c r="D18" s="39"/>
      <c r="E18" s="39"/>
      <c r="F18" s="30"/>
    </row>
    <row r="19" spans="3:6" x14ac:dyDescent="0.2">
      <c r="C19" s="49"/>
      <c r="D19" s="39"/>
      <c r="E19" s="39" t="s">
        <v>51</v>
      </c>
      <c r="F19" s="30"/>
    </row>
    <row r="20" spans="3:6" x14ac:dyDescent="0.2">
      <c r="C20" s="49"/>
      <c r="D20" s="39"/>
      <c r="E20" s="39"/>
      <c r="F20" s="30"/>
    </row>
    <row r="21" spans="3:6" x14ac:dyDescent="0.2">
      <c r="C21" s="45"/>
      <c r="D21" s="45"/>
      <c r="E21" s="45"/>
      <c r="F21" s="45"/>
    </row>
    <row r="79" ht="15" customHeight="1" x14ac:dyDescent="0.2"/>
    <row r="161" ht="15.75" customHeight="1" x14ac:dyDescent="0.2"/>
    <row r="182" ht="15" customHeight="1" x14ac:dyDescent="0.2"/>
  </sheetData>
  <mergeCells count="2">
    <mergeCell ref="C1:F1"/>
    <mergeCell ref="D11:E1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</sheetPr>
  <dimension ref="C1:L86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5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47"/>
      <c r="E18" s="148"/>
      <c r="F18" s="149"/>
      <c r="G18" s="148"/>
      <c r="H18" s="150"/>
      <c r="I18" s="151"/>
      <c r="J18" s="152"/>
      <c r="K18" s="152"/>
      <c r="L18" s="123"/>
    </row>
    <row r="19" spans="3:12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PRIPREMNO ZAVRŠNI RADOVI UKUPNO:</v>
      </c>
      <c r="K20" s="12">
        <f>SUM(tblRadovi1[Iznos])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5" ht="15.75" customHeight="1" x14ac:dyDescent="0.2"/>
    <row r="86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95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ISTRAŽIVAČKI RADOVI UKUPNO:</v>
      </c>
      <c r="K20" s="12">
        <f>SUM(tblRadovi2[Iznos])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96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DEMOTAŽA I RUŠENJE UKUPNO:</v>
      </c>
      <c r="K20" s="12">
        <f>SUM(tblRadovi3[Iznos])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97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ZEMLJANI RADOVI UKUPNO:</v>
      </c>
      <c r="K20" s="12">
        <f>SUM(tblRadovi4[Iznos])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98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ZIDARSKI RADOVI UKUPNO:</v>
      </c>
      <c r="K20" s="12">
        <f>SUM(tblRadovi5[Iznos])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99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BETONSKI I ARMIRANO BETONSKI RADOVI UKUPNO:</v>
      </c>
      <c r="K20" s="12">
        <f>SUM(tblRadovi6[Iznos])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100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TESARSKI RADOVI UKUPNO:</v>
      </c>
      <c r="K20" s="12">
        <f>SUM(tblRadovi7[Iznos])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101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POKRIVAČKI RADOVI UKUPNO:</v>
      </c>
      <c r="K20" s="12">
        <f>SUM(tblRadovi8[Iznos])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102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IZOLATERSKI RADOVI UKUPNO:</v>
      </c>
      <c r="K20" s="12">
        <f>SUM(tblRadovi9[Iznos])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103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GRAĐEVINSKA STOLARIJA UKUPNO:</v>
      </c>
      <c r="K20" s="12">
        <f>SUM(tblRadovi10[Iznos])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104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STOLARSKI RADOVI UKUPNO:</v>
      </c>
      <c r="K20" s="12">
        <f>SUM(tblRadovi11[Iznos])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105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BRAVARSKI RADOVI UKUPNO:</v>
      </c>
      <c r="K20" s="12">
        <f>SUM(tblRadovi12[Iznos])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106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LIMARSKI RADOVI UKUPNO:</v>
      </c>
      <c r="K20" s="12">
        <f>SUM(tblRadovi13[Iznos])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107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STAKLOREZAČKI RADOVI UKUPNO:</v>
      </c>
      <c r="K20" s="12">
        <f>SUM(tblRadovi14[Iznos])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108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KERAMIČARSKI RADOVI UKUPNO:</v>
      </c>
      <c r="K20" s="12">
        <f>SUM(tblRadovi15[Iznos])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109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TERACERSKI RADOVI UKUPNO:</v>
      </c>
      <c r="K20" s="12">
        <f>SUM(tblRadovi16[Iznos])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110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KAMENOREZAČKI RADOVI UKUPNO:</v>
      </c>
      <c r="K20" s="12">
        <f>SUM(tblRadovi17[Iznos])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111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PARKETARSKI RADOVI UKUPNO:</v>
      </c>
      <c r="K20" s="12">
        <f>SUM(tblRadovi18[Iznos])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112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PODOPOLAGAČKI RADOVI UKUPNO:</v>
      </c>
      <c r="K20" s="12">
        <f>SUM(tblRadovi19[Iznos])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113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TAPETARSKI RADOVI UKUPNO:</v>
      </c>
      <c r="K20" s="12">
        <f>SUM(tblRadovi20[Iznos])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114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ROLETNARSKI RADOVI UKUPNO:</v>
      </c>
      <c r="K20" s="12">
        <f>SUM(tblRadovi21[Iznos])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115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SUVOMONTAŽERSKI RADOVI UKUPNO:</v>
      </c>
      <c r="K20" s="12">
        <f>SUM(tblRadovi22[Iznos])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116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GIPSARSKI RADOVI UKUPNO:</v>
      </c>
      <c r="K20" s="12">
        <f>SUM(tblRadovi23[Iznos])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117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FASADERSKI RADOVI UKUPNO:</v>
      </c>
      <c r="K20" s="12">
        <f>SUM(tblRadovi24[Iznos])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118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LIKOREZAČKI RADOVI UKUPNO:</v>
      </c>
      <c r="K20" s="12">
        <f>SUM(tblRadovi25[Iznos])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119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MOLERSKOFARBARSKI RADOVI UKUPNO:</v>
      </c>
      <c r="K20" s="12">
        <f>SUM(tblRadovi26[Iznos])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120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LIVAČKI RADOVI UKUPNO:</v>
      </c>
      <c r="K20" s="12">
        <f>SUM(tblRadovi27[Iznos])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121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RAZNI ZANATSKI RADOVI UKUPNO:</v>
      </c>
      <c r="K20" s="12">
        <f>SUM(tblRadovi28[Iznos])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122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VODOVOD UKUPNO:</v>
      </c>
      <c r="K20" s="12">
        <f>SUM(tblRadovi29[Iznos])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123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KANALIZACIJA UKUPNO:</v>
      </c>
      <c r="K20" s="12">
        <f>SUM(tblRadovi30[Iznos])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0" tint="-0.249977111117893"/>
  </sheetPr>
  <dimension ref="C1:L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3" customWidth="1"/>
    <col min="3" max="3" width="2.21875" style="2" customWidth="1"/>
    <col min="4" max="4" width="8" style="2" customWidth="1"/>
    <col min="5" max="5" width="22.33203125" style="2" hidden="1" customWidth="1"/>
    <col min="6" max="6" width="22.33203125" style="2" customWidth="1"/>
    <col min="7" max="7" width="6.6640625" style="2" customWidth="1"/>
    <col min="8" max="8" width="7.5546875" style="2" customWidth="1"/>
    <col min="9" max="9" width="11.109375" style="2" hidden="1" customWidth="1"/>
    <col min="10" max="10" width="11.109375" style="2" customWidth="1"/>
    <col min="11" max="11" width="13.77734375" style="2" customWidth="1"/>
    <col min="12" max="12" width="2.21875" style="2" customWidth="1"/>
    <col min="13" max="182" width="2.21875" style="3" customWidth="1"/>
    <col min="183" max="16384" width="8.88671875" style="3"/>
  </cols>
  <sheetData>
    <row r="1" spans="3:12" s="1" customFormat="1" ht="30" customHeight="1" thickBot="1" x14ac:dyDescent="0.25">
      <c r="C1" s="125"/>
      <c r="D1" s="125"/>
      <c r="E1" s="125"/>
      <c r="F1" s="125"/>
      <c r="G1" s="125"/>
      <c r="H1" s="125"/>
      <c r="I1" s="125"/>
      <c r="J1" s="125"/>
      <c r="K1" s="125"/>
      <c r="L1" s="125"/>
    </row>
    <row r="2" spans="3:12" ht="15.75" thickTop="1" x14ac:dyDescent="0.2"/>
    <row r="7" spans="3:12" x14ac:dyDescent="0.2">
      <c r="C7" s="4"/>
      <c r="D7" s="4"/>
      <c r="E7" s="4"/>
      <c r="F7" s="4"/>
      <c r="G7" s="4"/>
      <c r="H7" s="4"/>
      <c r="I7" s="4"/>
      <c r="J7" s="4"/>
      <c r="K7" s="4"/>
      <c r="L7" s="5"/>
    </row>
    <row r="8" spans="3:12" x14ac:dyDescent="0.2">
      <c r="C8" s="6"/>
      <c r="D8" s="7"/>
      <c r="E8" s="7"/>
      <c r="F8" s="7"/>
      <c r="G8" s="7"/>
      <c r="H8" s="7"/>
      <c r="I8" s="7"/>
      <c r="J8" s="7"/>
      <c r="K8" s="7"/>
      <c r="L8" s="8"/>
    </row>
    <row r="9" spans="3:12" hidden="1" x14ac:dyDescent="0.2">
      <c r="C9" s="6"/>
      <c r="D9" s="9"/>
      <c r="E9" s="9"/>
      <c r="F9" s="9"/>
      <c r="G9" s="9"/>
      <c r="H9" s="9"/>
      <c r="I9" s="9"/>
      <c r="J9" s="9"/>
      <c r="K9" s="9"/>
      <c r="L9" s="8"/>
    </row>
    <row r="10" spans="3:12" hidden="1" x14ac:dyDescent="0.2">
      <c r="C10" s="6"/>
      <c r="F10" s="9"/>
      <c r="G10" s="9"/>
      <c r="H10" s="9"/>
      <c r="I10" s="9"/>
      <c r="J10" s="9"/>
      <c r="K10" s="9"/>
      <c r="L10" s="8"/>
    </row>
    <row r="11" spans="3:12" ht="15.75" hidden="1" x14ac:dyDescent="0.25">
      <c r="C11" s="6"/>
      <c r="D11" s="137" t="s">
        <v>7</v>
      </c>
      <c r="E11" s="137"/>
      <c r="F11" s="137"/>
      <c r="G11" s="137"/>
      <c r="H11" s="137"/>
      <c r="I11" s="137"/>
      <c r="J11" s="137"/>
      <c r="K11" s="137"/>
      <c r="L11" s="8"/>
    </row>
    <row r="12" spans="3:12" hidden="1" x14ac:dyDescent="0.2">
      <c r="C12" s="6"/>
      <c r="D12" s="9"/>
      <c r="E12" s="9"/>
      <c r="F12" s="9"/>
      <c r="G12" s="9"/>
      <c r="H12" s="9"/>
      <c r="I12" s="9"/>
      <c r="J12" s="9"/>
      <c r="K12" s="9"/>
      <c r="L12" s="8"/>
    </row>
    <row r="13" spans="3:12" x14ac:dyDescent="0.2">
      <c r="C13" s="6"/>
      <c r="D13" s="9"/>
      <c r="E13" s="9"/>
      <c r="F13" s="9"/>
      <c r="G13" s="9"/>
      <c r="H13" s="9"/>
      <c r="I13" s="9"/>
      <c r="J13" s="9"/>
      <c r="K13" s="9"/>
      <c r="L13" s="8"/>
    </row>
    <row r="14" spans="3:12" x14ac:dyDescent="0.2">
      <c r="C14" s="6"/>
      <c r="D14" s="9"/>
      <c r="E14" s="9"/>
      <c r="F14" s="9"/>
      <c r="G14" s="9"/>
      <c r="H14" s="9"/>
      <c r="I14" s="9"/>
      <c r="J14" s="9"/>
      <c r="K14" s="9"/>
      <c r="L14" s="8"/>
    </row>
    <row r="15" spans="3:12" ht="15.75" x14ac:dyDescent="0.25">
      <c r="C15" s="6"/>
      <c r="D15" s="138" t="s">
        <v>124</v>
      </c>
      <c r="E15" s="138"/>
      <c r="F15" s="138"/>
      <c r="G15" s="138"/>
      <c r="H15" s="138"/>
      <c r="I15" s="138"/>
      <c r="J15" s="138"/>
      <c r="K15" s="138"/>
      <c r="L15" s="8"/>
    </row>
    <row r="16" spans="3:12" x14ac:dyDescent="0.2">
      <c r="C16" s="6"/>
      <c r="D16" s="9"/>
      <c r="E16" s="9"/>
      <c r="F16" s="9"/>
      <c r="G16" s="9"/>
      <c r="H16" s="9"/>
      <c r="I16" s="9"/>
      <c r="J16" s="9"/>
      <c r="K16" s="105" t="str">
        <f>IF(Valuta=0,"Cene su izražene u RSD.","Cene su izražene u €.")</f>
        <v>Cene su izražene u RSD.</v>
      </c>
      <c r="L16" s="8"/>
    </row>
    <row r="17" spans="3:12" ht="22.5" x14ac:dyDescent="0.2">
      <c r="C17" s="98" t="s">
        <v>91</v>
      </c>
      <c r="D17" s="99" t="s">
        <v>0</v>
      </c>
      <c r="E17" s="106" t="s">
        <v>53</v>
      </c>
      <c r="F17" s="100" t="s">
        <v>2</v>
      </c>
      <c r="G17" s="100" t="s">
        <v>3</v>
      </c>
      <c r="H17" s="100" t="s">
        <v>4</v>
      </c>
      <c r="I17" s="107" t="s">
        <v>90</v>
      </c>
      <c r="J17" s="100" t="s">
        <v>92</v>
      </c>
      <c r="K17" s="101" t="s">
        <v>14</v>
      </c>
      <c r="L17" s="102" t="s">
        <v>93</v>
      </c>
    </row>
    <row r="18" spans="3:12" x14ac:dyDescent="0.2">
      <c r="C18" s="33"/>
      <c r="D18" s="127"/>
      <c r="E18" s="96"/>
      <c r="F18" s="103"/>
      <c r="G18" s="96"/>
      <c r="H18" s="104"/>
      <c r="I18" s="126"/>
      <c r="J18" s="97"/>
      <c r="K18" s="97"/>
      <c r="L18" s="123"/>
    </row>
    <row r="19" spans="3:12" ht="15" customHeight="1" x14ac:dyDescent="0.2">
      <c r="C19" s="6"/>
      <c r="D19" s="9"/>
      <c r="E19" s="9"/>
      <c r="F19" s="9"/>
      <c r="G19" s="9"/>
      <c r="H19" s="9"/>
      <c r="I19" s="9"/>
      <c r="J19" s="9"/>
      <c r="K19" s="9"/>
      <c r="L19" s="124" t="s">
        <v>1</v>
      </c>
    </row>
    <row r="20" spans="3:12" ht="15.75" x14ac:dyDescent="0.25">
      <c r="C20" s="10"/>
      <c r="D20" s="9"/>
      <c r="E20" s="9"/>
      <c r="F20" s="9"/>
      <c r="G20" s="9"/>
      <c r="H20" s="3"/>
      <c r="J20" s="11" t="str">
        <f>D15&amp;" UKUPNO:"</f>
        <v>SANITARNI UREĐAJI UKUPNO:</v>
      </c>
      <c r="K20" s="12">
        <f>SUM(tblRadovi31[Iznos])</f>
        <v>0</v>
      </c>
      <c r="L20" s="8"/>
    </row>
    <row r="21" spans="3:12" x14ac:dyDescent="0.2">
      <c r="C21" s="6"/>
      <c r="D21" s="13"/>
      <c r="E21" s="13"/>
      <c r="F21" s="13"/>
      <c r="G21" s="13"/>
      <c r="H21" s="13"/>
      <c r="I21" s="13"/>
      <c r="J21" s="13"/>
      <c r="K21" s="13"/>
      <c r="L21" s="8"/>
    </row>
    <row r="22" spans="3:12" x14ac:dyDescent="0.2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">
      <c r="L23" s="15"/>
    </row>
    <row r="26" spans="3:12" x14ac:dyDescent="0.2">
      <c r="G26"/>
    </row>
    <row r="67" ht="15.75" customHeight="1" x14ac:dyDescent="0.2"/>
    <row r="88" ht="15" customHeight="1" x14ac:dyDescent="0.2"/>
  </sheetData>
  <mergeCells count="2">
    <mergeCell ref="D11:K11"/>
    <mergeCell ref="D15:K1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0" tint="-0.249977111117893"/>
  </sheetPr>
  <dimension ref="C1:F219"/>
  <sheetViews>
    <sheetView showGridLines="0" showRowColHeaders="0" workbookViewId="0">
      <pane ySplit="1" topLeftCell="A2" activePane="bottomLeft" state="frozen"/>
      <selection pane="bottomLeft" activeCell="E46" sqref="E46"/>
    </sheetView>
  </sheetViews>
  <sheetFormatPr defaultRowHeight="15" x14ac:dyDescent="0.2"/>
  <cols>
    <col min="1" max="3" width="2.21875" style="3" customWidth="1"/>
    <col min="4" max="4" width="55.44140625" style="3" customWidth="1"/>
    <col min="5" max="5" width="13.5546875" style="3" customWidth="1"/>
    <col min="6" max="187" width="2.21875" style="3" customWidth="1"/>
    <col min="188" max="16384" width="8.88671875" style="3"/>
  </cols>
  <sheetData>
    <row r="1" spans="3:6" s="1" customFormat="1" ht="30" customHeight="1" thickBot="1" x14ac:dyDescent="0.25">
      <c r="C1" s="140"/>
      <c r="D1" s="140"/>
      <c r="E1" s="140"/>
      <c r="F1" s="140"/>
    </row>
    <row r="2" spans="3:6" ht="15.75" thickTop="1" x14ac:dyDescent="0.2"/>
    <row r="7" spans="3:6" x14ac:dyDescent="0.2">
      <c r="C7" s="16"/>
      <c r="D7" s="16"/>
      <c r="E7" s="16"/>
      <c r="F7" s="17"/>
    </row>
    <row r="8" spans="3:6" x14ac:dyDescent="0.2">
      <c r="C8" s="30"/>
      <c r="D8" s="18"/>
      <c r="E8" s="18"/>
      <c r="F8" s="19"/>
    </row>
    <row r="9" spans="3:6" x14ac:dyDescent="0.2">
      <c r="C9" s="30"/>
      <c r="D9" s="20"/>
      <c r="E9" s="20"/>
      <c r="F9" s="19"/>
    </row>
    <row r="10" spans="3:6" x14ac:dyDescent="0.2">
      <c r="C10" s="30"/>
      <c r="D10" s="20"/>
      <c r="E10" s="20"/>
      <c r="F10" s="19"/>
    </row>
    <row r="11" spans="3:6" ht="15.75" x14ac:dyDescent="0.25">
      <c r="C11" s="30"/>
      <c r="D11" s="141" t="s">
        <v>8</v>
      </c>
      <c r="E11" s="141"/>
      <c r="F11" s="19"/>
    </row>
    <row r="12" spans="3:6" x14ac:dyDescent="0.2">
      <c r="C12" s="30"/>
      <c r="D12" s="20"/>
      <c r="E12" s="20"/>
      <c r="F12" s="19"/>
    </row>
    <row r="13" spans="3:6" x14ac:dyDescent="0.2">
      <c r="C13" s="30"/>
      <c r="D13" s="21" t="s">
        <v>13</v>
      </c>
      <c r="E13" s="22" t="s">
        <v>14</v>
      </c>
      <c r="F13" s="19"/>
    </row>
    <row r="14" spans="3:6" x14ac:dyDescent="0.2">
      <c r="C14" s="30"/>
      <c r="D14" s="23" t="str">
        <f>IF(Radovi1=0,"/","Pripremno završni radovi")</f>
        <v>/</v>
      </c>
      <c r="E14" s="24" t="str">
        <f>IF(Radovi1=0,"",SUM(tblRadovi1[[#All],[Iznos]]))</f>
        <v/>
      </c>
      <c r="F14" s="19"/>
    </row>
    <row r="15" spans="3:6" x14ac:dyDescent="0.2">
      <c r="C15" s="30"/>
      <c r="D15" s="23" t="str">
        <f>IF(Radovi2=0,"/","Istraživački radovi")</f>
        <v>/</v>
      </c>
      <c r="E15" s="24" t="str">
        <f>IF(Radovi2=0,"",SUM(tblRadovi2[[#All],[Iznos]]))</f>
        <v/>
      </c>
      <c r="F15" s="19"/>
    </row>
    <row r="16" spans="3:6" x14ac:dyDescent="0.2">
      <c r="C16" s="30"/>
      <c r="D16" s="23" t="str">
        <f>IF(Radovi3=0,"/","Demotaža i rušenje")</f>
        <v>/</v>
      </c>
      <c r="E16" s="24" t="str">
        <f>IF(Radovi3=0,"",SUM(tblRadovi3[[#All],[Iznos]]))</f>
        <v/>
      </c>
      <c r="F16" s="19"/>
    </row>
    <row r="17" spans="3:6" x14ac:dyDescent="0.2">
      <c r="C17" s="30"/>
      <c r="D17" s="23" t="str">
        <f>IF(Radovi4=0,"/","Zemljani radovi")</f>
        <v>/</v>
      </c>
      <c r="E17" s="24" t="str">
        <f>IF(Radovi4=0,"",SUM(tblRadovi4[[#All],[Iznos]]))</f>
        <v/>
      </c>
      <c r="F17" s="19"/>
    </row>
    <row r="18" spans="3:6" x14ac:dyDescent="0.2">
      <c r="C18" s="30"/>
      <c r="D18" s="23" t="str">
        <f>IF(Radovi5=0,"/","Zidarski radovi")</f>
        <v>/</v>
      </c>
      <c r="E18" s="24" t="str">
        <f>IF(Radovi5=0,"",SUM(tblRadovi5[[#All],[Iznos]]))</f>
        <v/>
      </c>
      <c r="F18" s="19"/>
    </row>
    <row r="19" spans="3:6" x14ac:dyDescent="0.2">
      <c r="C19" s="30"/>
      <c r="D19" s="23" t="str">
        <f>IF(Radovi6=0,"/","Betonski i armirano betonski radovi")</f>
        <v>/</v>
      </c>
      <c r="E19" s="24" t="str">
        <f>IF(Radovi6=0,"",SUM(tblRadovi6[[#All],[Iznos]]))</f>
        <v/>
      </c>
      <c r="F19" s="19"/>
    </row>
    <row r="20" spans="3:6" x14ac:dyDescent="0.2">
      <c r="C20" s="30"/>
      <c r="D20" s="23" t="str">
        <f>IF(Radovi7=0,"/","Tesarski radovi")</f>
        <v>/</v>
      </c>
      <c r="E20" s="24" t="str">
        <f>IF(Radovi7=0,"",SUM(tblRadovi7[[#All],[Iznos]]))</f>
        <v/>
      </c>
      <c r="F20" s="19"/>
    </row>
    <row r="21" spans="3:6" x14ac:dyDescent="0.2">
      <c r="C21" s="30"/>
      <c r="D21" s="23" t="str">
        <f>IF(Radovi8=0,"/","Pokrivački radovi")</f>
        <v>/</v>
      </c>
      <c r="E21" s="24" t="str">
        <f>IF(Radovi8=0,"",SUM(tblRadovi8[[#All],[Iznos]]))</f>
        <v/>
      </c>
      <c r="F21" s="19"/>
    </row>
    <row r="22" spans="3:6" x14ac:dyDescent="0.2">
      <c r="C22" s="30"/>
      <c r="D22" s="23" t="str">
        <f>IF(Radovi9=0,"/","Izolaterski radovi")</f>
        <v>/</v>
      </c>
      <c r="E22" s="24" t="str">
        <f>IF(Radovi9=0,"",SUM(tblRadovi9[[#All],[Iznos]]))</f>
        <v/>
      </c>
      <c r="F22" s="19"/>
    </row>
    <row r="23" spans="3:6" x14ac:dyDescent="0.2">
      <c r="C23" s="30"/>
      <c r="D23" s="23" t="str">
        <f>IF(Radovi10=0,"/","Građevinska stolarija")</f>
        <v>/</v>
      </c>
      <c r="E23" s="24" t="str">
        <f>IF(Radovi10=0,"",SUM(tblRadovi10[[#All],[Iznos]]))</f>
        <v/>
      </c>
      <c r="F23" s="19"/>
    </row>
    <row r="24" spans="3:6" x14ac:dyDescent="0.2">
      <c r="C24" s="30"/>
      <c r="D24" s="23" t="str">
        <f>IF(Radovi11=0,"/","Stolarski radovi")</f>
        <v>/</v>
      </c>
      <c r="E24" s="24" t="str">
        <f>IF(Radovi11=0,"",SUM(tblRadovi11[[#All],[Iznos]]))</f>
        <v/>
      </c>
      <c r="F24" s="19"/>
    </row>
    <row r="25" spans="3:6" x14ac:dyDescent="0.2">
      <c r="C25" s="30"/>
      <c r="D25" s="23" t="str">
        <f>IF(Radovi12=0,"/","Bravarski radovi")</f>
        <v>/</v>
      </c>
      <c r="E25" s="24" t="str">
        <f>IF(Radovi12=0,"",SUM(tblRadovi12[[#All],[Iznos]]))</f>
        <v/>
      </c>
      <c r="F25" s="19"/>
    </row>
    <row r="26" spans="3:6" x14ac:dyDescent="0.2">
      <c r="C26" s="30"/>
      <c r="D26" s="23" t="str">
        <f>IF(Radovi13=0,"/","Limarski radovi")</f>
        <v>/</v>
      </c>
      <c r="E26" s="24" t="str">
        <f>IF(Radovi13=0,"",SUM(tblRadovi13[[#All],[Iznos]]))</f>
        <v/>
      </c>
      <c r="F26" s="19"/>
    </row>
    <row r="27" spans="3:6" x14ac:dyDescent="0.2">
      <c r="C27" s="30"/>
      <c r="D27" s="23" t="str">
        <f>IF(Radovi14=0,"/","Staklorezački radovi")</f>
        <v>/</v>
      </c>
      <c r="E27" s="24" t="str">
        <f>IF(Radovi14=0,"",SUM(tblRadovi14[[#All],[Iznos]]))</f>
        <v/>
      </c>
      <c r="F27" s="19"/>
    </row>
    <row r="28" spans="3:6" x14ac:dyDescent="0.2">
      <c r="C28" s="30"/>
      <c r="D28" s="23" t="str">
        <f>IF(Radovi15=0,"/","Keramičarski radovi")</f>
        <v>/</v>
      </c>
      <c r="E28" s="24" t="str">
        <f>IF(Radovi15=0,"",SUM(tblRadovi15[[#All],[Iznos]]))</f>
        <v/>
      </c>
      <c r="F28" s="19"/>
    </row>
    <row r="29" spans="3:6" x14ac:dyDescent="0.2">
      <c r="C29" s="30"/>
      <c r="D29" s="23" t="str">
        <f>IF(Radovi16=0,"/","Teracerski radovi")</f>
        <v>/</v>
      </c>
      <c r="E29" s="24" t="str">
        <f>IF(Radovi16=0,"",SUM(tblRadovi16[[#All],[Iznos]]))</f>
        <v/>
      </c>
      <c r="F29" s="19"/>
    </row>
    <row r="30" spans="3:6" x14ac:dyDescent="0.2">
      <c r="C30" s="30"/>
      <c r="D30" s="23" t="str">
        <f>IF(Radovi17=0,"/","Kamenorezački radovi")</f>
        <v>/</v>
      </c>
      <c r="E30" s="24" t="str">
        <f>IF(Radovi17=0,"",SUM(tblRadovi17[[#All],[Iznos]]))</f>
        <v/>
      </c>
      <c r="F30" s="19"/>
    </row>
    <row r="31" spans="3:6" x14ac:dyDescent="0.2">
      <c r="C31" s="30"/>
      <c r="D31" s="23" t="str">
        <f>IF(Radovi18=0,"/","Parketarski radovi")</f>
        <v>/</v>
      </c>
      <c r="E31" s="24" t="str">
        <f>IF(Radovi18=0,"",SUM(tblRadovi18[[#All],[Iznos]]))</f>
        <v/>
      </c>
      <c r="F31" s="19"/>
    </row>
    <row r="32" spans="3:6" x14ac:dyDescent="0.2">
      <c r="C32" s="30"/>
      <c r="D32" s="23" t="str">
        <f>IF(Radovi19=0,"/","Podopolagački radovi")</f>
        <v>/</v>
      </c>
      <c r="E32" s="24" t="str">
        <f>IF(Radovi19=0,"",SUM(tblRadovi19[[#All],[Iznos]]))</f>
        <v/>
      </c>
      <c r="F32" s="19"/>
    </row>
    <row r="33" spans="3:6" x14ac:dyDescent="0.2">
      <c r="C33" s="30"/>
      <c r="D33" s="23" t="str">
        <f>IF(Radovi20=0,"/","Tapetarski radovi")</f>
        <v>/</v>
      </c>
      <c r="E33" s="24" t="str">
        <f>IF(Radovi20=0,"",SUM(tblRadovi20[[#All],[Iznos]]))</f>
        <v/>
      </c>
      <c r="F33" s="19"/>
    </row>
    <row r="34" spans="3:6" x14ac:dyDescent="0.2">
      <c r="C34" s="30"/>
      <c r="D34" s="23" t="str">
        <f>IF(Radovi21=0,"/","Roletnarski radovi")</f>
        <v>/</v>
      </c>
      <c r="E34" s="24" t="str">
        <f>IF(Radovi21=0,"",SUM(tblRadovi21[[#All],[Iznos]]))</f>
        <v/>
      </c>
      <c r="F34" s="19"/>
    </row>
    <row r="35" spans="3:6" x14ac:dyDescent="0.2">
      <c r="C35" s="30"/>
      <c r="D35" s="23" t="str">
        <f>IF(Radovi22=0,"/","Suvomontažerski radovi")</f>
        <v>/</v>
      </c>
      <c r="E35" s="24" t="str">
        <f>IF(Radovi22=0,"",SUM(tblRadovi22[[#All],[Iznos]]))</f>
        <v/>
      </c>
      <c r="F35" s="19"/>
    </row>
    <row r="36" spans="3:6" x14ac:dyDescent="0.2">
      <c r="C36" s="30"/>
      <c r="D36" s="23" t="str">
        <f>IF(Radovi23=0,"/","Gipsarski radovi")</f>
        <v>/</v>
      </c>
      <c r="E36" s="24" t="str">
        <f>IF(Radovi23=0,"",SUM(tblRadovi23[[#All],[Iznos]]))</f>
        <v/>
      </c>
      <c r="F36" s="19"/>
    </row>
    <row r="37" spans="3:6" x14ac:dyDescent="0.2">
      <c r="C37" s="30"/>
      <c r="D37" s="23" t="str">
        <f>IF(Radovi24=0,"/","Fasaderski radovi")</f>
        <v>/</v>
      </c>
      <c r="E37" s="24" t="str">
        <f>IF(Radovi24=0,"",SUM(tblRadovi24[[#All],[Iznos]]))</f>
        <v/>
      </c>
      <c r="F37" s="19"/>
    </row>
    <row r="38" spans="3:6" x14ac:dyDescent="0.2">
      <c r="C38" s="30"/>
      <c r="D38" s="23" t="str">
        <f>IF(Radovi25=0,"/","Likorezački radovi")</f>
        <v>/</v>
      </c>
      <c r="E38" s="24" t="str">
        <f>IF(Radovi25=0,"",SUM(tblRadovi25[[#All],[Iznos]]))</f>
        <v/>
      </c>
      <c r="F38" s="19"/>
    </row>
    <row r="39" spans="3:6" x14ac:dyDescent="0.2">
      <c r="C39" s="30"/>
      <c r="D39" s="23" t="str">
        <f>IF(Radovi26=0,"/","Molerskofarbarski radovi")</f>
        <v>/</v>
      </c>
      <c r="E39" s="24" t="str">
        <f>IF(Radovi26=0,"",SUM(tblRadovi26[[#All],[Iznos]]))</f>
        <v/>
      </c>
      <c r="F39" s="19"/>
    </row>
    <row r="40" spans="3:6" x14ac:dyDescent="0.2">
      <c r="C40" s="30"/>
      <c r="D40" s="23" t="str">
        <f>IF(Radovi27=0,"/","Livački radovi")</f>
        <v>/</v>
      </c>
      <c r="E40" s="24" t="str">
        <f>IF(Radovi27=0,"",SUM(tblRadovi27[[#All],[Iznos]]))</f>
        <v/>
      </c>
      <c r="F40" s="19"/>
    </row>
    <row r="41" spans="3:6" x14ac:dyDescent="0.2">
      <c r="C41" s="30"/>
      <c r="D41" s="23" t="str">
        <f>IF(Radovi28=0,"/","Razni zanatski radovi")</f>
        <v>/</v>
      </c>
      <c r="E41" s="24" t="str">
        <f>IF(Radovi28=0,"",SUM(tblRadovi28[[#All],[Iznos]]))</f>
        <v/>
      </c>
      <c r="F41" s="19"/>
    </row>
    <row r="42" spans="3:6" x14ac:dyDescent="0.2">
      <c r="C42" s="30"/>
      <c r="D42" s="23" t="str">
        <f>IF(Radovi29=0,"/","Vodovod")</f>
        <v>/</v>
      </c>
      <c r="E42" s="24" t="str">
        <f>IF(Radovi29=0,"",SUM(tblRadovi29[[#All],[Iznos]]))</f>
        <v/>
      </c>
      <c r="F42" s="19"/>
    </row>
    <row r="43" spans="3:6" x14ac:dyDescent="0.2">
      <c r="C43" s="30"/>
      <c r="D43" s="23" t="str">
        <f>IF(Radovi30=0,"/","Kanalizacija")</f>
        <v>/</v>
      </c>
      <c r="E43" s="24" t="str">
        <f>IF(Radovi30=0,"",SUM(tblRadovi30[[#All],[Iznos]]))</f>
        <v/>
      </c>
      <c r="F43" s="19"/>
    </row>
    <row r="44" spans="3:6" x14ac:dyDescent="0.2">
      <c r="C44" s="30"/>
      <c r="D44" s="31" t="str">
        <f>IF(Radovi31=0,"/","Sanitarni uređaji")</f>
        <v>/</v>
      </c>
      <c r="E44" s="24" t="str">
        <f>IF(Radovi31=0,"",SUM(tblRadovi31[[#All],[Iznos]]))</f>
        <v/>
      </c>
      <c r="F44" s="19"/>
    </row>
    <row r="45" spans="3:6" x14ac:dyDescent="0.2">
      <c r="C45" s="30"/>
      <c r="D45" s="20"/>
      <c r="E45" s="32"/>
      <c r="F45" s="19"/>
    </row>
    <row r="46" spans="3:6" ht="15.75" x14ac:dyDescent="0.25">
      <c r="C46" s="30"/>
      <c r="D46" s="11" t="s">
        <v>6</v>
      </c>
      <c r="E46" s="25">
        <f>SUM(E14:E44)</f>
        <v>0</v>
      </c>
      <c r="F46" s="19"/>
    </row>
    <row r="47" spans="3:6" ht="15.75" x14ac:dyDescent="0.25">
      <c r="C47" s="30"/>
      <c r="D47" s="26"/>
      <c r="E47" s="27"/>
      <c r="F47" s="19"/>
    </row>
    <row r="48" spans="3:6" x14ac:dyDescent="0.2">
      <c r="C48" s="30"/>
      <c r="D48" s="142" t="str">
        <f>IF(ProjektnaOrganizacija=0,"...",ProjektnaOrganizacija)</f>
        <v>...</v>
      </c>
      <c r="E48" s="143"/>
      <c r="F48" s="19"/>
    </row>
    <row r="49" spans="3:6" x14ac:dyDescent="0.2">
      <c r="C49" s="30"/>
      <c r="D49" s="144" t="s">
        <v>9</v>
      </c>
      <c r="E49" s="144"/>
      <c r="F49" s="19"/>
    </row>
    <row r="50" spans="3:6" ht="15.75" x14ac:dyDescent="0.25">
      <c r="C50" s="30"/>
      <c r="D50" s="20"/>
      <c r="E50" s="25"/>
      <c r="F50" s="19"/>
    </row>
    <row r="51" spans="3:6" ht="15.75" x14ac:dyDescent="0.25">
      <c r="C51" s="30"/>
      <c r="D51" s="20"/>
      <c r="E51" s="25"/>
      <c r="F51" s="19"/>
    </row>
    <row r="52" spans="3:6" ht="15.75" x14ac:dyDescent="0.25">
      <c r="C52" s="30"/>
      <c r="D52" s="20"/>
      <c r="E52" s="25"/>
      <c r="F52" s="19"/>
    </row>
    <row r="53" spans="3:6" ht="15.75" x14ac:dyDescent="0.25">
      <c r="C53" s="30"/>
      <c r="D53" s="20"/>
      <c r="E53" s="25"/>
      <c r="F53" s="19"/>
    </row>
    <row r="54" spans="3:6" x14ac:dyDescent="0.2">
      <c r="C54" s="30"/>
      <c r="D54" s="145" t="str">
        <f>IF(OdgovorniProjektant=0,"...",OdgovorniProjektant)</f>
        <v>...</v>
      </c>
      <c r="E54" s="146"/>
      <c r="F54" s="19"/>
    </row>
    <row r="55" spans="3:6" x14ac:dyDescent="0.2">
      <c r="C55" s="30"/>
      <c r="D55" s="139" t="s">
        <v>10</v>
      </c>
      <c r="E55" s="139"/>
      <c r="F55" s="19"/>
    </row>
    <row r="56" spans="3:6" ht="15.75" x14ac:dyDescent="0.25">
      <c r="C56" s="30"/>
      <c r="D56" s="20"/>
      <c r="E56" s="25"/>
      <c r="F56" s="19"/>
    </row>
    <row r="57" spans="3:6" x14ac:dyDescent="0.2">
      <c r="C57" s="28"/>
      <c r="D57" s="28"/>
      <c r="E57" s="28"/>
      <c r="F57" s="28"/>
    </row>
    <row r="58" spans="3:6" x14ac:dyDescent="0.2">
      <c r="F58" s="29"/>
    </row>
    <row r="116" ht="15" customHeight="1" x14ac:dyDescent="0.2"/>
    <row r="198" ht="15.75" customHeight="1" x14ac:dyDescent="0.2"/>
    <row r="219" ht="15" customHeight="1" x14ac:dyDescent="0.2"/>
  </sheetData>
  <mergeCells count="6">
    <mergeCell ref="D55:E55"/>
    <mergeCell ref="C1:F1"/>
    <mergeCell ref="D11:E11"/>
    <mergeCell ref="D48:E48"/>
    <mergeCell ref="D49:E49"/>
    <mergeCell ref="D54:E5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1" max="16383" man="1"/>
  </rowBreaks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142</vt:i4>
      </vt:variant>
    </vt:vector>
  </HeadingPairs>
  <TitlesOfParts>
    <vt:vector size="177" baseType="lpstr">
      <vt:lpstr>Index</vt:lpstr>
      <vt:lpstr>Naslovna strana</vt:lpstr>
      <vt:lpstr>Sadrzaj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R12</vt:lpstr>
      <vt:lpstr>R13</vt:lpstr>
      <vt:lpstr>R14</vt:lpstr>
      <vt:lpstr>R15</vt:lpstr>
      <vt:lpstr>R16</vt:lpstr>
      <vt:lpstr>R17</vt:lpstr>
      <vt:lpstr>R18</vt:lpstr>
      <vt:lpstr>R19</vt:lpstr>
      <vt:lpstr>R20</vt:lpstr>
      <vt:lpstr>R21</vt:lpstr>
      <vt:lpstr>R22</vt:lpstr>
      <vt:lpstr>R23</vt:lpstr>
      <vt:lpstr>R24</vt:lpstr>
      <vt:lpstr>R25</vt:lpstr>
      <vt:lpstr>R26</vt:lpstr>
      <vt:lpstr>R27</vt:lpstr>
      <vt:lpstr>R28</vt:lpstr>
      <vt:lpstr>R29</vt:lpstr>
      <vt:lpstr>R30</vt:lpstr>
      <vt:lpstr>R31</vt:lpstr>
      <vt:lpstr>Rekapitulacija</vt:lpstr>
      <vt:lpstr>'R1'!CenaPoJediniciMereUnos</vt:lpstr>
      <vt:lpstr>'R10'!CenaPoJediniciMereUnos</vt:lpstr>
      <vt:lpstr>'R11'!CenaPoJediniciMereUnos</vt:lpstr>
      <vt:lpstr>'R12'!CenaPoJediniciMereUnos</vt:lpstr>
      <vt:lpstr>'R13'!CenaPoJediniciMereUnos</vt:lpstr>
      <vt:lpstr>'R14'!CenaPoJediniciMereUnos</vt:lpstr>
      <vt:lpstr>'R15'!CenaPoJediniciMereUnos</vt:lpstr>
      <vt:lpstr>'R16'!CenaPoJediniciMereUnos</vt:lpstr>
      <vt:lpstr>'R17'!CenaPoJediniciMereUnos</vt:lpstr>
      <vt:lpstr>'R18'!CenaPoJediniciMereUnos</vt:lpstr>
      <vt:lpstr>'R19'!CenaPoJediniciMereUnos</vt:lpstr>
      <vt:lpstr>'R2'!CenaPoJediniciMereUnos</vt:lpstr>
      <vt:lpstr>'R20'!CenaPoJediniciMereUnos</vt:lpstr>
      <vt:lpstr>'R21'!CenaPoJediniciMereUnos</vt:lpstr>
      <vt:lpstr>'R22'!CenaPoJediniciMereUnos</vt:lpstr>
      <vt:lpstr>'R23'!CenaPoJediniciMereUnos</vt:lpstr>
      <vt:lpstr>'R24'!CenaPoJediniciMereUnos</vt:lpstr>
      <vt:lpstr>'R25'!CenaPoJediniciMereUnos</vt:lpstr>
      <vt:lpstr>'R26'!CenaPoJediniciMereUnos</vt:lpstr>
      <vt:lpstr>'R27'!CenaPoJediniciMereUnos</vt:lpstr>
      <vt:lpstr>'R28'!CenaPoJediniciMereUnos</vt:lpstr>
      <vt:lpstr>'R29'!CenaPoJediniciMereUnos</vt:lpstr>
      <vt:lpstr>'R3'!CenaPoJediniciMereUnos</vt:lpstr>
      <vt:lpstr>'R30'!CenaPoJediniciMereUnos</vt:lpstr>
      <vt:lpstr>'R31'!CenaPoJediniciMereUnos</vt:lpstr>
      <vt:lpstr>'R4'!CenaPoJediniciMereUnos</vt:lpstr>
      <vt:lpstr>'R5'!CenaPoJediniciMereUnos</vt:lpstr>
      <vt:lpstr>'R6'!CenaPoJediniciMereUnos</vt:lpstr>
      <vt:lpstr>'R7'!CenaPoJediniciMereUnos</vt:lpstr>
      <vt:lpstr>'R8'!CenaPoJediniciMereUnos</vt:lpstr>
      <vt:lpstr>'R9'!CenaPoJediniciMereUnos</vt:lpstr>
      <vt:lpstr>Datum</vt:lpstr>
      <vt:lpstr>EvidencioniBroj</vt:lpstr>
      <vt:lpstr>Investitor</vt:lpstr>
      <vt:lpstr>Mesto</vt:lpstr>
      <vt:lpstr>'R1'!Naslov</vt:lpstr>
      <vt:lpstr>'R10'!Naslov</vt:lpstr>
      <vt:lpstr>'R11'!Naslov</vt:lpstr>
      <vt:lpstr>'R12'!Naslov</vt:lpstr>
      <vt:lpstr>'R13'!Naslov</vt:lpstr>
      <vt:lpstr>'R14'!Naslov</vt:lpstr>
      <vt:lpstr>'R15'!Naslov</vt:lpstr>
      <vt:lpstr>'R16'!Naslov</vt:lpstr>
      <vt:lpstr>'R17'!Naslov</vt:lpstr>
      <vt:lpstr>'R18'!Naslov</vt:lpstr>
      <vt:lpstr>'R19'!Naslov</vt:lpstr>
      <vt:lpstr>'R2'!Naslov</vt:lpstr>
      <vt:lpstr>'R20'!Naslov</vt:lpstr>
      <vt:lpstr>'R21'!Naslov</vt:lpstr>
      <vt:lpstr>'R22'!Naslov</vt:lpstr>
      <vt:lpstr>'R23'!Naslov</vt:lpstr>
      <vt:lpstr>'R24'!Naslov</vt:lpstr>
      <vt:lpstr>'R25'!Naslov</vt:lpstr>
      <vt:lpstr>'R26'!Naslov</vt:lpstr>
      <vt:lpstr>'R27'!Naslov</vt:lpstr>
      <vt:lpstr>'R28'!Naslov</vt:lpstr>
      <vt:lpstr>'R29'!Naslov</vt:lpstr>
      <vt:lpstr>'R3'!Naslov</vt:lpstr>
      <vt:lpstr>'R30'!Naslov</vt:lpstr>
      <vt:lpstr>'R31'!Naslov</vt:lpstr>
      <vt:lpstr>'R4'!Naslov</vt:lpstr>
      <vt:lpstr>'R5'!Naslov</vt:lpstr>
      <vt:lpstr>'R6'!Naslov</vt:lpstr>
      <vt:lpstr>'R7'!Naslov</vt:lpstr>
      <vt:lpstr>'R8'!Naslov</vt:lpstr>
      <vt:lpstr>'R9'!Naslov</vt:lpstr>
      <vt:lpstr>Objekat</vt:lpstr>
      <vt:lpstr>OdgovorniProjektant</vt:lpstr>
      <vt:lpstr>OdgovorniProjektantSlika</vt:lpstr>
      <vt:lpstr>OdgovornoLice</vt:lpstr>
      <vt:lpstr>Pilot</vt:lpstr>
      <vt:lpstr>Index!Print_Area</vt:lpstr>
      <vt:lpstr>'Naslovna strana'!Print_Area</vt:lpstr>
      <vt:lpstr>'R1'!Print_Area</vt:lpstr>
      <vt:lpstr>'R10'!Print_Area</vt:lpstr>
      <vt:lpstr>'R11'!Print_Area</vt:lpstr>
      <vt:lpstr>'R12'!Print_Area</vt:lpstr>
      <vt:lpstr>'R13'!Print_Area</vt:lpstr>
      <vt:lpstr>'R14'!Print_Area</vt:lpstr>
      <vt:lpstr>'R15'!Print_Area</vt:lpstr>
      <vt:lpstr>'R16'!Print_Area</vt:lpstr>
      <vt:lpstr>'R17'!Print_Area</vt:lpstr>
      <vt:lpstr>'R18'!Print_Area</vt:lpstr>
      <vt:lpstr>'R19'!Print_Area</vt:lpstr>
      <vt:lpstr>'R2'!Print_Area</vt:lpstr>
      <vt:lpstr>'R20'!Print_Area</vt:lpstr>
      <vt:lpstr>'R21'!Print_Area</vt:lpstr>
      <vt:lpstr>'R22'!Print_Area</vt:lpstr>
      <vt:lpstr>'R23'!Print_Area</vt:lpstr>
      <vt:lpstr>'R24'!Print_Area</vt:lpstr>
      <vt:lpstr>'R25'!Print_Area</vt:lpstr>
      <vt:lpstr>'R26'!Print_Area</vt:lpstr>
      <vt:lpstr>'R27'!Print_Area</vt:lpstr>
      <vt:lpstr>'R28'!Print_Area</vt:lpstr>
      <vt:lpstr>'R29'!Print_Area</vt:lpstr>
      <vt:lpstr>'R3'!Print_Area</vt:lpstr>
      <vt:lpstr>'R30'!Print_Area</vt:lpstr>
      <vt:lpstr>'R31'!Print_Area</vt:lpstr>
      <vt:lpstr>'R4'!Print_Area</vt:lpstr>
      <vt:lpstr>'R5'!Print_Area</vt:lpstr>
      <vt:lpstr>'R6'!Print_Area</vt:lpstr>
      <vt:lpstr>'R7'!Print_Area</vt:lpstr>
      <vt:lpstr>'R8'!Print_Area</vt:lpstr>
      <vt:lpstr>'R9'!Print_Area</vt:lpstr>
      <vt:lpstr>Rekapitulacija!Print_Area</vt:lpstr>
      <vt:lpstr>Sadrzaj!Print_Area</vt:lpstr>
      <vt:lpstr>ProjektnaOrganizacija</vt:lpstr>
      <vt:lpstr>ProjektnaOrganizacijaSlika</vt:lpstr>
      <vt:lpstr>PutanjaBaze</vt:lpstr>
      <vt:lpstr>Radovi1</vt:lpstr>
      <vt:lpstr>Radovi10</vt:lpstr>
      <vt:lpstr>Radovi11</vt:lpstr>
      <vt:lpstr>Radovi12</vt:lpstr>
      <vt:lpstr>Radovi13</vt:lpstr>
      <vt:lpstr>Radovi14</vt:lpstr>
      <vt:lpstr>Radovi15</vt:lpstr>
      <vt:lpstr>Radovi16</vt:lpstr>
      <vt:lpstr>Radovi17</vt:lpstr>
      <vt:lpstr>Radovi18</vt:lpstr>
      <vt:lpstr>Radovi19</vt:lpstr>
      <vt:lpstr>Radovi2</vt:lpstr>
      <vt:lpstr>Radovi20</vt:lpstr>
      <vt:lpstr>Radovi21</vt:lpstr>
      <vt:lpstr>Radovi22</vt:lpstr>
      <vt:lpstr>Radovi23</vt:lpstr>
      <vt:lpstr>Radovi24</vt:lpstr>
      <vt:lpstr>Radovi25</vt:lpstr>
      <vt:lpstr>Radovi26</vt:lpstr>
      <vt:lpstr>Radovi27</vt:lpstr>
      <vt:lpstr>Radovi28</vt:lpstr>
      <vt:lpstr>Radovi29</vt:lpstr>
      <vt:lpstr>Radovi3</vt:lpstr>
      <vt:lpstr>Radovi30</vt:lpstr>
      <vt:lpstr>Radovi31</vt:lpstr>
      <vt:lpstr>Radovi4</vt:lpstr>
      <vt:lpstr>Radovi5</vt:lpstr>
      <vt:lpstr>Radovi6</vt:lpstr>
      <vt:lpstr>Radovi7</vt:lpstr>
      <vt:lpstr>Radovi8</vt:lpstr>
      <vt:lpstr>Radovi9</vt:lpstr>
      <vt:lpstr>SrednjaVrednostDinara</vt:lpstr>
      <vt:lpstr>Valuta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Masina</dc:creator>
  <cp:lastModifiedBy>Vuk Stojanovic</cp:lastModifiedBy>
  <cp:lastPrinted>2017-12-13T21:39:05Z</cp:lastPrinted>
  <dcterms:created xsi:type="dcterms:W3CDTF">2015-09-10T18:25:48Z</dcterms:created>
  <dcterms:modified xsi:type="dcterms:W3CDTF">2017-12-13T21:48:04Z</dcterms:modified>
</cp:coreProperties>
</file>