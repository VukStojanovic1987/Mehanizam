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vukst\Dropbox\STOING (DOO)\Programi\Klasika\Mehanizam\Mehanizam\Resources\"/>
    </mc:Choice>
  </mc:AlternateContent>
  <bookViews>
    <workbookView xWindow="120" yWindow="150" windowWidth="24975" windowHeight="12015"/>
  </bookViews>
  <sheets>
    <sheet name="Predracun" sheetId="20" r:id="rId1"/>
    <sheet name="Podesavanja" sheetId="21" r:id="rId2"/>
  </sheets>
  <definedNames>
    <definedName name="Broj" localSheetId="1">Podesavanja!$E$15</definedName>
    <definedName name="CenaPoJediniciMere" localSheetId="1">Podesavanja!$E$24</definedName>
    <definedName name="DatumIzdavanja" localSheetId="1">Podesavanja!$E$17</definedName>
    <definedName name="DatumPrometaUsluge" localSheetId="1">Podesavanja!$E$18</definedName>
    <definedName name="EvidencioniBroj" localSheetId="1">Podesavanja!$E$16</definedName>
    <definedName name="GranicaDodajBrisi" localSheetId="0">Predracun!$J$28</definedName>
    <definedName name="InformacijePutanjaBaze" localSheetId="1">Podesavanja!$E$7</definedName>
    <definedName name="Iznos" localSheetId="1">Podesavanja!$E$25</definedName>
    <definedName name="JedinicaMere" localSheetId="1">Podesavanja!$E$22</definedName>
    <definedName name="Kolicina" localSheetId="1">Podesavanja!$E$23</definedName>
    <definedName name="LozinkaZaPodesavanja" localSheetId="1">Podesavanja!$E$9</definedName>
    <definedName name="Mesto" localSheetId="1">Podesavanja!$E$19</definedName>
    <definedName name="NazivSlike" localSheetId="1">Podesavanja!#REF!</definedName>
    <definedName name="ObracunatPDV" localSheetId="1">Podesavanja!$E$28</definedName>
    <definedName name="PecatPotpis" localSheetId="0">Predracun!$D$35</definedName>
    <definedName name="_xlnm.Print_Area" localSheetId="0">Predracun!$D$7:$I$44</definedName>
    <definedName name="PutanjaPdfDatoteka" localSheetId="1">Podesavanja!$E$10</definedName>
    <definedName name="PutanjaPotpisaPecata" localSheetId="1">Podesavanja!$E$8</definedName>
    <definedName name="StopaPDV" localSheetId="1">Podesavanja!$E$27</definedName>
    <definedName name="UkupnoBezPDVa" localSheetId="1">Podesavanja!$E$26</definedName>
    <definedName name="UkupnoSaPDVom" localSheetId="1">Podesavanja!$E$29</definedName>
    <definedName name="Uplatilac" localSheetId="1">Podesavanja!$E$20</definedName>
    <definedName name="VrstaRobeUsluge" localSheetId="1">Podesavanja!$E$21</definedName>
    <definedName name="ZaUplatu" localSheetId="1">Podesavanja!$E$30</definedName>
    <definedName name="ZaUplatuSlovima" localSheetId="1">Podesavanja!$E$31</definedName>
  </definedNames>
  <calcPr calcId="162913"/>
</workbook>
</file>

<file path=xl/calcChain.xml><?xml version="1.0" encoding="utf-8"?>
<calcChain xmlns="http://schemas.openxmlformats.org/spreadsheetml/2006/main">
  <c r="D43" i="20" l="1"/>
  <c r="D41" i="20"/>
  <c r="D9" i="20"/>
  <c r="E25" i="21" l="1"/>
  <c r="I18" i="20" s="1"/>
  <c r="D39" i="20"/>
  <c r="D26" i="20"/>
  <c r="K26" i="20" s="1"/>
  <c r="H21" i="20"/>
  <c r="H18" i="20"/>
  <c r="G18" i="20"/>
  <c r="F18" i="20"/>
  <c r="E18" i="20"/>
  <c r="L18" i="20" s="1"/>
  <c r="D13" i="20"/>
  <c r="K13" i="20" s="1"/>
  <c r="E26" i="21" l="1"/>
  <c r="I20" i="20" l="1"/>
  <c r="E28" i="21"/>
  <c r="I21" i="20" s="1"/>
  <c r="E29" i="21" l="1"/>
  <c r="E30" i="21" s="1"/>
  <c r="D24" i="20" s="1"/>
  <c r="I22" i="20" l="1"/>
</calcChain>
</file>

<file path=xl/sharedStrings.xml><?xml version="1.0" encoding="utf-8"?>
<sst xmlns="http://schemas.openxmlformats.org/spreadsheetml/2006/main" count="67" uniqueCount="43">
  <si>
    <t>gr</t>
  </si>
  <si>
    <t>Uplatioc</t>
  </si>
  <si>
    <t>Vrsta robe ili usluge</t>
  </si>
  <si>
    <t>Količina</t>
  </si>
  <si>
    <t>Iznos</t>
  </si>
  <si>
    <t>Cena po
jedinici mere</t>
  </si>
  <si>
    <t>Redni
broj</t>
  </si>
  <si>
    <t>Jedinica
mere</t>
  </si>
  <si>
    <t>Ukupno bez PDV-a:</t>
  </si>
  <si>
    <t>Ukupno sa PDV-om:</t>
  </si>
  <si>
    <t>Za uplatu</t>
  </si>
  <si>
    <t>Za uplatu slovima</t>
  </si>
  <si>
    <t>Fakturisao</t>
  </si>
  <si>
    <t>Overava</t>
  </si>
  <si>
    <t>Mesto i datum izdavanja predračuna</t>
  </si>
  <si>
    <t>Datum prometa usluge</t>
  </si>
  <si>
    <t>Evidencioni broj</t>
  </si>
  <si>
    <t>PILOT</t>
  </si>
  <si>
    <t>Naziv</t>
  </si>
  <si>
    <t>Tip pdatka</t>
  </si>
  <si>
    <t>Vrednost</t>
  </si>
  <si>
    <t>String</t>
  </si>
  <si>
    <t>Broj</t>
  </si>
  <si>
    <t>Uplatilac</t>
  </si>
  <si>
    <t>VrstaRobeUsluge</t>
  </si>
  <si>
    <t>JedinicaMere</t>
  </si>
  <si>
    <t>Kolicina</t>
  </si>
  <si>
    <t>CenaPoJediniciMere</t>
  </si>
  <si>
    <t>UkupnoBezPDVa</t>
  </si>
  <si>
    <t>ObracunatPDV</t>
  </si>
  <si>
    <t>UkupnoSaPDVom</t>
  </si>
  <si>
    <t>ZaUplatu</t>
  </si>
  <si>
    <t>ZaUplatuSlovima</t>
  </si>
  <si>
    <t>EvidencioniBroj</t>
  </si>
  <si>
    <t>DatumPrometaUsluge</t>
  </si>
  <si>
    <t>StopaPDV</t>
  </si>
  <si>
    <t>PREDRAČUN</t>
  </si>
  <si>
    <t>Mesto</t>
  </si>
  <si>
    <t>DatumIzdavanja</t>
  </si>
  <si>
    <t>InformacijePutanjaBaze</t>
  </si>
  <si>
    <t>PutanjaPotpisaPecata</t>
  </si>
  <si>
    <t>LozinkaZaPodesavanja</t>
  </si>
  <si>
    <t>PutanjaPdfDatoteka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</si>
</sst>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3">
    <numFmt numFmtId="6" formatCode="#,##0\ &quot;RSD&quot;;[Red]\-#,##0\ &quot;RSD&quot;"/>
    <numFmt numFmtId="8" formatCode="#,##0.00\ &quot;RSD&quot;;[Red]\-#,##0.00\ &quot;RSD&quot;"/>
    <numFmt numFmtId="164" formatCode="#,##0.00\ &quot;RSD&quot;"/>
  </numFmts>
  <fonts count="12" x14ac:knownFonts="1">
    <font>
      <sz val="12"/>
      <color theme="1"/>
      <name val="Arial"/>
      <family val="2"/>
    </font>
    <font>
      <b/>
      <sz val="12"/>
      <color theme="1"/>
      <name val="Arial"/>
      <family val="2"/>
      <charset val="238"/>
    </font>
    <font>
      <i/>
      <sz val="8"/>
      <color rgb="FF808080"/>
      <name val="Arial"/>
      <family val="2"/>
      <charset val="238"/>
    </font>
    <font>
      <sz val="10"/>
      <color theme="1" tint="0.249977111117893"/>
      <name val="Arial"/>
      <family val="2"/>
      <charset val="238"/>
    </font>
    <font>
      <sz val="8"/>
      <color theme="1" tint="0.249977111117893"/>
      <name val="Forte"/>
      <family val="4"/>
    </font>
    <font>
      <b/>
      <i/>
      <sz val="8"/>
      <color theme="1" tint="0.499984740745262"/>
      <name val="Arial"/>
      <family val="2"/>
      <charset val="238"/>
    </font>
    <font>
      <sz val="12"/>
      <name val="Arial"/>
      <family val="2"/>
      <charset val="238"/>
    </font>
    <font>
      <b/>
      <sz val="12"/>
      <name val="Arial"/>
      <family val="2"/>
      <charset val="238"/>
    </font>
    <font>
      <sz val="12"/>
      <color theme="5" tint="-0.249977111117893"/>
      <name val="Arial"/>
      <family val="2"/>
    </font>
    <font>
      <b/>
      <sz val="10"/>
      <color theme="1" tint="0.249977111117893"/>
      <name val="Arial"/>
      <family val="2"/>
      <charset val="238"/>
    </font>
    <font>
      <sz val="8"/>
      <color theme="1" tint="0.24994659260841701"/>
      <name val="Arial"/>
      <family val="2"/>
      <charset val="238"/>
    </font>
    <font>
      <sz val="12"/>
      <color theme="0" tint="-0.24994659260841701"/>
      <name val="Arial"/>
      <family val="2"/>
    </font>
  </fonts>
  <fills count="9">
    <fill>
      <patternFill patternType="none"/>
    </fill>
    <fill>
      <patternFill patternType="gray125"/>
    </fill>
    <fill>
      <patternFill patternType="solid">
        <fgColor theme="1" tint="0.249977111117893"/>
        <bgColor indexed="64"/>
      </patternFill>
    </fill>
    <fill>
      <patternFill patternType="solid">
        <fgColor rgb="FFC0C0C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 tint="-0.24994659260841701"/>
        <bgColor indexed="64"/>
      </patternFill>
    </fill>
    <fill>
      <patternFill patternType="solid">
        <fgColor theme="1" tint="0.24994659260841701"/>
        <bgColor indexed="64"/>
      </patternFill>
    </fill>
    <fill>
      <patternFill patternType="solid">
        <fgColor theme="1" tint="0.499984740745262"/>
        <bgColor indexed="64"/>
      </patternFill>
    </fill>
  </fills>
  <borders count="9">
    <border>
      <left/>
      <right/>
      <top/>
      <bottom/>
      <diagonal/>
    </border>
    <border>
      <left/>
      <right/>
      <top/>
      <bottom style="thick">
        <color theme="0" tint="-0.249977111117893"/>
      </bottom>
      <diagonal/>
    </border>
    <border>
      <left/>
      <right/>
      <top/>
      <bottom style="thin">
        <color theme="1" tint="0.499984740745262"/>
      </bottom>
      <diagonal/>
    </border>
    <border>
      <left/>
      <right style="thin">
        <color theme="0"/>
      </right>
      <top/>
      <bottom/>
      <diagonal/>
    </border>
    <border>
      <left style="thin">
        <color theme="0"/>
      </left>
      <right style="thin">
        <color theme="0"/>
      </right>
      <top/>
      <bottom/>
      <diagonal/>
    </border>
    <border>
      <left style="thin">
        <color theme="0" tint="-0.24994659260841701"/>
      </left>
      <right/>
      <top/>
      <bottom/>
      <diagonal/>
    </border>
    <border>
      <left/>
      <right/>
      <top style="thin">
        <color theme="0" tint="-0.24994659260841701"/>
      </top>
      <bottom/>
      <diagonal/>
    </border>
    <border>
      <left style="thin">
        <color theme="0" tint="-0.24994659260841701"/>
      </left>
      <right/>
      <top style="thin">
        <color theme="0" tint="-0.24994659260841701"/>
      </top>
      <bottom/>
      <diagonal/>
    </border>
    <border>
      <left/>
      <right/>
      <top/>
      <bottom style="thick">
        <color theme="0" tint="-4.9989318521683403E-2"/>
      </bottom>
      <diagonal/>
    </border>
  </borders>
  <cellStyleXfs count="1">
    <xf numFmtId="0" fontId="0" fillId="0" borderId="0"/>
  </cellStyleXfs>
  <cellXfs count="63">
    <xf numFmtId="0" fontId="0" fillId="0" borderId="0" xfId="0"/>
    <xf numFmtId="0" fontId="0" fillId="2" borderId="0" xfId="0" applyFill="1"/>
    <xf numFmtId="0" fontId="0" fillId="2" borderId="1" xfId="0" applyFill="1" applyBorder="1"/>
    <xf numFmtId="0" fontId="0" fillId="3" borderId="0" xfId="0" applyFont="1" applyFill="1" applyAlignment="1">
      <alignment horizontal="justify"/>
    </xf>
    <xf numFmtId="0" fontId="0" fillId="0" borderId="0" xfId="0" applyFont="1" applyAlignment="1">
      <alignment horizontal="justify"/>
    </xf>
    <xf numFmtId="0" fontId="0" fillId="0" borderId="0" xfId="0" applyFont="1" applyFill="1" applyAlignment="1">
      <alignment horizontal="justify"/>
    </xf>
    <xf numFmtId="0" fontId="0" fillId="4" borderId="0" xfId="0" applyFill="1"/>
    <xf numFmtId="0" fontId="3" fillId="0" borderId="0" xfId="0" applyFont="1" applyAlignment="1">
      <alignment horizontal="right" vertical="center"/>
    </xf>
    <xf numFmtId="0" fontId="4" fillId="3" borderId="0" xfId="0" applyFont="1" applyFill="1" applyAlignment="1">
      <alignment horizontal="center" vertical="top"/>
    </xf>
    <xf numFmtId="0" fontId="2" fillId="0" borderId="2" xfId="0" applyFont="1" applyBorder="1" applyAlignment="1">
      <alignment horizontal="right"/>
    </xf>
    <xf numFmtId="0" fontId="2" fillId="0" borderId="2" xfId="0" applyFont="1" applyBorder="1" applyAlignment="1"/>
    <xf numFmtId="0" fontId="0" fillId="0" borderId="2" xfId="0" applyFont="1" applyBorder="1" applyAlignment="1">
      <alignment horizontal="justify"/>
    </xf>
    <xf numFmtId="0" fontId="5" fillId="0" borderId="0" xfId="0" applyFont="1" applyAlignment="1">
      <alignment horizontal="right"/>
    </xf>
    <xf numFmtId="0" fontId="0" fillId="0" borderId="0" xfId="0" applyFont="1" applyBorder="1" applyAlignment="1">
      <alignment horizontal="justify"/>
    </xf>
    <xf numFmtId="0" fontId="5" fillId="0" borderId="0" xfId="0" applyFont="1" applyBorder="1" applyAlignment="1">
      <alignment horizontal="right"/>
    </xf>
    <xf numFmtId="8" fontId="6" fillId="0" borderId="0" xfId="0" applyNumberFormat="1" applyFont="1" applyBorder="1" applyAlignment="1">
      <alignment horizontal="right" wrapText="1"/>
    </xf>
    <xf numFmtId="0" fontId="2" fillId="0" borderId="0" xfId="0" applyFont="1" applyBorder="1" applyAlignment="1">
      <alignment vertical="top"/>
    </xf>
    <xf numFmtId="0" fontId="2" fillId="5" borderId="0" xfId="0" applyFont="1" applyFill="1" applyBorder="1" applyAlignment="1">
      <alignment vertical="top"/>
    </xf>
    <xf numFmtId="0" fontId="0" fillId="5" borderId="0" xfId="0" applyFont="1" applyFill="1" applyBorder="1" applyAlignment="1">
      <alignment horizontal="justify"/>
    </xf>
    <xf numFmtId="0" fontId="6" fillId="0" borderId="2" xfId="0" applyFont="1" applyBorder="1" applyAlignment="1">
      <alignment horizontal="center" vertical="top" wrapText="1"/>
    </xf>
    <xf numFmtId="0" fontId="6" fillId="0" borderId="2" xfId="0" applyFont="1" applyBorder="1" applyAlignment="1">
      <alignment horizontal="justify" vertical="top"/>
    </xf>
    <xf numFmtId="0" fontId="6" fillId="0" borderId="2" xfId="0" applyFont="1" applyBorder="1" applyAlignment="1">
      <alignment horizontal="center" wrapText="1"/>
    </xf>
    <xf numFmtId="0" fontId="6" fillId="0" borderId="2" xfId="0" applyFont="1" applyBorder="1" applyAlignment="1">
      <alignment horizontal="center"/>
    </xf>
    <xf numFmtId="0" fontId="2" fillId="0" borderId="2" xfId="0" applyFont="1" applyBorder="1" applyAlignment="1">
      <alignment vertical="top"/>
    </xf>
    <xf numFmtId="0" fontId="2" fillId="5" borderId="0" xfId="0" applyFont="1" applyFill="1" applyBorder="1" applyAlignment="1">
      <alignment horizontal="right" vertical="center"/>
    </xf>
    <xf numFmtId="8" fontId="7" fillId="0" borderId="0" xfId="0" applyNumberFormat="1" applyFont="1" applyBorder="1" applyAlignment="1">
      <alignment horizontal="right" wrapText="1"/>
    </xf>
    <xf numFmtId="0" fontId="6" fillId="0" borderId="0" xfId="0" applyFont="1" applyFill="1" applyBorder="1" applyAlignment="1">
      <alignment horizontal="center" vertical="center" wrapText="1"/>
    </xf>
    <xf numFmtId="0" fontId="6" fillId="0" borderId="0" xfId="0" applyFont="1" applyFill="1" applyBorder="1" applyAlignment="1">
      <alignment horizontal="center" vertical="center"/>
    </xf>
    <xf numFmtId="0" fontId="6" fillId="0" borderId="0" xfId="0" applyFont="1" applyBorder="1" applyAlignment="1">
      <alignment horizontal="center" vertical="top" wrapText="1"/>
    </xf>
    <xf numFmtId="0" fontId="6" fillId="0" borderId="0" xfId="0" applyFont="1" applyBorder="1" applyAlignment="1">
      <alignment horizontal="justify" vertical="top"/>
    </xf>
    <xf numFmtId="0" fontId="6" fillId="0" borderId="0" xfId="0" applyFont="1" applyBorder="1" applyAlignment="1">
      <alignment horizontal="center" wrapText="1"/>
    </xf>
    <xf numFmtId="0" fontId="6" fillId="0" borderId="0" xfId="0" applyFont="1" applyBorder="1" applyAlignment="1">
      <alignment horizontal="center"/>
    </xf>
    <xf numFmtId="8" fontId="6" fillId="0" borderId="0" xfId="0" applyNumberFormat="1" applyFont="1" applyBorder="1" applyAlignment="1">
      <alignment horizontal="center" wrapText="1"/>
    </xf>
    <xf numFmtId="0" fontId="6" fillId="0" borderId="3" xfId="0" applyFont="1" applyFill="1" applyBorder="1" applyAlignment="1">
      <alignment horizontal="center" vertical="center" wrapText="1"/>
    </xf>
    <xf numFmtId="0" fontId="2" fillId="5" borderId="3" xfId="0" applyFont="1" applyFill="1" applyBorder="1" applyAlignment="1">
      <alignment horizontal="center" vertical="center" wrapText="1"/>
    </xf>
    <xf numFmtId="0" fontId="2" fillId="5" borderId="4" xfId="0" applyFont="1" applyFill="1" applyBorder="1" applyAlignment="1">
      <alignment horizontal="center" vertical="center"/>
    </xf>
    <xf numFmtId="0" fontId="2" fillId="5" borderId="4" xfId="0" applyFont="1" applyFill="1" applyBorder="1" applyAlignment="1">
      <alignment horizontal="center" vertical="center" wrapText="1"/>
    </xf>
    <xf numFmtId="0" fontId="0" fillId="4" borderId="0" xfId="0" applyFill="1" applyAlignment="1">
      <alignment horizontal="justify"/>
    </xf>
    <xf numFmtId="4" fontId="6" fillId="0" borderId="0" xfId="0" applyNumberFormat="1" applyFont="1" applyFill="1" applyBorder="1" applyAlignment="1">
      <alignment horizontal="center" vertical="center" wrapText="1"/>
    </xf>
    <xf numFmtId="4" fontId="6" fillId="0" borderId="0" xfId="0" applyNumberFormat="1" applyFont="1" applyFill="1" applyBorder="1" applyAlignment="1">
      <alignment horizontal="right" vertical="center"/>
    </xf>
    <xf numFmtId="0" fontId="0" fillId="0" borderId="0" xfId="0" applyFont="1" applyAlignment="1">
      <alignment horizontal="justify"/>
    </xf>
    <xf numFmtId="164" fontId="6" fillId="0" borderId="2" xfId="0" applyNumberFormat="1" applyFont="1" applyBorder="1" applyAlignment="1">
      <alignment horizontal="right" wrapText="1"/>
    </xf>
    <xf numFmtId="164" fontId="6" fillId="0" borderId="2" xfId="0" applyNumberFormat="1" applyFont="1" applyBorder="1" applyAlignment="1">
      <alignment horizontal="center" wrapText="1"/>
    </xf>
    <xf numFmtId="164" fontId="6" fillId="0" borderId="0" xfId="0" applyNumberFormat="1" applyFont="1" applyBorder="1" applyAlignment="1">
      <alignment horizontal="right" wrapText="1"/>
    </xf>
    <xf numFmtId="0" fontId="9" fillId="0" borderId="0" xfId="0" applyFont="1" applyAlignment="1">
      <alignment horizontal="left" vertical="center"/>
    </xf>
    <xf numFmtId="0" fontId="10" fillId="6" borderId="0" xfId="0" applyFont="1" applyFill="1" applyBorder="1" applyAlignment="1">
      <alignment horizontal="left" vertical="center"/>
    </xf>
    <xf numFmtId="0" fontId="10" fillId="6" borderId="5" xfId="0" applyFont="1" applyFill="1" applyBorder="1" applyAlignment="1">
      <alignment horizontal="left" vertical="center"/>
    </xf>
    <xf numFmtId="0" fontId="11" fillId="7" borderId="6" xfId="0" applyFont="1" applyFill="1" applyBorder="1"/>
    <xf numFmtId="0" fontId="11" fillId="7" borderId="7" xfId="0" applyFont="1" applyFill="1" applyBorder="1"/>
    <xf numFmtId="0" fontId="11" fillId="7" borderId="7" xfId="0" applyFont="1" applyFill="1" applyBorder="1" applyAlignment="1">
      <alignment horizontal="left"/>
    </xf>
    <xf numFmtId="0" fontId="0" fillId="8" borderId="0" xfId="0" applyFill="1"/>
    <xf numFmtId="0" fontId="0" fillId="8" borderId="8" xfId="0" applyFill="1" applyBorder="1"/>
    <xf numFmtId="0" fontId="0" fillId="8" borderId="0" xfId="0" applyFont="1" applyFill="1" applyAlignment="1">
      <alignment horizontal="justify"/>
    </xf>
    <xf numFmtId="0" fontId="0" fillId="4" borderId="0" xfId="0" applyFont="1" applyFill="1" applyAlignment="1">
      <alignment horizontal="justify"/>
    </xf>
    <xf numFmtId="0" fontId="0" fillId="5" borderId="0" xfId="0" applyFont="1" applyFill="1" applyAlignment="1">
      <alignment horizontal="justify"/>
    </xf>
    <xf numFmtId="6" fontId="0" fillId="4" borderId="0" xfId="0" applyNumberFormat="1" applyFill="1" applyAlignment="1">
      <alignment horizontal="justify"/>
    </xf>
    <xf numFmtId="0" fontId="2" fillId="0" borderId="0" xfId="0" applyFont="1" applyAlignment="1">
      <alignment horizontal="left" vertical="top"/>
    </xf>
    <xf numFmtId="0" fontId="0" fillId="0" borderId="0" xfId="0" applyFont="1" applyFill="1" applyAlignment="1">
      <alignment horizontal="left"/>
    </xf>
    <xf numFmtId="0" fontId="1" fillId="0" borderId="0" xfId="0" applyFont="1" applyAlignment="1">
      <alignment horizontal="center"/>
    </xf>
    <xf numFmtId="164" fontId="8" fillId="5" borderId="0" xfId="0" applyNumberFormat="1" applyFont="1" applyFill="1" applyBorder="1" applyAlignment="1">
      <alignment horizontal="justify"/>
    </xf>
    <xf numFmtId="6" fontId="8" fillId="5" borderId="0" xfId="0" applyNumberFormat="1" applyFont="1" applyFill="1" applyBorder="1" applyAlignment="1">
      <alignment horizontal="justify"/>
    </xf>
    <xf numFmtId="0" fontId="8" fillId="5" borderId="0" xfId="0" applyFont="1" applyFill="1" applyBorder="1" applyAlignment="1">
      <alignment horizontal="justify"/>
    </xf>
    <xf numFmtId="0" fontId="0" fillId="0" borderId="0" xfId="0" applyFont="1" applyAlignment="1">
      <alignment horizontal="justify"/>
    </xf>
  </cellXfs>
  <cellStyles count="1">
    <cellStyle name="Normal" xfId="0" builtinId="0"/>
  </cellStyles>
  <dxfs count="2">
    <dxf>
      <font>
        <b val="0"/>
        <i val="0"/>
        <color theme="1" tint="0.24994659260841701"/>
      </font>
      <fill>
        <patternFill>
          <bgColor theme="0" tint="-0.24994659260841701"/>
        </patternFill>
      </fill>
    </dxf>
    <dxf>
      <font>
        <color theme="0" tint="-0.24994659260841701"/>
      </font>
      <fill>
        <patternFill>
          <bgColor theme="1" tint="0.24994659260841701"/>
        </patternFill>
      </fill>
      <border>
        <vertical style="thin">
          <color theme="0" tint="-0.24994659260841701"/>
        </vertical>
        <horizontal style="thin">
          <color theme="0" tint="-0.24994659260841701"/>
        </horizontal>
      </border>
    </dxf>
  </dxfs>
  <tableStyles count="1" defaultTableStyle="TableStyleMedium9" defaultPivotStyle="PivotStyleLight16">
    <tableStyle name="Mehanizam2" pivot="0" count="2">
      <tableStyleElement type="wholeTable" dxfId="1"/>
      <tableStyleElement type="headerRow" dxfId="0"/>
    </tableStyle>
  </tableStyles>
  <colors>
    <mruColors>
      <color rgb="FF9C0006"/>
      <color rgb="FF9C6500"/>
      <color rgb="FFC0C0C0"/>
      <color rgb="FF0061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image" Target="../media/image2.png"/><Relationship Id="rId1" Type="http://schemas.openxmlformats.org/officeDocument/2006/relationships/image" Target="../media/image1.png"/><Relationship Id="rId6" Type="http://schemas.openxmlformats.org/officeDocument/2006/relationships/image" Target="../media/image6.png"/><Relationship Id="rId5" Type="http://schemas.openxmlformats.org/officeDocument/2006/relationships/image" Target="../media/image5.png"/><Relationship Id="rId4" Type="http://schemas.openxmlformats.org/officeDocument/2006/relationships/image" Target="../media/image4.png"/></Relationships>
</file>

<file path=xl/drawings/_rels/vmlDrawing1.vml.rels><?xml version="1.0" encoding="UTF-8" standalone="yes"?>
<Relationships xmlns="http://schemas.openxmlformats.org/package/2006/relationships"><Relationship Id="rId2" Type="http://schemas.openxmlformats.org/officeDocument/2006/relationships/image" Target="../media/image8.png"/><Relationship Id="rId1" Type="http://schemas.openxmlformats.org/officeDocument/2006/relationships/image" Target="../media/image7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0</xdr:colOff>
      <xdr:row>44</xdr:row>
      <xdr:rowOff>0</xdr:rowOff>
    </xdr:from>
    <xdr:to>
      <xdr:col>10</xdr:col>
      <xdr:colOff>0</xdr:colOff>
      <xdr:row>45</xdr:row>
      <xdr:rowOff>1</xdr:rowOff>
    </xdr:to>
    <xdr:sp macro="[0]!DodajRed" textlink="">
      <xdr:nvSpPr>
        <xdr:cNvPr id="4" name="shpDodajRed"/>
        <xdr:cNvSpPr/>
      </xdr:nvSpPr>
      <xdr:spPr>
        <a:xfrm flipH="1">
          <a:off x="7245569" y="8224345"/>
          <a:ext cx="190500" cy="190501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sr-Latn-RS" sz="1200">
              <a:solidFill>
                <a:schemeClr val="bg1">
                  <a:lumMod val="75000"/>
                </a:schemeClr>
              </a:solidFill>
              <a:latin typeface="Arial" panose="020B0604020202020204" pitchFamily="34" charset="0"/>
              <a:cs typeface="Arial" panose="020B0604020202020204" pitchFamily="34" charset="0"/>
            </a:rPr>
            <a:t>+</a:t>
          </a:r>
        </a:p>
      </xdr:txBody>
    </xdr:sp>
    <xdr:clientData/>
  </xdr:twoCellAnchor>
  <xdr:twoCellAnchor>
    <xdr:from>
      <xdr:col>2</xdr:col>
      <xdr:colOff>0</xdr:colOff>
      <xdr:row>44</xdr:row>
      <xdr:rowOff>0</xdr:rowOff>
    </xdr:from>
    <xdr:to>
      <xdr:col>3</xdr:col>
      <xdr:colOff>0</xdr:colOff>
      <xdr:row>45</xdr:row>
      <xdr:rowOff>0</xdr:rowOff>
    </xdr:to>
    <xdr:sp macro="[0]!ObrisiRed" textlink="">
      <xdr:nvSpPr>
        <xdr:cNvPr id="5" name="shpObrisiRed"/>
        <xdr:cNvSpPr/>
      </xdr:nvSpPr>
      <xdr:spPr>
        <a:xfrm flipH="1">
          <a:off x="190500" y="8224345"/>
          <a:ext cx="190500" cy="19050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t"/>
        <a:lstStyle/>
        <a:p>
          <a:pPr algn="ctr"/>
          <a:r>
            <a:rPr lang="sr-Latn-RS" sz="1200">
              <a:solidFill>
                <a:schemeClr val="bg1">
                  <a:lumMod val="75000"/>
                </a:schemeClr>
              </a:solidFill>
              <a:latin typeface="Arial" panose="020B0604020202020204" pitchFamily="34" charset="0"/>
              <a:cs typeface="Arial" panose="020B0604020202020204" pitchFamily="34" charset="0"/>
            </a:rPr>
            <a:t>-</a:t>
          </a:r>
        </a:p>
      </xdr:txBody>
    </xdr:sp>
    <xdr:clientData/>
  </xdr:twoCellAnchor>
  <xdr:twoCellAnchor>
    <xdr:from>
      <xdr:col>0</xdr:col>
      <xdr:colOff>0</xdr:colOff>
      <xdr:row>0</xdr:row>
      <xdr:rowOff>0</xdr:rowOff>
    </xdr:from>
    <xdr:to>
      <xdr:col>2</xdr:col>
      <xdr:colOff>0</xdr:colOff>
      <xdr:row>1</xdr:row>
      <xdr:rowOff>190500</xdr:rowOff>
    </xdr:to>
    <xdr:sp macro="" textlink="">
      <xdr:nvSpPr>
        <xdr:cNvPr id="8" name="Logo"/>
        <xdr:cNvSpPr/>
      </xdr:nvSpPr>
      <xdr:spPr>
        <a:xfrm>
          <a:off x="0" y="0"/>
          <a:ext cx="381000" cy="38100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sr-Latn-RS" sz="2400">
              <a:solidFill>
                <a:schemeClr val="bg1">
                  <a:lumMod val="75000"/>
                </a:schemeClr>
              </a:solidFill>
              <a:latin typeface="Stoing, symbol" panose="020B0603050302020204" pitchFamily="34" charset="2"/>
            </a:rPr>
            <a:t>;</a:t>
          </a:r>
        </a:p>
      </xdr:txBody>
    </xdr:sp>
    <xdr:clientData/>
  </xdr:twoCellAnchor>
  <xdr:twoCellAnchor editAs="oneCell">
    <xdr:from>
      <xdr:col>9</xdr:col>
      <xdr:colOff>19050</xdr:colOff>
      <xdr:row>4</xdr:row>
      <xdr:rowOff>19050</xdr:rowOff>
    </xdr:from>
    <xdr:to>
      <xdr:col>9</xdr:col>
      <xdr:colOff>171471</xdr:colOff>
      <xdr:row>4</xdr:row>
      <xdr:rowOff>171471</xdr:rowOff>
    </xdr:to>
    <xdr:pic>
      <xdr:nvPicPr>
        <xdr:cNvPr id="10" name="btnPodesavanje"/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162800" y="800100"/>
          <a:ext cx="152421" cy="152421"/>
        </a:xfrm>
        <a:prstGeom prst="rect">
          <a:avLst/>
        </a:prstGeom>
      </xdr:spPr>
    </xdr:pic>
    <xdr:clientData/>
  </xdr:twoCellAnchor>
  <xdr:twoCellAnchor editAs="oneCell">
    <xdr:from>
      <xdr:col>3</xdr:col>
      <xdr:colOff>342900</xdr:colOff>
      <xdr:row>4</xdr:row>
      <xdr:rowOff>19050</xdr:rowOff>
    </xdr:from>
    <xdr:to>
      <xdr:col>4</xdr:col>
      <xdr:colOff>85746</xdr:colOff>
      <xdr:row>4</xdr:row>
      <xdr:rowOff>171471</xdr:rowOff>
    </xdr:to>
    <xdr:pic macro="[0]!Stampanje">
      <xdr:nvPicPr>
        <xdr:cNvPr id="12" name="btnStampa"/>
        <xdr:cNvPicPr>
          <a:picLocks noChangeAspect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14400" y="800100"/>
          <a:ext cx="152421" cy="152421"/>
        </a:xfrm>
        <a:prstGeom prst="rect">
          <a:avLst/>
        </a:prstGeom>
      </xdr:spPr>
    </xdr:pic>
    <xdr:clientData/>
  </xdr:twoCellAnchor>
  <xdr:twoCellAnchor editAs="oneCell">
    <xdr:from>
      <xdr:col>2</xdr:col>
      <xdr:colOff>28575</xdr:colOff>
      <xdr:row>4</xdr:row>
      <xdr:rowOff>28575</xdr:rowOff>
    </xdr:from>
    <xdr:to>
      <xdr:col>2</xdr:col>
      <xdr:colOff>180956</xdr:colOff>
      <xdr:row>4</xdr:row>
      <xdr:rowOff>180956</xdr:rowOff>
    </xdr:to>
    <xdr:pic macro="[0]!frmUrediPrikazi">
      <xdr:nvPicPr>
        <xdr:cNvPr id="13" name="btnUredi"/>
        <xdr:cNvPicPr>
          <a:picLocks noChangeAspect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09575" y="809625"/>
          <a:ext cx="152381" cy="152381"/>
        </a:xfrm>
        <a:prstGeom prst="rect">
          <a:avLst/>
        </a:prstGeom>
      </xdr:spPr>
    </xdr:pic>
    <xdr:clientData/>
  </xdr:twoCellAnchor>
  <xdr:twoCellAnchor editAs="oneCell">
    <xdr:from>
      <xdr:col>3</xdr:col>
      <xdr:colOff>85725</xdr:colOff>
      <xdr:row>4</xdr:row>
      <xdr:rowOff>28575</xdr:rowOff>
    </xdr:from>
    <xdr:to>
      <xdr:col>3</xdr:col>
      <xdr:colOff>238106</xdr:colOff>
      <xdr:row>4</xdr:row>
      <xdr:rowOff>180956</xdr:rowOff>
    </xdr:to>
    <xdr:pic macro="[0]!frmSlikaPrikazi">
      <xdr:nvPicPr>
        <xdr:cNvPr id="2" name="btnSlika"/>
        <xdr:cNvPicPr>
          <a:picLocks noChangeAspect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57225" y="809625"/>
          <a:ext cx="152381" cy="152381"/>
        </a:xfrm>
        <a:prstGeom prst="rect">
          <a:avLst/>
        </a:prstGeom>
      </xdr:spPr>
    </xdr:pic>
    <xdr:clientData/>
  </xdr:twoCellAnchor>
  <xdr:twoCellAnchor>
    <xdr:from>
      <xdr:col>3</xdr:col>
      <xdr:colOff>133350</xdr:colOff>
      <xdr:row>29</xdr:row>
      <xdr:rowOff>0</xdr:rowOff>
    </xdr:from>
    <xdr:to>
      <xdr:col>4</xdr:col>
      <xdr:colOff>1526368</xdr:colOff>
      <xdr:row>36</xdr:row>
      <xdr:rowOff>163012</xdr:rowOff>
    </xdr:to>
    <xdr:grpSp>
      <xdr:nvGrpSpPr>
        <xdr:cNvPr id="9" name="Group 8">
          <a:extLst>
            <a:ext uri="{FF2B5EF4-FFF2-40B4-BE49-F238E27FC236}">
              <a16:creationId xmlns:a16="http://schemas.microsoft.com/office/drawing/2014/main" id="{00000000-0008-0000-0000-000012000000}"/>
            </a:ext>
          </a:extLst>
        </xdr:cNvPr>
        <xdr:cNvGrpSpPr/>
      </xdr:nvGrpSpPr>
      <xdr:grpSpPr>
        <a:xfrm>
          <a:off x="704850" y="5657850"/>
          <a:ext cx="1802593" cy="1496512"/>
          <a:chOff x="5000232" y="3018338"/>
          <a:chExt cx="1802593" cy="1496512"/>
        </a:xfrm>
      </xdr:grpSpPr>
      <xdr:pic>
        <xdr:nvPicPr>
          <xdr:cNvPr id="11" name="Picture 10" descr="stoing, klasičan.png">
            <a:extLst>
              <a:ext uri="{FF2B5EF4-FFF2-40B4-BE49-F238E27FC236}">
                <a16:creationId xmlns:a16="http://schemas.microsoft.com/office/drawing/2014/main" id="{00000000-0008-0000-0000-000005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5" cstate="print"/>
          <a:stretch>
            <a:fillRect/>
          </a:stretch>
        </xdr:blipFill>
        <xdr:spPr>
          <a:xfrm>
            <a:off x="5000232" y="3018338"/>
            <a:ext cx="1802593" cy="1088024"/>
          </a:xfrm>
          <a:prstGeom prst="rect">
            <a:avLst/>
          </a:prstGeom>
        </xdr:spPr>
      </xdr:pic>
      <xdr:pic>
        <xdr:nvPicPr>
          <xdr:cNvPr id="14" name="Picture 13" descr="Moj potpis.png">
            <a:extLst>
              <a:ext uri="{FF2B5EF4-FFF2-40B4-BE49-F238E27FC236}">
                <a16:creationId xmlns:a16="http://schemas.microsoft.com/office/drawing/2014/main" id="{00000000-0008-0000-0000-000007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6" cstate="print"/>
          <a:stretch>
            <a:fillRect/>
          </a:stretch>
        </xdr:blipFill>
        <xdr:spPr>
          <a:xfrm>
            <a:off x="5421194" y="3504901"/>
            <a:ext cx="808269" cy="1009949"/>
          </a:xfrm>
          <a:prstGeom prst="rect">
            <a:avLst/>
          </a:prstGeom>
        </xdr:spPr>
      </xdr:pic>
    </xdr:grp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2</xdr:col>
      <xdr:colOff>0</xdr:colOff>
      <xdr:row>1</xdr:row>
      <xdr:rowOff>190500</xdr:rowOff>
    </xdr:to>
    <xdr:sp macro="" textlink="">
      <xdr:nvSpPr>
        <xdr:cNvPr id="2" name="Logo"/>
        <xdr:cNvSpPr/>
      </xdr:nvSpPr>
      <xdr:spPr>
        <a:xfrm>
          <a:off x="0" y="0"/>
          <a:ext cx="381000" cy="38100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sr-Latn-RS" sz="2400">
              <a:solidFill>
                <a:schemeClr val="bg1">
                  <a:lumMod val="75000"/>
                </a:schemeClr>
              </a:solidFill>
              <a:latin typeface="Stoing, symbol" panose="020B0603050302020204" pitchFamily="34" charset="2"/>
            </a:rPr>
            <a:t>;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C1:L210"/>
  <sheetViews>
    <sheetView showGridLines="0" showRowColHeaders="0" tabSelected="1" zoomScaleNormal="100" workbookViewId="0">
      <selection activeCell="F31" sqref="F31"/>
    </sheetView>
  </sheetViews>
  <sheetFormatPr defaultRowHeight="15" x14ac:dyDescent="0.2"/>
  <cols>
    <col min="1" max="3" width="2.21875" customWidth="1"/>
    <col min="4" max="4" width="4.77734375" customWidth="1"/>
    <col min="5" max="5" width="26.77734375" customWidth="1"/>
    <col min="6" max="7" width="5.77734375" customWidth="1"/>
    <col min="8" max="9" width="16.77734375" customWidth="1"/>
    <col min="10" max="10" width="2.21875" customWidth="1"/>
    <col min="11" max="11" width="66.77734375" hidden="1" customWidth="1"/>
    <col min="12" max="12" width="26.77734375" hidden="1" customWidth="1"/>
    <col min="13" max="196" width="2.21875" customWidth="1"/>
  </cols>
  <sheetData>
    <row r="1" spans="3:11" s="50" customFormat="1" x14ac:dyDescent="0.2"/>
    <row r="2" spans="3:11" s="51" customFormat="1" ht="15.75" thickBot="1" x14ac:dyDescent="0.25"/>
    <row r="3" spans="3:11" ht="15.75" thickTop="1" x14ac:dyDescent="0.2"/>
    <row r="5" spans="3:11" x14ac:dyDescent="0.2">
      <c r="C5" s="54"/>
      <c r="D5" s="54"/>
      <c r="E5" s="54"/>
      <c r="F5" s="54"/>
      <c r="G5" s="54"/>
      <c r="H5" s="54"/>
      <c r="I5" s="54"/>
      <c r="J5" s="54"/>
    </row>
    <row r="6" spans="3:11" x14ac:dyDescent="0.2">
      <c r="C6" s="3"/>
      <c r="D6" s="53"/>
      <c r="E6" s="53"/>
      <c r="F6" s="53"/>
      <c r="G6" s="53"/>
      <c r="H6" s="53"/>
      <c r="I6" s="53"/>
      <c r="J6" s="3"/>
    </row>
    <row r="7" spans="3:11" x14ac:dyDescent="0.2">
      <c r="C7" s="3"/>
      <c r="D7" s="4"/>
      <c r="E7" s="4"/>
      <c r="F7" s="4"/>
      <c r="G7" s="4"/>
      <c r="H7" s="4"/>
      <c r="I7" s="4"/>
      <c r="J7" s="3"/>
    </row>
    <row r="8" spans="3:11" x14ac:dyDescent="0.2">
      <c r="C8" s="3"/>
      <c r="D8" s="4"/>
      <c r="E8" s="4"/>
      <c r="F8" s="4"/>
      <c r="G8" s="4"/>
      <c r="H8" s="4"/>
      <c r="I8" s="4"/>
      <c r="J8" s="3"/>
    </row>
    <row r="9" spans="3:11" ht="15.75" x14ac:dyDescent="0.25">
      <c r="C9" s="3"/>
      <c r="D9" s="58" t="str">
        <f>IF(Podesavanja!Broj="","...","PREDRAČUN N° " &amp; Podesavanja!Broj)</f>
        <v>...</v>
      </c>
      <c r="E9" s="58"/>
      <c r="F9" s="58"/>
      <c r="G9" s="58"/>
      <c r="H9" s="58"/>
      <c r="I9" s="58"/>
      <c r="J9" s="3"/>
    </row>
    <row r="10" spans="3:11" x14ac:dyDescent="0.2">
      <c r="C10" s="3"/>
      <c r="D10" s="4"/>
      <c r="E10" s="4"/>
      <c r="F10" s="4"/>
      <c r="G10" s="4"/>
      <c r="H10" s="4"/>
      <c r="I10" s="4"/>
      <c r="J10" s="3"/>
    </row>
    <row r="11" spans="3:11" x14ac:dyDescent="0.2">
      <c r="C11" s="3"/>
      <c r="D11" s="4"/>
      <c r="E11" s="4"/>
      <c r="F11" s="4"/>
      <c r="G11" s="4"/>
      <c r="H11" s="4"/>
      <c r="I11" s="4"/>
      <c r="J11" s="3"/>
    </row>
    <row r="12" spans="3:11" x14ac:dyDescent="0.2">
      <c r="C12" s="3"/>
      <c r="D12" s="11"/>
      <c r="E12" s="11"/>
      <c r="F12" s="11"/>
      <c r="G12" s="11"/>
      <c r="H12" s="11"/>
      <c r="I12" s="11"/>
      <c r="J12" s="3"/>
    </row>
    <row r="13" spans="3:11" x14ac:dyDescent="0.2">
      <c r="C13" s="3"/>
      <c r="D13" s="62" t="str">
        <f>IF(Podesavanja!Uplatilac="","...",Podesavanja!Uplatilac)</f>
        <v>...</v>
      </c>
      <c r="E13" s="62"/>
      <c r="F13" s="62"/>
      <c r="G13" s="62"/>
      <c r="H13" s="62"/>
      <c r="I13" s="62"/>
      <c r="J13" s="3"/>
      <c r="K13" s="37" t="str">
        <f>D13</f>
        <v>...</v>
      </c>
    </row>
    <row r="14" spans="3:11" x14ac:dyDescent="0.2">
      <c r="C14" s="3"/>
      <c r="D14" s="23" t="s">
        <v>1</v>
      </c>
      <c r="E14" s="11"/>
      <c r="F14" s="11"/>
      <c r="G14" s="11"/>
      <c r="H14" s="11"/>
      <c r="I14" s="11"/>
      <c r="J14" s="3"/>
    </row>
    <row r="15" spans="3:11" x14ac:dyDescent="0.2">
      <c r="C15" s="3"/>
      <c r="D15" s="16"/>
      <c r="E15" s="13"/>
      <c r="F15" s="13"/>
      <c r="G15" s="13"/>
      <c r="H15" s="13"/>
      <c r="I15" s="13"/>
      <c r="J15" s="3"/>
    </row>
    <row r="16" spans="3:11" ht="22.5" x14ac:dyDescent="0.2">
      <c r="C16" s="3"/>
      <c r="D16" s="34" t="s">
        <v>6</v>
      </c>
      <c r="E16" s="35" t="s">
        <v>2</v>
      </c>
      <c r="F16" s="36" t="s">
        <v>7</v>
      </c>
      <c r="G16" s="35" t="s">
        <v>3</v>
      </c>
      <c r="H16" s="36" t="s">
        <v>5</v>
      </c>
      <c r="I16" s="24" t="s">
        <v>4</v>
      </c>
      <c r="J16" s="3"/>
    </row>
    <row r="17" spans="3:12" x14ac:dyDescent="0.2">
      <c r="C17" s="3"/>
      <c r="D17" s="33"/>
      <c r="E17" s="27"/>
      <c r="F17" s="26"/>
      <c r="G17" s="27"/>
      <c r="H17" s="38"/>
      <c r="I17" s="39"/>
      <c r="J17" s="3"/>
    </row>
    <row r="18" spans="3:12" x14ac:dyDescent="0.2">
      <c r="C18" s="3"/>
      <c r="D18" s="19">
        <v>1</v>
      </c>
      <c r="E18" s="20" t="str">
        <f>IF(Podesavanja!VrstaRobeUsluge="","...",Podesavanja!VrstaRobeUsluge)</f>
        <v>...</v>
      </c>
      <c r="F18" s="21" t="str">
        <f>IF(Podesavanja!JedinicaMere="","...",Podesavanja!JedinicaMere)</f>
        <v>...</v>
      </c>
      <c r="G18" s="22" t="str">
        <f>IF(Podesavanja!Kolicina="","...",Podesavanja!Kolicina)</f>
        <v>...</v>
      </c>
      <c r="H18" s="42" t="str">
        <f>IF(Podesavanja!CenaPoJediniciMere="","...",Podesavanja!CenaPoJediniciMere)</f>
        <v>...</v>
      </c>
      <c r="I18" s="41" t="str">
        <f>IF(Podesavanja!Iznos=0,"...",Podesavanja!Iznos)</f>
        <v>...</v>
      </c>
      <c r="J18" s="3"/>
      <c r="L18" s="37" t="str">
        <f>E18</f>
        <v>...</v>
      </c>
    </row>
    <row r="19" spans="3:12" x14ac:dyDescent="0.2">
      <c r="C19" s="3"/>
      <c r="D19" s="28"/>
      <c r="E19" s="29"/>
      <c r="F19" s="30"/>
      <c r="G19" s="31"/>
      <c r="H19" s="32"/>
      <c r="I19" s="15"/>
      <c r="J19" s="3"/>
    </row>
    <row r="20" spans="3:12" x14ac:dyDescent="0.2">
      <c r="C20" s="3"/>
      <c r="D20" s="4"/>
      <c r="E20" s="4"/>
      <c r="F20" s="4"/>
      <c r="G20" s="4"/>
      <c r="H20" s="12" t="s">
        <v>8</v>
      </c>
      <c r="I20" s="43" t="str">
        <f>IF(Podesavanja!UkupnoBezPDVa=0,"...",Podesavanja!UkupnoBezPDVa)</f>
        <v>...</v>
      </c>
      <c r="J20" s="3"/>
    </row>
    <row r="21" spans="3:12" x14ac:dyDescent="0.2">
      <c r="C21" s="3"/>
      <c r="D21" s="4"/>
      <c r="E21" s="4"/>
      <c r="F21" s="4"/>
      <c r="G21" s="4"/>
      <c r="H21" s="12" t="str">
        <f>IF(Podesavanja!StopaPDV="","...","Obračunat PDV po stopi od " &amp; Podesavanja!StopaPDV &amp; "% na osnovicu:")</f>
        <v>...</v>
      </c>
      <c r="I21" s="43" t="str">
        <f>IF(Podesavanja!ObracunatPDV=0,"...",Podesavanja!ObracunatPDV)</f>
        <v>...</v>
      </c>
      <c r="J21" s="3"/>
    </row>
    <row r="22" spans="3:12" x14ac:dyDescent="0.2">
      <c r="C22" s="3"/>
      <c r="D22" s="40"/>
      <c r="E22" s="40"/>
      <c r="F22" s="40"/>
      <c r="G22" s="40"/>
      <c r="H22" s="12" t="s">
        <v>9</v>
      </c>
      <c r="I22" s="43" t="str">
        <f>IF(Podesavanja!UkupnoSaPDVom=0,"...",Podesavanja!UkupnoSaPDVom)</f>
        <v>...</v>
      </c>
      <c r="J22" s="3"/>
    </row>
    <row r="23" spans="3:12" ht="15.75" x14ac:dyDescent="0.25">
      <c r="C23" s="3"/>
      <c r="D23" s="13"/>
      <c r="E23" s="13"/>
      <c r="F23" s="13"/>
      <c r="G23" s="13"/>
      <c r="H23" s="14"/>
      <c r="I23" s="25"/>
      <c r="J23" s="3"/>
    </row>
    <row r="24" spans="3:12" x14ac:dyDescent="0.2">
      <c r="C24" s="3"/>
      <c r="D24" s="59" t="str">
        <f>IF(Podesavanja!ZaUplatu=0,"...",Podesavanja!ZaUplatu)</f>
        <v>...</v>
      </c>
      <c r="E24" s="59"/>
      <c r="F24" s="59"/>
      <c r="G24" s="59"/>
      <c r="H24" s="59"/>
      <c r="I24" s="59"/>
      <c r="J24" s="3"/>
    </row>
    <row r="25" spans="3:12" x14ac:dyDescent="0.2">
      <c r="C25" s="3"/>
      <c r="D25" s="17" t="s">
        <v>10</v>
      </c>
      <c r="E25" s="18"/>
      <c r="F25" s="18"/>
      <c r="G25" s="18"/>
      <c r="H25" s="18"/>
      <c r="I25" s="18"/>
      <c r="J25" s="3"/>
    </row>
    <row r="26" spans="3:12" x14ac:dyDescent="0.2">
      <c r="C26" s="3"/>
      <c r="D26" s="60" t="str">
        <f>IF(Podesavanja!ZaUplatuSlovima="","...",Podesavanja!ZaUplatuSlovima)</f>
        <v>...</v>
      </c>
      <c r="E26" s="61"/>
      <c r="F26" s="61"/>
      <c r="G26" s="61"/>
      <c r="H26" s="61"/>
      <c r="I26" s="61"/>
      <c r="J26" s="3"/>
      <c r="K26" s="55" t="str">
        <f>D26</f>
        <v>...</v>
      </c>
    </row>
    <row r="27" spans="3:12" x14ac:dyDescent="0.2">
      <c r="C27" s="3"/>
      <c r="D27" s="17" t="s">
        <v>11</v>
      </c>
      <c r="E27" s="18"/>
      <c r="F27" s="18"/>
      <c r="G27" s="18"/>
      <c r="H27" s="18"/>
      <c r="I27" s="18"/>
      <c r="J27" s="3"/>
    </row>
    <row r="28" spans="3:12" x14ac:dyDescent="0.2">
      <c r="C28" s="3"/>
      <c r="D28" s="4"/>
      <c r="E28" s="4"/>
      <c r="F28" s="4"/>
      <c r="G28" s="4"/>
      <c r="H28" s="4"/>
      <c r="I28" s="4"/>
      <c r="J28" s="3"/>
    </row>
    <row r="29" spans="3:12" x14ac:dyDescent="0.2">
      <c r="C29" s="3"/>
      <c r="D29" s="40"/>
      <c r="E29" s="40"/>
      <c r="F29" s="40"/>
      <c r="G29" s="40"/>
      <c r="H29" s="40"/>
      <c r="I29" s="40"/>
      <c r="J29" s="8" t="s">
        <v>0</v>
      </c>
    </row>
    <row r="30" spans="3:12" x14ac:dyDescent="0.2">
      <c r="C30" s="3"/>
      <c r="D30" s="40"/>
      <c r="E30" s="40"/>
      <c r="F30" s="40"/>
      <c r="G30" s="40"/>
      <c r="H30" s="40"/>
      <c r="I30" s="40"/>
      <c r="J30" s="8"/>
    </row>
    <row r="31" spans="3:12" x14ac:dyDescent="0.2">
      <c r="C31" s="3"/>
      <c r="D31" s="4"/>
      <c r="E31" s="4"/>
      <c r="F31" s="4"/>
      <c r="G31" s="4"/>
      <c r="H31" s="4"/>
      <c r="I31" s="4"/>
      <c r="J31" s="3"/>
    </row>
    <row r="32" spans="3:12" x14ac:dyDescent="0.2">
      <c r="C32" s="3"/>
      <c r="D32" s="4"/>
      <c r="E32" s="4"/>
      <c r="F32" s="4"/>
      <c r="G32" s="4"/>
      <c r="H32" s="4"/>
      <c r="I32" s="4"/>
      <c r="J32" s="3"/>
    </row>
    <row r="33" spans="3:10" x14ac:dyDescent="0.2">
      <c r="C33" s="3"/>
      <c r="D33" s="4"/>
      <c r="E33" s="4"/>
      <c r="F33" s="4"/>
      <c r="G33" s="4"/>
      <c r="H33" s="4"/>
      <c r="I33" s="4"/>
      <c r="J33" s="8"/>
    </row>
    <row r="34" spans="3:10" x14ac:dyDescent="0.2">
      <c r="C34" s="3"/>
      <c r="D34" s="4"/>
      <c r="E34" s="4"/>
      <c r="F34" s="4"/>
      <c r="G34" s="4"/>
      <c r="H34" s="4"/>
      <c r="I34" s="4"/>
      <c r="J34" s="3"/>
    </row>
    <row r="35" spans="3:10" x14ac:dyDescent="0.2">
      <c r="C35" s="3"/>
      <c r="D35" s="5"/>
      <c r="E35" s="5"/>
      <c r="F35" s="5"/>
      <c r="G35" s="5"/>
      <c r="H35" s="5"/>
      <c r="I35" s="5"/>
      <c r="J35" s="6"/>
    </row>
    <row r="36" spans="3:10" x14ac:dyDescent="0.2">
      <c r="C36" s="3"/>
      <c r="D36" s="10" t="s">
        <v>12</v>
      </c>
      <c r="E36" s="9"/>
      <c r="F36" s="9"/>
      <c r="G36" s="9"/>
      <c r="H36" s="9"/>
      <c r="I36" s="9" t="s">
        <v>13</v>
      </c>
      <c r="J36" s="3"/>
    </row>
    <row r="37" spans="3:10" x14ac:dyDescent="0.2">
      <c r="C37" s="3"/>
      <c r="D37" s="4"/>
      <c r="E37" s="4"/>
      <c r="F37" s="4"/>
      <c r="G37" s="4"/>
      <c r="H37" s="4"/>
      <c r="I37" s="4"/>
      <c r="J37" s="3"/>
    </row>
    <row r="38" spans="3:10" x14ac:dyDescent="0.2">
      <c r="C38" s="3"/>
      <c r="D38" s="4"/>
      <c r="E38" s="4"/>
      <c r="F38" s="4"/>
      <c r="G38" s="4"/>
      <c r="H38" s="4"/>
      <c r="I38" s="4"/>
      <c r="J38" s="3"/>
    </row>
    <row r="39" spans="3:10" x14ac:dyDescent="0.2">
      <c r="C39" s="3"/>
      <c r="D39" s="57" t="str">
        <f>IF(Podesavanja!EvidencioniBroj="","...",Podesavanja!EvidencioniBroj)</f>
        <v>...</v>
      </c>
      <c r="E39" s="57"/>
      <c r="F39" s="57"/>
      <c r="G39" s="57"/>
      <c r="H39" s="57"/>
      <c r="I39" s="57"/>
      <c r="J39" s="3"/>
    </row>
    <row r="40" spans="3:10" x14ac:dyDescent="0.2">
      <c r="C40" s="3"/>
      <c r="D40" s="56" t="s">
        <v>16</v>
      </c>
      <c r="E40" s="56"/>
      <c r="F40" s="56"/>
      <c r="G40" s="56"/>
      <c r="H40" s="56"/>
      <c r="I40" s="56"/>
      <c r="J40" s="3"/>
    </row>
    <row r="41" spans="3:10" x14ac:dyDescent="0.2">
      <c r="C41" s="3"/>
      <c r="D41" s="57" t="str">
        <f>IF(OR(Podesavanja!Mesto="", Podesavanja!DatumIzdavanja=""),"...",Podesavanja!Mesto &amp; ", " &amp; Podesavanja!DatumIzdavanja &amp; " godine")</f>
        <v>...</v>
      </c>
      <c r="E41" s="57"/>
      <c r="F41" s="57"/>
      <c r="G41" s="57"/>
      <c r="H41" s="57"/>
      <c r="I41" s="57"/>
      <c r="J41" s="6"/>
    </row>
    <row r="42" spans="3:10" x14ac:dyDescent="0.2">
      <c r="C42" s="3"/>
      <c r="D42" s="56" t="s">
        <v>14</v>
      </c>
      <c r="E42" s="56"/>
      <c r="F42" s="56"/>
      <c r="G42" s="56"/>
      <c r="H42" s="56"/>
      <c r="I42" s="56"/>
      <c r="J42" s="3"/>
    </row>
    <row r="43" spans="3:10" x14ac:dyDescent="0.2">
      <c r="C43" s="3"/>
      <c r="D43" s="57" t="str">
        <f>IF(Podesavanja!DatumPrometaUsluge="","...",Podesavanja!DatumPrometaUsluge &amp; " godine")</f>
        <v>...</v>
      </c>
      <c r="E43" s="57"/>
      <c r="F43" s="57"/>
      <c r="G43" s="57"/>
      <c r="H43" s="57"/>
      <c r="I43" s="57"/>
      <c r="J43" s="6"/>
    </row>
    <row r="44" spans="3:10" x14ac:dyDescent="0.2">
      <c r="C44" s="3"/>
      <c r="D44" s="56" t="s">
        <v>15</v>
      </c>
      <c r="E44" s="56"/>
      <c r="F44" s="56"/>
      <c r="G44" s="56"/>
      <c r="H44" s="56"/>
      <c r="I44" s="56"/>
      <c r="J44" s="3"/>
    </row>
    <row r="45" spans="3:10" ht="15" customHeight="1" x14ac:dyDescent="0.2">
      <c r="C45" s="52"/>
      <c r="D45" s="52"/>
      <c r="E45" s="52"/>
      <c r="F45" s="52"/>
      <c r="G45" s="52"/>
      <c r="H45" s="52"/>
      <c r="I45" s="52"/>
      <c r="J45" s="52"/>
    </row>
    <row r="46" spans="3:10" x14ac:dyDescent="0.2">
      <c r="J46" s="7"/>
    </row>
    <row r="107" ht="15" customHeight="1" x14ac:dyDescent="0.2"/>
    <row r="189" ht="15.75" customHeight="1" x14ac:dyDescent="0.2"/>
    <row r="210" ht="15" customHeight="1" x14ac:dyDescent="0.2"/>
  </sheetData>
  <mergeCells count="10">
    <mergeCell ref="D44:I44"/>
    <mergeCell ref="D43:I43"/>
    <mergeCell ref="D9:I9"/>
    <mergeCell ref="D24:I24"/>
    <mergeCell ref="D26:I26"/>
    <mergeCell ref="D13:I13"/>
    <mergeCell ref="D41:I41"/>
    <mergeCell ref="D42:I42"/>
    <mergeCell ref="D39:I39"/>
    <mergeCell ref="D40:I40"/>
  </mergeCells>
  <printOptions horizontalCentered="1"/>
  <pageMargins left="0.39370078740157483" right="0.39370078740157483" top="2.3622047244094491" bottom="1.1811023622047245" header="0" footer="0"/>
  <pageSetup paperSize="151" orientation="portrait" horizontalDpi="4294967292" r:id="rId1"/>
  <headerFooter scaleWithDoc="0">
    <oddHeader>&amp;C&amp;G</oddHeader>
    <oddFooter>&amp;C&amp;G</oddFooter>
  </headerFooter>
  <ignoredErrors>
    <ignoredError sqref="G18" formula="1"/>
  </ignoredErrors>
  <drawing r:id="rId2"/>
  <legacyDrawingHF r:id="rId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>
    <tabColor theme="1" tint="0.249977111117893"/>
  </sheetPr>
  <dimension ref="C1:E31"/>
  <sheetViews>
    <sheetView showGridLines="0" showRowColHeaders="0" workbookViewId="0">
      <selection activeCell="N15" sqref="N15"/>
    </sheetView>
  </sheetViews>
  <sheetFormatPr defaultColWidth="2.21875" defaultRowHeight="15" x14ac:dyDescent="0.2"/>
  <cols>
    <col min="3" max="3" width="19.33203125" bestFit="1" customWidth="1"/>
    <col min="4" max="4" width="6.21875" bestFit="1" customWidth="1"/>
    <col min="5" max="5" width="43.88671875" bestFit="1" customWidth="1"/>
  </cols>
  <sheetData>
    <row r="1" spans="3:5" s="1" customFormat="1" x14ac:dyDescent="0.2"/>
    <row r="2" spans="3:5" s="2" customFormat="1" ht="15.75" thickBot="1" x14ac:dyDescent="0.25"/>
    <row r="3" spans="3:5" ht="15.75" thickTop="1" x14ac:dyDescent="0.2"/>
    <row r="4" spans="3:5" x14ac:dyDescent="0.2">
      <c r="C4" s="44" t="s">
        <v>17</v>
      </c>
    </row>
    <row r="6" spans="3:5" x14ac:dyDescent="0.2">
      <c r="C6" s="45" t="s">
        <v>18</v>
      </c>
      <c r="D6" s="46" t="s">
        <v>19</v>
      </c>
      <c r="E6" s="46" t="s">
        <v>20</v>
      </c>
    </row>
    <row r="7" spans="3:5" x14ac:dyDescent="0.2">
      <c r="C7" s="47" t="s">
        <v>39</v>
      </c>
      <c r="D7" s="48" t="s">
        <v>21</v>
      </c>
      <c r="E7" s="48"/>
    </row>
    <row r="8" spans="3:5" x14ac:dyDescent="0.2">
      <c r="C8" s="47" t="s">
        <v>40</v>
      </c>
      <c r="D8" s="48" t="s">
        <v>21</v>
      </c>
      <c r="E8" s="48"/>
    </row>
    <row r="9" spans="3:5" x14ac:dyDescent="0.2">
      <c r="C9" s="47" t="s">
        <v>41</v>
      </c>
      <c r="D9" s="48" t="s">
        <v>21</v>
      </c>
      <c r="E9" s="49"/>
    </row>
    <row r="10" spans="3:5" x14ac:dyDescent="0.2">
      <c r="C10" s="47" t="s">
        <v>42</v>
      </c>
      <c r="D10" s="48" t="s">
        <v>21</v>
      </c>
      <c r="E10" s="49"/>
    </row>
    <row r="12" spans="3:5" x14ac:dyDescent="0.2">
      <c r="C12" s="44" t="s">
        <v>36</v>
      </c>
    </row>
    <row r="14" spans="3:5" x14ac:dyDescent="0.2">
      <c r="C14" s="45" t="s">
        <v>18</v>
      </c>
      <c r="D14" s="46" t="s">
        <v>19</v>
      </c>
      <c r="E14" s="46" t="s">
        <v>20</v>
      </c>
    </row>
    <row r="15" spans="3:5" x14ac:dyDescent="0.2">
      <c r="C15" s="47" t="s">
        <v>22</v>
      </c>
      <c r="D15" s="48" t="s">
        <v>21</v>
      </c>
      <c r="E15" s="49"/>
    </row>
    <row r="16" spans="3:5" x14ac:dyDescent="0.2">
      <c r="C16" s="47" t="s">
        <v>33</v>
      </c>
      <c r="D16" s="48" t="s">
        <v>21</v>
      </c>
      <c r="E16" s="49"/>
    </row>
    <row r="17" spans="3:5" x14ac:dyDescent="0.2">
      <c r="C17" s="47" t="s">
        <v>38</v>
      </c>
      <c r="D17" s="48" t="s">
        <v>21</v>
      </c>
      <c r="E17" s="49"/>
    </row>
    <row r="18" spans="3:5" x14ac:dyDescent="0.2">
      <c r="C18" s="47" t="s">
        <v>34</v>
      </c>
      <c r="D18" s="48" t="s">
        <v>21</v>
      </c>
      <c r="E18" s="49"/>
    </row>
    <row r="19" spans="3:5" x14ac:dyDescent="0.2">
      <c r="C19" s="47" t="s">
        <v>37</v>
      </c>
      <c r="D19" s="48" t="s">
        <v>21</v>
      </c>
      <c r="E19" s="49"/>
    </row>
    <row r="20" spans="3:5" x14ac:dyDescent="0.2">
      <c r="C20" s="47" t="s">
        <v>23</v>
      </c>
      <c r="D20" s="48" t="s">
        <v>21</v>
      </c>
      <c r="E20" s="49"/>
    </row>
    <row r="21" spans="3:5" x14ac:dyDescent="0.2">
      <c r="C21" s="47" t="s">
        <v>24</v>
      </c>
      <c r="D21" s="48" t="s">
        <v>21</v>
      </c>
      <c r="E21" s="49"/>
    </row>
    <row r="22" spans="3:5" x14ac:dyDescent="0.2">
      <c r="C22" s="47" t="s">
        <v>25</v>
      </c>
      <c r="D22" s="48" t="s">
        <v>21</v>
      </c>
      <c r="E22" s="49"/>
    </row>
    <row r="23" spans="3:5" x14ac:dyDescent="0.2">
      <c r="C23" s="47" t="s">
        <v>26</v>
      </c>
      <c r="D23" s="48" t="s">
        <v>21</v>
      </c>
      <c r="E23" s="49"/>
    </row>
    <row r="24" spans="3:5" x14ac:dyDescent="0.2">
      <c r="C24" s="47" t="s">
        <v>27</v>
      </c>
      <c r="D24" s="48" t="s">
        <v>21</v>
      </c>
      <c r="E24" s="49"/>
    </row>
    <row r="25" spans="3:5" x14ac:dyDescent="0.2">
      <c r="C25" s="47" t="s">
        <v>4</v>
      </c>
      <c r="D25" s="48" t="s">
        <v>21</v>
      </c>
      <c r="E25" s="49">
        <f>Kolicina*CenaPoJediniciMere</f>
        <v>0</v>
      </c>
    </row>
    <row r="26" spans="3:5" x14ac:dyDescent="0.2">
      <c r="C26" s="47" t="s">
        <v>28</v>
      </c>
      <c r="D26" s="48" t="s">
        <v>21</v>
      </c>
      <c r="E26" s="49">
        <f>Iznos</f>
        <v>0</v>
      </c>
    </row>
    <row r="27" spans="3:5" x14ac:dyDescent="0.2">
      <c r="C27" s="47" t="s">
        <v>35</v>
      </c>
      <c r="D27" s="48" t="s">
        <v>21</v>
      </c>
      <c r="E27" s="49"/>
    </row>
    <row r="28" spans="3:5" x14ac:dyDescent="0.2">
      <c r="C28" s="47" t="s">
        <v>29</v>
      </c>
      <c r="D28" s="48" t="s">
        <v>21</v>
      </c>
      <c r="E28" s="49">
        <f>UkupnoBezPDVa/100*StopaPDV</f>
        <v>0</v>
      </c>
    </row>
    <row r="29" spans="3:5" x14ac:dyDescent="0.2">
      <c r="C29" s="47" t="s">
        <v>30</v>
      </c>
      <c r="D29" s="48" t="s">
        <v>21</v>
      </c>
      <c r="E29" s="49">
        <f>UkupnoBezPDVa+ObracunatPDV</f>
        <v>0</v>
      </c>
    </row>
    <row r="30" spans="3:5" x14ac:dyDescent="0.2">
      <c r="C30" s="47" t="s">
        <v>31</v>
      </c>
      <c r="D30" s="48" t="s">
        <v>21</v>
      </c>
      <c r="E30" s="49">
        <f>UkupnoSaPDVom</f>
        <v>0</v>
      </c>
    </row>
    <row r="31" spans="3:5" x14ac:dyDescent="0.2">
      <c r="C31" s="47" t="s">
        <v>32</v>
      </c>
      <c r="D31" s="48" t="s">
        <v>21</v>
      </c>
      <c r="E31" s="49"/>
    </row>
  </sheetData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</vt:i4>
      </vt:variant>
      <vt:variant>
        <vt:lpstr>Named Ranges</vt:lpstr>
      </vt:variant>
      <vt:variant>
        <vt:i4>24</vt:i4>
      </vt:variant>
    </vt:vector>
  </HeadingPairs>
  <TitlesOfParts>
    <vt:vector size="26" baseType="lpstr">
      <vt:lpstr>Predracun</vt:lpstr>
      <vt:lpstr>Podesavanja</vt:lpstr>
      <vt:lpstr>Podesavanja!Broj</vt:lpstr>
      <vt:lpstr>Podesavanja!CenaPoJediniciMere</vt:lpstr>
      <vt:lpstr>Podesavanja!DatumIzdavanja</vt:lpstr>
      <vt:lpstr>Podesavanja!DatumPrometaUsluge</vt:lpstr>
      <vt:lpstr>Podesavanja!EvidencioniBroj</vt:lpstr>
      <vt:lpstr>Predracun!GranicaDodajBrisi</vt:lpstr>
      <vt:lpstr>Podesavanja!InformacijePutanjaBaze</vt:lpstr>
      <vt:lpstr>Podesavanja!Iznos</vt:lpstr>
      <vt:lpstr>Podesavanja!JedinicaMere</vt:lpstr>
      <vt:lpstr>Podesavanja!Kolicina</vt:lpstr>
      <vt:lpstr>Podesavanja!LozinkaZaPodesavanja</vt:lpstr>
      <vt:lpstr>Podesavanja!Mesto</vt:lpstr>
      <vt:lpstr>Podesavanja!ObracunatPDV</vt:lpstr>
      <vt:lpstr>Predracun!PecatPotpis</vt:lpstr>
      <vt:lpstr>Predracun!Print_Area</vt:lpstr>
      <vt:lpstr>Podesavanja!PutanjaPdfDatoteka</vt:lpstr>
      <vt:lpstr>Podesavanja!PutanjaPotpisaPecata</vt:lpstr>
      <vt:lpstr>Podesavanja!StopaPDV</vt:lpstr>
      <vt:lpstr>Podesavanja!UkupnoBezPDVa</vt:lpstr>
      <vt:lpstr>Podesavanja!UkupnoSaPDVom</vt:lpstr>
      <vt:lpstr>Podesavanja!Uplatilac</vt:lpstr>
      <vt:lpstr>Podesavanja!VrstaRobeUsluge</vt:lpstr>
      <vt:lpstr>Podesavanja!ZaUplatu</vt:lpstr>
      <vt:lpstr>Podesavanja!ZaUplatuSlovima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Vuk Stojanovic</dc:creator>
  <cp:lastModifiedBy>Vuk Stojanovic</cp:lastModifiedBy>
  <cp:lastPrinted>2017-09-21T22:35:47Z</cp:lastPrinted>
  <dcterms:created xsi:type="dcterms:W3CDTF">2015-09-10T18:25:48Z</dcterms:created>
  <dcterms:modified xsi:type="dcterms:W3CDTF">2017-10-30T02:01:26Z</dcterms:modified>
</cp:coreProperties>
</file>