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uk\Dropbox\Piloti\Ugovori\"/>
    </mc:Choice>
  </mc:AlternateContent>
  <bookViews>
    <workbookView xWindow="0" yWindow="0" windowWidth="28800" windowHeight="12300"/>
  </bookViews>
  <sheets>
    <sheet name="Index" sheetId="4" r:id="rId1"/>
    <sheet name="mNaslov" sheetId="5" r:id="rId2"/>
    <sheet name="mUgovor" sheetId="6" r:id="rId3"/>
    <sheet name="bUgovor" sheetId="14" state="hidden" r:id="rId4"/>
  </sheets>
  <definedNames>
    <definedName name="BrojDana">Index!$F$65</definedName>
    <definedName name="Datum">Index!$F$24</definedName>
    <definedName name="EvidencioniBroj">Index!$F$28</definedName>
    <definedName name="IznosPozajmice">Index!$F$54</definedName>
    <definedName name="IznosPozajmiceSlovima">Index!$F$58</definedName>
    <definedName name="Mesto">Index!$F$32</definedName>
    <definedName name="Pilot">Index!$F$8</definedName>
    <definedName name="_xlnm.Print_Area" localSheetId="3">bUgovor!$D$8:$D$41</definedName>
    <definedName name="_xlnm.Print_Area" localSheetId="0">Index!$D$2:$H$68</definedName>
    <definedName name="_xlnm.Print_Area" localSheetId="1">mNaslov!$D$8:$D$46</definedName>
    <definedName name="_xlnm.Print_Area" localSheetId="2">mUgovor!$D$8:$D$46</definedName>
    <definedName name="PutanjaBaze">Index!$F$15</definedName>
    <definedName name="TekuciRacunZajmoprimca">Index!$F$47</definedName>
    <definedName name="Zajmodavac">Index!$F$39</definedName>
    <definedName name="Zajmoprimac">Index!$F$43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5" i="6" l="1"/>
  <c r="D43" i="6"/>
  <c r="D32" i="14"/>
  <c r="D28" i="14"/>
  <c r="D19" i="14"/>
  <c r="D16" i="14"/>
  <c r="D14" i="14"/>
  <c r="A19" i="4"/>
  <c r="A18" i="4"/>
  <c r="A17" i="4"/>
  <c r="D32" i="6" l="1"/>
  <c r="D28" i="6"/>
  <c r="D19" i="6" l="1"/>
  <c r="D16" i="6"/>
  <c r="D14" i="6"/>
  <c r="E47" i="4" l="1"/>
  <c r="A16" i="4" l="1"/>
  <c r="A6" i="4"/>
  <c r="A5" i="4"/>
  <c r="E8" i="4" l="1"/>
  <c r="E15" i="4" l="1"/>
  <c r="E65" i="4" l="1"/>
  <c r="E58" i="4"/>
  <c r="E54" i="4"/>
  <c r="E43" i="4"/>
  <c r="E39" i="4"/>
  <c r="E32" i="4"/>
  <c r="E28" i="4"/>
  <c r="E24" i="4"/>
</calcChain>
</file>

<file path=xl/sharedStrings.xml><?xml version="1.0" encoding="utf-8"?>
<sst xmlns="http://schemas.openxmlformats.org/spreadsheetml/2006/main" count="62" uniqueCount="43">
  <si>
    <t>Broj tehničke dokumentacije</t>
  </si>
  <si>
    <t>Mesto i datum</t>
  </si>
  <si>
    <t>(primer: Vuk Stojanović, JMBG 1234567891234, Ćuprija 35230, Alekse Šantića 3)</t>
  </si>
  <si>
    <t>Evidencija</t>
  </si>
  <si>
    <t>Datum</t>
  </si>
  <si>
    <t>Evidencioni broj</t>
  </si>
  <si>
    <t>Mesto</t>
  </si>
  <si>
    <t>(primer: 23.11.2017)</t>
  </si>
  <si>
    <t>(primer: 23-1/11/2017)</t>
  </si>
  <si>
    <t>(primer: Ćuprija 35230)</t>
  </si>
  <si>
    <t>Baza</t>
  </si>
  <si>
    <t>Informacije</t>
  </si>
  <si>
    <t>PODACI</t>
  </si>
  <si>
    <t>PODEŠAVANJA</t>
  </si>
  <si>
    <t>Putanja baze podataka (.accdb)</t>
  </si>
  <si>
    <t>Pilot</t>
  </si>
  <si>
    <t>Naziv pilota</t>
  </si>
  <si>
    <t>PRILOZI</t>
  </si>
  <si>
    <t>Ugovor (memorandum)</t>
  </si>
  <si>
    <t>Ugovor (blanko)</t>
  </si>
  <si>
    <t>(primer: Ugovor o kratkoročnoj pozajmici)</t>
  </si>
  <si>
    <t>Lica</t>
  </si>
  <si>
    <t>Iznos</t>
  </si>
  <si>
    <t>Zajmodavac</t>
  </si>
  <si>
    <t>Zajmoprimac</t>
  </si>
  <si>
    <t>Tekući račun zajmoprimca</t>
  </si>
  <si>
    <t>(primer: 170-0001234567891234-82)</t>
  </si>
  <si>
    <t>Iznos pozajmice (RSD)</t>
  </si>
  <si>
    <t>Iznos pozajmice (slovima)</t>
  </si>
  <si>
    <t>Povraćaj primljene pozajmice</t>
  </si>
  <si>
    <t>(primer: 12.000,00)</t>
  </si>
  <si>
    <t>(primer: dvanaest hiljada dinara)</t>
  </si>
  <si>
    <t>Ugovor o kratkorocnoj pozajmici</t>
  </si>
  <si>
    <t>Ugovor
o kratkorocnoj pozajmici</t>
  </si>
  <si>
    <t>UGOVOR O KRATKOROČNOJ POZAJMICI</t>
  </si>
  <si>
    <t>Član 1.</t>
  </si>
  <si>
    <t>Predmet ugovora je kratkoročna bezkamatna pozajmica, radi nesmetanog obavljanja delatnosti usled nedostatka obrtnih sredstva koju Zajmoprimac uzima od Zajmodavca.</t>
  </si>
  <si>
    <t>Član 2.</t>
  </si>
  <si>
    <t>Član 3.</t>
  </si>
  <si>
    <t>Zajmodavac Zajmoprimac</t>
  </si>
  <si>
    <t>Broj dana</t>
  </si>
  <si>
    <t>(primer: 5)</t>
  </si>
  <si>
    <t>Naslovna strana (memorandum)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</si>
</sst>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\ &quot;RSD&quot;"/>
  </numFmts>
  <fonts count="16" x14ac:knownFonts="1">
    <font>
      <sz val="12"/>
      <color theme="1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12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</font>
    <font>
      <sz val="12"/>
      <name val="Arial"/>
      <family val="2"/>
    </font>
    <font>
      <i/>
      <sz val="8"/>
      <color rgb="FF808080"/>
      <name val="Arial"/>
      <family val="2"/>
      <charset val="238"/>
    </font>
    <font>
      <sz val="10"/>
      <color theme="1" tint="0.249977111117893"/>
      <name val="Arial"/>
      <family val="2"/>
      <charset val="238"/>
    </font>
    <font>
      <sz val="12"/>
      <color theme="5" tint="-0.249977111117893"/>
      <name val="Arial"/>
      <family val="2"/>
    </font>
    <font>
      <i/>
      <sz val="8"/>
      <color theme="1" tint="0.249977111117893"/>
      <name val="Arial"/>
      <family val="2"/>
      <charset val="238"/>
    </font>
    <font>
      <b/>
      <u/>
      <sz val="11"/>
      <color theme="1" tint="0.249977111117893"/>
      <name val="Arial"/>
      <family val="2"/>
      <charset val="238"/>
    </font>
    <font>
      <sz val="12"/>
      <color theme="1" tint="0.249977111117893"/>
      <name val="Wingdings 2"/>
      <family val="1"/>
      <charset val="2"/>
    </font>
    <font>
      <sz val="10"/>
      <color theme="1"/>
      <name val="Arial"/>
      <family val="2"/>
      <charset val="238"/>
    </font>
    <font>
      <sz val="10"/>
      <name val="Arial"/>
      <family val="2"/>
      <charset val="238"/>
    </font>
    <font>
      <sz val="58"/>
      <color theme="1"/>
      <name val="Brush Script MT"/>
      <family val="4"/>
    </font>
    <font>
      <sz val="12"/>
      <name val="Arial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C0C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 style="thick">
        <color theme="0" tint="-4.9989318521683403E-2"/>
      </top>
      <bottom/>
      <diagonal/>
    </border>
  </borders>
  <cellStyleXfs count="5">
    <xf numFmtId="0" fontId="0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  <xf numFmtId="0" fontId="4" fillId="0" borderId="0"/>
  </cellStyleXfs>
  <cellXfs count="80">
    <xf numFmtId="0" fontId="0" fillId="0" borderId="0" xfId="0"/>
    <xf numFmtId="0" fontId="4" fillId="2" borderId="1" xfId="1" applyFill="1" applyBorder="1"/>
    <xf numFmtId="0" fontId="4" fillId="0" borderId="0" xfId="1"/>
    <xf numFmtId="0" fontId="4" fillId="3" borderId="0" xfId="1" applyFont="1" applyFill="1" applyAlignment="1">
      <alignment horizontal="justify"/>
    </xf>
    <xf numFmtId="0" fontId="4" fillId="4" borderId="0" xfId="1" applyFont="1" applyFill="1" applyAlignment="1">
      <alignment horizontal="justify"/>
    </xf>
    <xf numFmtId="0" fontId="4" fillId="0" borderId="0" xfId="1" applyFont="1" applyAlignment="1">
      <alignment horizontal="justify"/>
    </xf>
    <xf numFmtId="0" fontId="3" fillId="0" borderId="0" xfId="1" applyFont="1" applyAlignment="1">
      <alignment horizontal="center"/>
    </xf>
    <xf numFmtId="0" fontId="4" fillId="0" borderId="0" xfId="1" applyAlignment="1">
      <alignment horizontal="justify"/>
    </xf>
    <xf numFmtId="0" fontId="6" fillId="0" borderId="0" xfId="1" applyFont="1" applyAlignment="1">
      <alignment horizontal="left" vertical="top"/>
    </xf>
    <xf numFmtId="0" fontId="5" fillId="0" borderId="0" xfId="1" applyFont="1" applyAlignment="1">
      <alignment horizontal="justify"/>
    </xf>
    <xf numFmtId="0" fontId="4" fillId="2" borderId="0" xfId="1" applyFont="1" applyFill="1" applyAlignment="1">
      <alignment horizontal="justify"/>
    </xf>
    <xf numFmtId="0" fontId="7" fillId="0" borderId="0" xfId="2" applyFont="1" applyAlignment="1">
      <alignment horizontal="right" vertical="center"/>
    </xf>
    <xf numFmtId="0" fontId="0" fillId="4" borderId="0" xfId="0" applyFill="1"/>
    <xf numFmtId="0" fontId="4" fillId="5" borderId="0" xfId="1" applyFill="1"/>
    <xf numFmtId="0" fontId="4" fillId="5" borderId="0" xfId="1" applyFont="1" applyFill="1" applyAlignment="1">
      <alignment horizontal="justify"/>
    </xf>
    <xf numFmtId="0" fontId="4" fillId="6" borderId="0" xfId="1" applyFont="1" applyFill="1" applyAlignment="1">
      <alignment horizontal="justify"/>
    </xf>
    <xf numFmtId="0" fontId="5" fillId="2" borderId="1" xfId="1" applyFont="1" applyFill="1" applyBorder="1"/>
    <xf numFmtId="0" fontId="5" fillId="0" borderId="0" xfId="1" applyFont="1"/>
    <xf numFmtId="0" fontId="4" fillId="0" borderId="0" xfId="1" applyFill="1"/>
    <xf numFmtId="0" fontId="0" fillId="0" borderId="0" xfId="0" applyFill="1"/>
    <xf numFmtId="0" fontId="4" fillId="0" borderId="0" xfId="1" applyFont="1" applyFill="1" applyAlignment="1">
      <alignment horizontal="justify"/>
    </xf>
    <xf numFmtId="0" fontId="4" fillId="4" borderId="0" xfId="1" applyFill="1"/>
    <xf numFmtId="0" fontId="4" fillId="4" borderId="0" xfId="1" applyFill="1" applyAlignment="1">
      <alignment horizontal="justify"/>
    </xf>
    <xf numFmtId="0" fontId="4" fillId="2" borderId="0" xfId="1" applyFill="1" applyBorder="1" applyProtection="1"/>
    <xf numFmtId="0" fontId="4" fillId="3" borderId="18" xfId="1" applyFill="1" applyBorder="1" applyProtection="1"/>
    <xf numFmtId="0" fontId="0" fillId="3" borderId="18" xfId="0" applyFill="1" applyBorder="1" applyProtection="1"/>
    <xf numFmtId="0" fontId="4" fillId="0" borderId="18" xfId="1" applyBorder="1" applyProtection="1"/>
    <xf numFmtId="0" fontId="0" fillId="0" borderId="18" xfId="0" applyBorder="1" applyProtection="1"/>
    <xf numFmtId="0" fontId="0" fillId="4" borderId="18" xfId="0" applyFill="1" applyBorder="1" applyProtection="1"/>
    <xf numFmtId="0" fontId="4" fillId="3" borderId="0" xfId="1" applyFill="1" applyProtection="1"/>
    <xf numFmtId="0" fontId="0" fillId="3" borderId="0" xfId="0" applyFill="1" applyProtection="1"/>
    <xf numFmtId="0" fontId="4" fillId="0" borderId="0" xfId="1" applyProtection="1"/>
    <xf numFmtId="0" fontId="10" fillId="0" borderId="0" xfId="0" applyFont="1" applyBorder="1" applyAlignment="1" applyProtection="1">
      <alignment horizontal="center" vertical="center"/>
    </xf>
    <xf numFmtId="0" fontId="0" fillId="4" borderId="0" xfId="0" applyFill="1" applyProtection="1"/>
    <xf numFmtId="0" fontId="0" fillId="0" borderId="0" xfId="0" applyProtection="1"/>
    <xf numFmtId="0" fontId="1" fillId="0" borderId="0" xfId="1" applyFont="1" applyAlignment="1" applyProtection="1">
      <alignment horizontal="left" vertical="center"/>
    </xf>
    <xf numFmtId="0" fontId="4" fillId="0" borderId="2" xfId="1" applyBorder="1" applyProtection="1"/>
    <xf numFmtId="0" fontId="0" fillId="0" borderId="3" xfId="0" applyBorder="1" applyProtection="1"/>
    <xf numFmtId="0" fontId="4" fillId="0" borderId="4" xfId="1" applyBorder="1" applyProtection="1"/>
    <xf numFmtId="0" fontId="4" fillId="0" borderId="5" xfId="1" applyBorder="1" applyProtection="1"/>
    <xf numFmtId="0" fontId="7" fillId="0" borderId="0" xfId="0" applyFont="1" applyBorder="1" applyAlignment="1" applyProtection="1">
      <alignment horizontal="left" vertical="center"/>
    </xf>
    <xf numFmtId="0" fontId="4" fillId="0" borderId="6" xfId="1" applyBorder="1" applyProtection="1"/>
    <xf numFmtId="0" fontId="4" fillId="0" borderId="11" xfId="1" applyBorder="1" applyProtection="1"/>
    <xf numFmtId="0" fontId="8" fillId="0" borderId="0" xfId="0" applyFont="1" applyFill="1" applyBorder="1" applyAlignment="1" applyProtection="1">
      <alignment horizontal="center"/>
    </xf>
    <xf numFmtId="0" fontId="8" fillId="0" borderId="6" xfId="0" applyFont="1" applyFill="1" applyBorder="1" applyAlignment="1" applyProtection="1">
      <alignment horizontal="center"/>
    </xf>
    <xf numFmtId="0" fontId="9" fillId="0" borderId="0" xfId="0" applyFont="1" applyBorder="1" applyAlignment="1" applyProtection="1">
      <alignment horizontal="left" vertical="top"/>
    </xf>
    <xf numFmtId="0" fontId="4" fillId="0" borderId="17" xfId="1" applyBorder="1" applyProtection="1"/>
    <xf numFmtId="0" fontId="0" fillId="0" borderId="13" xfId="0" applyBorder="1" applyProtection="1"/>
    <xf numFmtId="0" fontId="4" fillId="0" borderId="16" xfId="1" applyBorder="1" applyProtection="1"/>
    <xf numFmtId="0" fontId="0" fillId="0" borderId="11" xfId="0" applyBorder="1" applyProtection="1"/>
    <xf numFmtId="0" fontId="4" fillId="0" borderId="0" xfId="1" applyBorder="1" applyProtection="1"/>
    <xf numFmtId="0" fontId="0" fillId="0" borderId="0" xfId="0" applyBorder="1" applyProtection="1"/>
    <xf numFmtId="0" fontId="4" fillId="0" borderId="7" xfId="1" applyBorder="1" applyProtection="1"/>
    <xf numFmtId="0" fontId="0" fillId="0" borderId="8" xfId="0" applyBorder="1" applyProtection="1"/>
    <xf numFmtId="0" fontId="4" fillId="0" borderId="9" xfId="1" applyBorder="1" applyProtection="1"/>
    <xf numFmtId="0" fontId="9" fillId="0" borderId="0" xfId="0" applyFont="1" applyBorder="1" applyAlignment="1" applyProtection="1">
      <alignment horizontal="justify" vertical="top"/>
    </xf>
    <xf numFmtId="0" fontId="4" fillId="0" borderId="12" xfId="1" applyBorder="1" applyProtection="1"/>
    <xf numFmtId="0" fontId="4" fillId="0" borderId="14" xfId="1" applyBorder="1" applyProtection="1"/>
    <xf numFmtId="0" fontId="4" fillId="0" borderId="3" xfId="1" applyBorder="1" applyProtection="1"/>
    <xf numFmtId="0" fontId="4" fillId="2" borderId="0" xfId="1" applyFill="1" applyProtection="1"/>
    <xf numFmtId="0" fontId="12" fillId="0" borderId="10" xfId="0" applyNumberFormat="1" applyFont="1" applyBorder="1" applyAlignment="1" applyProtection="1">
      <alignment horizontal="justify"/>
      <protection locked="0"/>
    </xf>
    <xf numFmtId="14" fontId="13" fillId="0" borderId="10" xfId="0" applyNumberFormat="1" applyFont="1" applyBorder="1" applyAlignment="1" applyProtection="1">
      <alignment horizontal="justify"/>
      <protection locked="0"/>
    </xf>
    <xf numFmtId="0" fontId="12" fillId="0" borderId="10" xfId="0" applyFont="1" applyBorder="1" applyAlignment="1" applyProtection="1">
      <alignment horizontal="justify"/>
      <protection locked="0"/>
    </xf>
    <xf numFmtId="1" fontId="12" fillId="0" borderId="10" xfId="0" applyNumberFormat="1" applyFont="1" applyBorder="1" applyAlignment="1" applyProtection="1">
      <alignment horizontal="justify"/>
      <protection locked="0"/>
    </xf>
    <xf numFmtId="164" fontId="12" fillId="0" borderId="10" xfId="0" applyNumberFormat="1" applyFont="1" applyBorder="1" applyAlignment="1" applyProtection="1">
      <alignment horizontal="justify"/>
      <protection locked="0"/>
    </xf>
    <xf numFmtId="0" fontId="12" fillId="0" borderId="10" xfId="0" applyNumberFormat="1" applyFont="1" applyBorder="1" applyAlignment="1" applyProtection="1">
      <alignment horizontal="justify"/>
    </xf>
    <xf numFmtId="0" fontId="1" fillId="3" borderId="0" xfId="4" applyFont="1" applyFill="1" applyAlignment="1" applyProtection="1">
      <alignment horizontal="left" vertical="center"/>
    </xf>
    <xf numFmtId="0" fontId="0" fillId="3" borderId="0" xfId="0" applyFill="1" applyBorder="1" applyProtection="1"/>
    <xf numFmtId="0" fontId="4" fillId="3" borderId="0" xfId="4" applyFill="1" applyBorder="1" applyProtection="1"/>
    <xf numFmtId="0" fontId="11" fillId="3" borderId="0" xfId="0" applyFont="1" applyFill="1" applyAlignment="1" applyProtection="1">
      <alignment horizontal="center" vertical="top"/>
    </xf>
    <xf numFmtId="0" fontId="7" fillId="3" borderId="0" xfId="4" applyFont="1" applyFill="1" applyAlignment="1" applyProtection="1">
      <alignment horizontal="left" vertical="center"/>
    </xf>
    <xf numFmtId="0" fontId="4" fillId="3" borderId="0" xfId="4" applyFill="1" applyProtection="1"/>
    <xf numFmtId="0" fontId="0" fillId="0" borderId="0" xfId="0" applyAlignment="1">
      <alignment vertical="center"/>
    </xf>
    <xf numFmtId="0" fontId="0" fillId="0" borderId="15" xfId="0" applyBorder="1"/>
    <xf numFmtId="0" fontId="0" fillId="0" borderId="0" xfId="1" applyFont="1" applyAlignment="1">
      <alignment horizontal="center"/>
    </xf>
    <xf numFmtId="0" fontId="15" fillId="0" borderId="0" xfId="1" applyFont="1" applyAlignment="1">
      <alignment horizontal="justify"/>
    </xf>
    <xf numFmtId="0" fontId="15" fillId="0" borderId="15" xfId="0" applyFont="1" applyBorder="1" applyAlignment="1">
      <alignment horizontal="justify"/>
    </xf>
    <xf numFmtId="0" fontId="15" fillId="0" borderId="0" xfId="0" applyFont="1" applyBorder="1" applyAlignment="1">
      <alignment horizontal="justify"/>
    </xf>
    <xf numFmtId="0" fontId="6" fillId="0" borderId="15" xfId="1" applyFont="1" applyBorder="1" applyAlignment="1">
      <alignment horizontal="distributed" vertical="top"/>
    </xf>
    <xf numFmtId="0" fontId="14" fillId="0" borderId="0" xfId="0" applyFont="1" applyAlignment="1">
      <alignment horizontal="center" vertical="center" wrapText="1"/>
    </xf>
  </cellXfs>
  <cellStyles count="5">
    <cellStyle name="Normal" xfId="0" builtinId="0"/>
    <cellStyle name="Normal 2" xfId="1"/>
    <cellStyle name="Normal 2 2" xfId="4"/>
    <cellStyle name="Normal 3" xfId="2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PutanjaBaze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hyperlink" Target="#mNaslov!A2"/><Relationship Id="rId2" Type="http://schemas.openxmlformats.org/officeDocument/2006/relationships/hyperlink" Target="#Datum"/><Relationship Id="rId1" Type="http://schemas.openxmlformats.org/officeDocument/2006/relationships/hyperlink" Target="#PutanjaBaze"/><Relationship Id="rId6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hyperlink" Target="#mUgovor!A2"/><Relationship Id="rId2" Type="http://schemas.openxmlformats.org/officeDocument/2006/relationships/hyperlink" Target="#Datum"/><Relationship Id="rId1" Type="http://schemas.openxmlformats.org/officeDocument/2006/relationships/hyperlink" Target="#PutanjaBaze"/><Relationship Id="rId6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hyperlink" Target="#bUgovor!A2"/><Relationship Id="rId2" Type="http://schemas.openxmlformats.org/officeDocument/2006/relationships/hyperlink" Target="#Datum"/><Relationship Id="rId1" Type="http://schemas.openxmlformats.org/officeDocument/2006/relationships/hyperlink" Target="#PutanjaBaze"/><Relationship Id="rId6" Type="http://schemas.openxmlformats.org/officeDocument/2006/relationships/image" Target="../media/image8.sv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 macro="[0]!OdaberiPutanjuBaze">
      <xdr:nvPicPr>
        <xdr:cNvPr id="15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1581150"/>
          <a:ext cx="152400" cy="152400"/>
        </a:xfrm>
        <a:prstGeom prst="rect">
          <a:avLst/>
        </a:prstGeom>
      </xdr:spPr>
    </xdr:pic>
    <xdr:clientData/>
  </xdr:twoCellAnchor>
  <xdr:twoCellAnchor>
    <xdr:from>
      <xdr:col>1</xdr:col>
      <xdr:colOff>1781175</xdr:colOff>
      <xdr:row>2</xdr:row>
      <xdr:rowOff>0</xdr:rowOff>
    </xdr:from>
    <xdr:to>
      <xdr:col>2</xdr:col>
      <xdr:colOff>0</xdr:colOff>
      <xdr:row>3</xdr:row>
      <xdr:rowOff>180676</xdr:rowOff>
    </xdr:to>
    <xdr:sp macro="[0]!PDF" textlink="">
      <xdr:nvSpPr>
        <xdr:cNvPr id="152" name="PDF"/>
        <xdr:cNvSpPr/>
      </xdr:nvSpPr>
      <xdr:spPr>
        <a:xfrm>
          <a:off x="1971675" y="581025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1209675</xdr:colOff>
      <xdr:row>2</xdr:row>
      <xdr:rowOff>0</xdr:rowOff>
    </xdr:from>
    <xdr:to>
      <xdr:col>1</xdr:col>
      <xdr:colOff>1590675</xdr:colOff>
      <xdr:row>3</xdr:row>
      <xdr:rowOff>180676</xdr:rowOff>
    </xdr:to>
    <xdr:sp macro="[0]!RastezanjeRedova" textlink="">
      <xdr:nvSpPr>
        <xdr:cNvPr id="46" name="Red"/>
        <xdr:cNvSpPr/>
      </xdr:nvSpPr>
      <xdr:spPr>
        <a:xfrm>
          <a:off x="1400175" y="581025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7" name="Zaglavlje"/>
        <xdr:cNvGrpSpPr/>
      </xdr:nvGrpSpPr>
      <xdr:grpSpPr>
        <a:xfrm>
          <a:off x="0" y="0"/>
          <a:ext cx="9477375" cy="390525"/>
          <a:chOff x="0" y="0"/>
          <a:chExt cx="10010775" cy="390525"/>
        </a:xfrm>
      </xdr:grpSpPr>
      <xdr:sp macro="" textlink="">
        <xdr:nvSpPr>
          <xdr:cNvPr id="18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6" name="Naslov"/>
          <xdr:cNvSpPr/>
        </xdr:nvSpPr>
        <xdr:spPr>
          <a:xfrm>
            <a:off x="381002" y="0"/>
            <a:ext cx="943927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Ugovor o kratkoročnoj pozajmici</a:t>
            </a:r>
          </a:p>
        </xdr:txBody>
      </xdr:sp>
      <xdr:sp macro="" textlink="">
        <xdr:nvSpPr>
          <xdr:cNvPr id="2" name="Gore">
            <a:hlinkClick xmlns:r="http://schemas.openxmlformats.org/officeDocument/2006/relationships" r:id="rId2" tooltip="Gore"/>
          </xdr:cNvPr>
          <xdr:cNvSpPr/>
        </xdr:nvSpPr>
        <xdr:spPr>
          <a:xfrm>
            <a:off x="9820275" y="85725"/>
            <a:ext cx="19050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561975</xdr:colOff>
      <xdr:row>7</xdr:row>
      <xdr:rowOff>19050</xdr:rowOff>
    </xdr:from>
    <xdr:to>
      <xdr:col>1</xdr:col>
      <xdr:colOff>714356</xdr:colOff>
      <xdr:row>7</xdr:row>
      <xdr:rowOff>171431</xdr:rowOff>
    </xdr:to>
    <xdr:pic macro="[0]!PrikaziFrmPrilozi">
      <xdr:nvPicPr>
        <xdr:cNvPr id="70" name="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1562100"/>
          <a:ext cx="152381" cy="1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7248525" cy="391123"/>
          <a:chOff x="381000" y="581025"/>
          <a:chExt cx="7248525" cy="391123"/>
        </a:xfrm>
      </xdr:grpSpPr>
      <xdr:sp macro="" textlink="">
        <xdr:nvSpPr>
          <xdr:cNvPr id="17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9" name="Podaci">
            <a:hlinkClick xmlns:r="http://schemas.openxmlformats.org/officeDocument/2006/relationships" r:id="rId2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0" name="PDF"/>
          <xdr:cNvSpPr/>
        </xdr:nvSpPr>
        <xdr:spPr>
          <a:xfrm>
            <a:off x="7248525" y="5810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1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2" name="Red"/>
          <xdr:cNvSpPr/>
        </xdr:nvSpPr>
        <xdr:spPr>
          <a:xfrm>
            <a:off x="6677025" y="5813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3" name="Zaglavlje"/>
        <xdr:cNvGrpSpPr/>
      </xdr:nvGrpSpPr>
      <xdr:grpSpPr>
        <a:xfrm>
          <a:off x="0" y="0"/>
          <a:ext cx="7629525" cy="390525"/>
          <a:chOff x="0" y="0"/>
          <a:chExt cx="7629525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71487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71489" y="0"/>
            <a:ext cx="7067536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Ugovor o kratkoročnoj pozajmici</a:t>
            </a:r>
          </a:p>
        </xdr:txBody>
      </xdr:sp>
      <xdr:sp macro="" textlink="">
        <xdr:nvSpPr>
          <xdr:cNvPr id="15" name="Gore">
            <a:hlinkClick xmlns:r="http://schemas.openxmlformats.org/officeDocument/2006/relationships" r:id="rId7" tooltip="Gore"/>
          </xdr:cNvPr>
          <xdr:cNvSpPr/>
        </xdr:nvSpPr>
        <xdr:spPr>
          <a:xfrm>
            <a:off x="7449175" y="85725"/>
            <a:ext cx="18035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0</xdr:rowOff>
    </xdr:to>
    <xdr:grpSp>
      <xdr:nvGrpSpPr>
        <xdr:cNvPr id="17" name="Navigacija"/>
        <xdr:cNvGrpSpPr/>
      </xdr:nvGrpSpPr>
      <xdr:grpSpPr>
        <a:xfrm>
          <a:off x="381000" y="581025"/>
          <a:ext cx="6362700" cy="381000"/>
          <a:chOff x="381000" y="581025"/>
          <a:chExt cx="6362700" cy="391123"/>
        </a:xfrm>
      </xdr:grpSpPr>
      <xdr:sp macro="" textlink="">
        <xdr:nvSpPr>
          <xdr:cNvPr id="18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9" name="Podaci">
            <a:hlinkClick xmlns:r="http://schemas.openxmlformats.org/officeDocument/2006/relationships" r:id="rId2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0" name="PDF"/>
          <xdr:cNvSpPr/>
        </xdr:nvSpPr>
        <xdr:spPr>
          <a:xfrm>
            <a:off x="6362700" y="5810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1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2" name="Red"/>
          <xdr:cNvSpPr/>
        </xdr:nvSpPr>
        <xdr:spPr>
          <a:xfrm>
            <a:off x="5791200" y="5813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180350</xdr:colOff>
      <xdr:row>1</xdr:row>
      <xdr:rowOff>9525</xdr:rowOff>
    </xdr:to>
    <xdr:grpSp>
      <xdr:nvGrpSpPr>
        <xdr:cNvPr id="27" name="Zaglavlje"/>
        <xdr:cNvGrpSpPr/>
      </xdr:nvGrpSpPr>
      <xdr:grpSpPr>
        <a:xfrm>
          <a:off x="0" y="0"/>
          <a:ext cx="6733550" cy="390525"/>
          <a:chOff x="0" y="0"/>
          <a:chExt cx="6733550" cy="390525"/>
        </a:xfrm>
      </xdr:grpSpPr>
      <xdr:sp macro="" textlink="">
        <xdr:nvSpPr>
          <xdr:cNvPr id="28" name="Logo"/>
          <xdr:cNvSpPr/>
        </xdr:nvSpPr>
        <xdr:spPr>
          <a:xfrm>
            <a:off x="0" y="0"/>
            <a:ext cx="371487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9" name="Naslov"/>
          <xdr:cNvSpPr/>
        </xdr:nvSpPr>
        <xdr:spPr>
          <a:xfrm>
            <a:off x="371489" y="0"/>
            <a:ext cx="6181711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Ugovor o kratkoročnoj pozajmici</a:t>
            </a:r>
          </a:p>
        </xdr:txBody>
      </xdr:sp>
      <xdr:sp macro="" textlink="">
        <xdr:nvSpPr>
          <xdr:cNvPr id="30" name="Gore">
            <a:hlinkClick xmlns:r="http://schemas.openxmlformats.org/officeDocument/2006/relationships" r:id="rId7" tooltip="Gore"/>
          </xdr:cNvPr>
          <xdr:cNvSpPr/>
        </xdr:nvSpPr>
        <xdr:spPr>
          <a:xfrm>
            <a:off x="6553200" y="85725"/>
            <a:ext cx="18035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0</xdr:rowOff>
    </xdr:to>
    <xdr:grpSp>
      <xdr:nvGrpSpPr>
        <xdr:cNvPr id="2" name="Navigacija"/>
        <xdr:cNvGrpSpPr/>
      </xdr:nvGrpSpPr>
      <xdr:grpSpPr>
        <a:xfrm>
          <a:off x="381000" y="581025"/>
          <a:ext cx="6362700" cy="381000"/>
          <a:chOff x="381000" y="581025"/>
          <a:chExt cx="6362700" cy="3911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" name="Podaci">
            <a:hlinkClick xmlns:r="http://schemas.openxmlformats.org/officeDocument/2006/relationships" r:id="rId2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5" name="PDF"/>
          <xdr:cNvSpPr/>
        </xdr:nvSpPr>
        <xdr:spPr>
          <a:xfrm>
            <a:off x="6362700" y="5810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6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7" name="Red"/>
          <xdr:cNvSpPr/>
        </xdr:nvSpPr>
        <xdr:spPr>
          <a:xfrm>
            <a:off x="5791200" y="5813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180350</xdr:colOff>
      <xdr:row>1</xdr:row>
      <xdr:rowOff>9525</xdr:rowOff>
    </xdr:to>
    <xdr:grpSp>
      <xdr:nvGrpSpPr>
        <xdr:cNvPr id="8" name="Zaglavlje"/>
        <xdr:cNvGrpSpPr/>
      </xdr:nvGrpSpPr>
      <xdr:grpSpPr>
        <a:xfrm>
          <a:off x="0" y="0"/>
          <a:ext cx="6733550" cy="390525"/>
          <a:chOff x="0" y="0"/>
          <a:chExt cx="6733550" cy="390525"/>
        </a:xfrm>
      </xdr:grpSpPr>
      <xdr:sp macro="" textlink="">
        <xdr:nvSpPr>
          <xdr:cNvPr id="9" name="Logo"/>
          <xdr:cNvSpPr/>
        </xdr:nvSpPr>
        <xdr:spPr>
          <a:xfrm>
            <a:off x="0" y="0"/>
            <a:ext cx="371487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0" name="Naslov"/>
          <xdr:cNvSpPr/>
        </xdr:nvSpPr>
        <xdr:spPr>
          <a:xfrm>
            <a:off x="371489" y="0"/>
            <a:ext cx="6181711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Ugovor o kratkoročnoj pozajmici</a:t>
            </a:r>
          </a:p>
        </xdr:txBody>
      </xdr:sp>
      <xdr:sp macro="" textlink="">
        <xdr:nvSpPr>
          <xdr:cNvPr id="11" name="Gore">
            <a:hlinkClick xmlns:r="http://schemas.openxmlformats.org/officeDocument/2006/relationships" r:id="rId7" tooltip="Gore"/>
          </xdr:cNvPr>
          <xdr:cNvSpPr/>
        </xdr:nvSpPr>
        <xdr:spPr>
          <a:xfrm>
            <a:off x="6553200" y="85725"/>
            <a:ext cx="18035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 tint="0.249977111117893"/>
  </sheetPr>
  <dimension ref="A1:N172"/>
  <sheetViews>
    <sheetView showGridLines="0" showRowColHeaders="0" tabSelected="1" workbookViewId="0">
      <pane ySplit="1" topLeftCell="A2" activePane="bottomLeft" state="frozen"/>
      <selection pane="bottomLeft" activeCell="F15" sqref="F15"/>
    </sheetView>
  </sheetViews>
  <sheetFormatPr defaultRowHeight="15" x14ac:dyDescent="0.2"/>
  <cols>
    <col min="1" max="1" width="2.21875" style="31" customWidth="1"/>
    <col min="2" max="2" width="25.21875" style="31" customWidth="1"/>
    <col min="3" max="5" width="2.21875" style="31" customWidth="1"/>
    <col min="6" max="6" width="69.77734375" style="31" customWidth="1"/>
    <col min="7" max="193" width="2.21875" style="31" customWidth="1"/>
    <col min="194" max="16384" width="8.88671875" style="31"/>
  </cols>
  <sheetData>
    <row r="1" spans="1:9" s="23" customFormat="1" ht="30" customHeight="1" thickBot="1" x14ac:dyDescent="0.25"/>
    <row r="2" spans="1:9" s="26" customFormat="1" ht="15.75" thickTop="1" x14ac:dyDescent="0.2">
      <c r="A2" s="24"/>
      <c r="B2" s="24"/>
      <c r="C2" s="25"/>
      <c r="F2" s="27"/>
      <c r="I2" s="28"/>
    </row>
    <row r="3" spans="1:9" x14ac:dyDescent="0.2">
      <c r="A3" s="30"/>
      <c r="B3" s="66" t="s">
        <v>13</v>
      </c>
      <c r="C3" s="67"/>
      <c r="F3" s="32" t="s">
        <v>13</v>
      </c>
      <c r="I3" s="33"/>
    </row>
    <row r="4" spans="1:9" x14ac:dyDescent="0.2">
      <c r="A4" s="30"/>
      <c r="B4" s="68"/>
      <c r="C4" s="67"/>
      <c r="F4" s="32"/>
      <c r="I4" s="33"/>
    </row>
    <row r="5" spans="1:9" ht="15.75" thickBot="1" x14ac:dyDescent="0.25">
      <c r="A5" s="69" t="str">
        <f>IF(Pilot=0,"","P")</f>
        <v>P</v>
      </c>
      <c r="B5" s="70" t="s">
        <v>15</v>
      </c>
      <c r="C5" s="67"/>
      <c r="E5" s="35" t="s">
        <v>15</v>
      </c>
      <c r="F5" s="34"/>
      <c r="I5" s="33"/>
    </row>
    <row r="6" spans="1:9" x14ac:dyDescent="0.2">
      <c r="A6" s="69" t="str">
        <f>IF(PutanjaBaze=0,"","P")</f>
        <v/>
      </c>
      <c r="B6" s="70" t="s">
        <v>10</v>
      </c>
      <c r="C6" s="67"/>
      <c r="E6" s="36"/>
      <c r="F6" s="37"/>
      <c r="G6" s="38"/>
      <c r="I6" s="33"/>
    </row>
    <row r="7" spans="1:9" x14ac:dyDescent="0.2">
      <c r="A7" s="30"/>
      <c r="B7" s="68"/>
      <c r="C7" s="67"/>
      <c r="E7" s="39"/>
      <c r="F7" s="40" t="s">
        <v>16</v>
      </c>
      <c r="G7" s="41"/>
      <c r="I7" s="33"/>
    </row>
    <row r="8" spans="1:9" x14ac:dyDescent="0.2">
      <c r="A8" s="30"/>
      <c r="B8" s="66" t="s">
        <v>17</v>
      </c>
      <c r="C8" s="30"/>
      <c r="D8" s="42"/>
      <c r="E8" s="43" t="str">
        <f>IF(F8=0,"*","")</f>
        <v/>
      </c>
      <c r="F8" s="65" t="s">
        <v>32</v>
      </c>
      <c r="G8" s="44"/>
      <c r="I8" s="33"/>
    </row>
    <row r="9" spans="1:9" x14ac:dyDescent="0.2">
      <c r="A9" s="30"/>
      <c r="B9" s="30"/>
      <c r="C9" s="30"/>
      <c r="E9" s="39"/>
      <c r="F9" s="45" t="s">
        <v>20</v>
      </c>
      <c r="G9" s="41"/>
      <c r="I9" s="33"/>
    </row>
    <row r="10" spans="1:9" ht="15.75" thickBot="1" x14ac:dyDescent="0.25">
      <c r="A10" s="30"/>
      <c r="B10" s="70" t="s">
        <v>42</v>
      </c>
      <c r="C10" s="30"/>
      <c r="E10" s="46"/>
      <c r="F10" s="47"/>
      <c r="G10" s="48"/>
      <c r="I10" s="33"/>
    </row>
    <row r="11" spans="1:9" x14ac:dyDescent="0.2">
      <c r="A11" s="30"/>
      <c r="B11" s="70" t="s">
        <v>18</v>
      </c>
      <c r="C11" s="30"/>
      <c r="F11" s="32"/>
      <c r="I11" s="33"/>
    </row>
    <row r="12" spans="1:9" ht="15.75" thickBot="1" x14ac:dyDescent="0.25">
      <c r="A12" s="30"/>
      <c r="B12" s="70" t="s">
        <v>19</v>
      </c>
      <c r="C12" s="30"/>
      <c r="E12" s="35" t="s">
        <v>10</v>
      </c>
      <c r="F12" s="34"/>
      <c r="I12" s="33"/>
    </row>
    <row r="13" spans="1:9" x14ac:dyDescent="0.2">
      <c r="A13" s="30"/>
      <c r="B13" s="30"/>
      <c r="C13" s="71"/>
      <c r="E13" s="36"/>
      <c r="F13" s="37"/>
      <c r="G13" s="38"/>
      <c r="I13" s="33"/>
    </row>
    <row r="14" spans="1:9" x14ac:dyDescent="0.2">
      <c r="A14" s="30"/>
      <c r="B14" s="66" t="s">
        <v>12</v>
      </c>
      <c r="C14" s="71"/>
      <c r="E14" s="39"/>
      <c r="F14" s="40" t="s">
        <v>11</v>
      </c>
      <c r="G14" s="41"/>
      <c r="I14" s="33"/>
    </row>
    <row r="15" spans="1:9" x14ac:dyDescent="0.2">
      <c r="A15" s="30"/>
      <c r="B15" s="30"/>
      <c r="C15" s="71"/>
      <c r="D15" s="42"/>
      <c r="E15" s="43" t="str">
        <f>IF(F15=0,"*","")</f>
        <v>*</v>
      </c>
      <c r="F15" s="60"/>
      <c r="G15" s="44"/>
      <c r="I15" s="33"/>
    </row>
    <row r="16" spans="1:9" x14ac:dyDescent="0.2">
      <c r="A16" s="69" t="str">
        <f>IF(OR(Datum=0,EvidencioniBroj=0,Mesto=0),"","P")</f>
        <v/>
      </c>
      <c r="B16" s="70" t="s">
        <v>3</v>
      </c>
      <c r="C16" s="71"/>
      <c r="E16" s="39"/>
      <c r="F16" s="45" t="s">
        <v>14</v>
      </c>
      <c r="G16" s="41"/>
      <c r="I16" s="33"/>
    </row>
    <row r="17" spans="1:14" ht="15.75" thickBot="1" x14ac:dyDescent="0.25">
      <c r="A17" s="69" t="str">
        <f>IF(OR(Zajmodavac=0,Zajmoprimac=0,TekuciRacunZajmoprimca=0),"","P")</f>
        <v/>
      </c>
      <c r="B17" s="70" t="s">
        <v>21</v>
      </c>
      <c r="C17" s="30"/>
      <c r="E17" s="46"/>
      <c r="F17" s="47"/>
      <c r="G17" s="48"/>
      <c r="I17" s="33"/>
    </row>
    <row r="18" spans="1:14" x14ac:dyDescent="0.2">
      <c r="A18" s="69" t="e">
        <f>IF(OR(IznosPozajmice=0,#REF!=0,IznosPozajmiceSlovima=0),"","P")</f>
        <v>#REF!</v>
      </c>
      <c r="B18" s="70" t="s">
        <v>22</v>
      </c>
      <c r="C18" s="30"/>
      <c r="F18" s="34"/>
      <c r="I18" s="33"/>
    </row>
    <row r="19" spans="1:14" x14ac:dyDescent="0.2">
      <c r="A19" s="69" t="str">
        <f>IF(BrojDana=0,"","P")</f>
        <v/>
      </c>
      <c r="B19" s="70" t="s">
        <v>29</v>
      </c>
      <c r="C19" s="29"/>
      <c r="E19" s="50"/>
      <c r="F19" s="32" t="s">
        <v>12</v>
      </c>
      <c r="G19" s="50"/>
      <c r="I19" s="33"/>
    </row>
    <row r="20" spans="1:14" x14ac:dyDescent="0.2">
      <c r="A20" s="29"/>
      <c r="B20" s="29"/>
      <c r="C20" s="29"/>
      <c r="E20" s="50"/>
      <c r="F20" s="51"/>
      <c r="G20" s="50"/>
      <c r="I20" s="33"/>
    </row>
    <row r="21" spans="1:14" ht="15.75" thickBot="1" x14ac:dyDescent="0.25">
      <c r="A21" s="29"/>
      <c r="B21" s="29"/>
      <c r="C21" s="29"/>
      <c r="E21" s="35" t="s">
        <v>3</v>
      </c>
      <c r="F21" s="34"/>
      <c r="I21" s="33"/>
    </row>
    <row r="22" spans="1:14" x14ac:dyDescent="0.2">
      <c r="A22" s="29"/>
      <c r="B22" s="29"/>
      <c r="C22" s="29"/>
      <c r="E22" s="36"/>
      <c r="F22" s="37"/>
      <c r="G22" s="38"/>
      <c r="I22" s="33"/>
      <c r="N22" s="50"/>
    </row>
    <row r="23" spans="1:14" x14ac:dyDescent="0.2">
      <c r="A23" s="29"/>
      <c r="B23" s="29"/>
      <c r="C23" s="29"/>
      <c r="E23" s="39"/>
      <c r="F23" s="40" t="s">
        <v>4</v>
      </c>
      <c r="G23" s="41"/>
      <c r="I23" s="33"/>
    </row>
    <row r="24" spans="1:14" x14ac:dyDescent="0.2">
      <c r="A24" s="29"/>
      <c r="B24" s="29"/>
      <c r="C24" s="29"/>
      <c r="D24" s="42"/>
      <c r="E24" s="43" t="str">
        <f>IF(F24=0,"*","")</f>
        <v>*</v>
      </c>
      <c r="F24" s="61"/>
      <c r="G24" s="44"/>
      <c r="I24" s="33"/>
    </row>
    <row r="25" spans="1:14" x14ac:dyDescent="0.2">
      <c r="A25" s="29"/>
      <c r="B25" s="29"/>
      <c r="C25" s="29"/>
      <c r="E25" s="39"/>
      <c r="F25" s="55" t="s">
        <v>7</v>
      </c>
      <c r="G25" s="41"/>
      <c r="I25" s="33"/>
    </row>
    <row r="26" spans="1:14" x14ac:dyDescent="0.2">
      <c r="A26" s="29"/>
      <c r="B26" s="29"/>
      <c r="C26" s="29"/>
      <c r="E26" s="39"/>
      <c r="F26" s="51"/>
      <c r="G26" s="41"/>
      <c r="I26" s="33"/>
    </row>
    <row r="27" spans="1:14" x14ac:dyDescent="0.2">
      <c r="A27" s="29"/>
      <c r="B27" s="29"/>
      <c r="C27" s="30"/>
      <c r="E27" s="39"/>
      <c r="F27" s="40" t="s">
        <v>5</v>
      </c>
      <c r="G27" s="41"/>
      <c r="I27" s="33"/>
    </row>
    <row r="28" spans="1:14" x14ac:dyDescent="0.2">
      <c r="A28" s="29"/>
      <c r="B28" s="29"/>
      <c r="C28" s="30"/>
      <c r="D28" s="42"/>
      <c r="E28" s="43" t="str">
        <f>IF(F28=0,"*","")</f>
        <v>*</v>
      </c>
      <c r="F28" s="60"/>
      <c r="G28" s="44"/>
      <c r="I28" s="33"/>
    </row>
    <row r="29" spans="1:14" x14ac:dyDescent="0.2">
      <c r="A29" s="29"/>
      <c r="B29" s="29"/>
      <c r="C29" s="30"/>
      <c r="D29" s="42"/>
      <c r="E29" s="50"/>
      <c r="F29" s="55" t="s">
        <v>8</v>
      </c>
      <c r="G29" s="41"/>
      <c r="I29" s="33"/>
    </row>
    <row r="30" spans="1:14" x14ac:dyDescent="0.2">
      <c r="A30" s="29"/>
      <c r="B30" s="29"/>
      <c r="C30" s="30"/>
      <c r="D30" s="42"/>
      <c r="E30" s="50"/>
      <c r="F30" s="51"/>
      <c r="G30" s="41"/>
      <c r="I30" s="33"/>
    </row>
    <row r="31" spans="1:14" x14ac:dyDescent="0.2">
      <c r="A31" s="29"/>
      <c r="B31" s="29"/>
      <c r="C31" s="30"/>
      <c r="D31" s="42"/>
      <c r="E31" s="50"/>
      <c r="F31" s="40" t="s">
        <v>6</v>
      </c>
      <c r="G31" s="41"/>
      <c r="I31" s="33"/>
    </row>
    <row r="32" spans="1:14" x14ac:dyDescent="0.2">
      <c r="A32" s="29"/>
      <c r="B32" s="29"/>
      <c r="C32" s="30"/>
      <c r="D32" s="42"/>
      <c r="E32" s="43" t="str">
        <f>IF(F32=0,"*","")</f>
        <v>*</v>
      </c>
      <c r="F32" s="60"/>
      <c r="G32" s="44"/>
      <c r="I32" s="33"/>
    </row>
    <row r="33" spans="1:9" x14ac:dyDescent="0.2">
      <c r="A33" s="29"/>
      <c r="B33" s="29"/>
      <c r="C33" s="30"/>
      <c r="E33" s="39"/>
      <c r="F33" s="55" t="s">
        <v>9</v>
      </c>
      <c r="G33" s="41"/>
      <c r="I33" s="33"/>
    </row>
    <row r="34" spans="1:9" ht="15.75" thickBot="1" x14ac:dyDescent="0.25">
      <c r="A34" s="29"/>
      <c r="B34" s="29"/>
      <c r="C34" s="30"/>
      <c r="E34" s="52"/>
      <c r="F34" s="53"/>
      <c r="G34" s="54"/>
      <c r="I34" s="33"/>
    </row>
    <row r="35" spans="1:9" x14ac:dyDescent="0.2">
      <c r="A35" s="29"/>
      <c r="B35" s="29"/>
      <c r="C35" s="30"/>
      <c r="F35" s="34"/>
      <c r="I35" s="33"/>
    </row>
    <row r="36" spans="1:9" ht="15.75" thickBot="1" x14ac:dyDescent="0.25">
      <c r="A36" s="29"/>
      <c r="B36" s="29"/>
      <c r="C36" s="30"/>
      <c r="E36" s="35" t="s">
        <v>21</v>
      </c>
      <c r="F36" s="34"/>
      <c r="I36" s="33"/>
    </row>
    <row r="37" spans="1:9" x14ac:dyDescent="0.2">
      <c r="A37" s="29"/>
      <c r="B37" s="29"/>
      <c r="C37" s="30"/>
      <c r="E37" s="36"/>
      <c r="F37" s="37"/>
      <c r="G37" s="38"/>
      <c r="I37" s="33"/>
    </row>
    <row r="38" spans="1:9" x14ac:dyDescent="0.2">
      <c r="A38" s="29"/>
      <c r="B38" s="29"/>
      <c r="C38" s="30"/>
      <c r="E38" s="39"/>
      <c r="F38" s="40" t="s">
        <v>23</v>
      </c>
      <c r="G38" s="41"/>
      <c r="I38" s="33"/>
    </row>
    <row r="39" spans="1:9" x14ac:dyDescent="0.2">
      <c r="A39" s="29"/>
      <c r="B39" s="29"/>
      <c r="C39" s="30"/>
      <c r="D39" s="41"/>
      <c r="E39" s="43" t="str">
        <f>IF(F39=0,"*","")</f>
        <v>*</v>
      </c>
      <c r="F39" s="62"/>
      <c r="G39" s="44"/>
      <c r="I39" s="33"/>
    </row>
    <row r="40" spans="1:9" x14ac:dyDescent="0.2">
      <c r="A40" s="29"/>
      <c r="B40" s="29"/>
      <c r="C40" s="30"/>
      <c r="E40" s="39"/>
      <c r="F40" s="55" t="s">
        <v>2</v>
      </c>
      <c r="G40" s="41"/>
      <c r="I40" s="33"/>
    </row>
    <row r="41" spans="1:9" x14ac:dyDescent="0.2">
      <c r="A41" s="29"/>
      <c r="B41" s="29"/>
      <c r="C41" s="30"/>
      <c r="D41" s="42"/>
      <c r="E41" s="34"/>
      <c r="F41" s="34"/>
      <c r="G41" s="49"/>
      <c r="I41" s="33"/>
    </row>
    <row r="42" spans="1:9" x14ac:dyDescent="0.2">
      <c r="A42" s="29"/>
      <c r="B42" s="29"/>
      <c r="C42" s="30"/>
      <c r="D42" s="42"/>
      <c r="F42" s="40" t="s">
        <v>24</v>
      </c>
      <c r="G42" s="42"/>
      <c r="I42" s="33"/>
    </row>
    <row r="43" spans="1:9" x14ac:dyDescent="0.2">
      <c r="A43" s="29"/>
      <c r="B43" s="29"/>
      <c r="C43" s="30"/>
      <c r="D43" s="42"/>
      <c r="E43" s="43" t="str">
        <f>IF(F43=0,"*","")</f>
        <v>*</v>
      </c>
      <c r="F43" s="62"/>
      <c r="G43" s="42"/>
      <c r="I43" s="33"/>
    </row>
    <row r="44" spans="1:9" x14ac:dyDescent="0.2">
      <c r="A44" s="29"/>
      <c r="B44" s="29"/>
      <c r="C44" s="30"/>
      <c r="D44" s="42"/>
      <c r="F44" s="55" t="s">
        <v>2</v>
      </c>
      <c r="G44" s="42"/>
      <c r="I44" s="33"/>
    </row>
    <row r="45" spans="1:9" x14ac:dyDescent="0.2">
      <c r="A45" s="29"/>
      <c r="B45" s="29"/>
      <c r="C45" s="30"/>
      <c r="D45" s="42"/>
      <c r="E45" s="34"/>
      <c r="F45" s="34"/>
      <c r="G45" s="49"/>
      <c r="I45" s="33"/>
    </row>
    <row r="46" spans="1:9" x14ac:dyDescent="0.2">
      <c r="A46" s="29"/>
      <c r="B46" s="29"/>
      <c r="C46" s="30"/>
      <c r="D46" s="42"/>
      <c r="F46" s="40" t="s">
        <v>25</v>
      </c>
      <c r="G46" s="42"/>
      <c r="I46" s="33"/>
    </row>
    <row r="47" spans="1:9" x14ac:dyDescent="0.2">
      <c r="A47" s="29"/>
      <c r="B47" s="29"/>
      <c r="C47" s="30"/>
      <c r="D47" s="42"/>
      <c r="E47" s="43" t="str">
        <f>IF(F47=0,"*","")</f>
        <v>*</v>
      </c>
      <c r="F47" s="62"/>
      <c r="G47" s="42"/>
      <c r="I47" s="33"/>
    </row>
    <row r="48" spans="1:9" x14ac:dyDescent="0.2">
      <c r="A48" s="29"/>
      <c r="B48" s="29"/>
      <c r="C48" s="30"/>
      <c r="D48" s="42"/>
      <c r="F48" s="55" t="s">
        <v>26</v>
      </c>
      <c r="G48" s="42"/>
      <c r="I48" s="33"/>
    </row>
    <row r="49" spans="1:9" ht="15.75" thickBot="1" x14ac:dyDescent="0.25">
      <c r="A49" s="29"/>
      <c r="B49" s="29"/>
      <c r="C49" s="30"/>
      <c r="D49" s="42"/>
      <c r="E49" s="56"/>
      <c r="F49" s="47"/>
      <c r="G49" s="57"/>
      <c r="I49" s="33"/>
    </row>
    <row r="50" spans="1:9" x14ac:dyDescent="0.2">
      <c r="A50" s="29"/>
      <c r="B50" s="29"/>
      <c r="C50" s="30"/>
      <c r="F50" s="34"/>
      <c r="I50" s="33"/>
    </row>
    <row r="51" spans="1:9" ht="15.75" thickBot="1" x14ac:dyDescent="0.25">
      <c r="A51" s="29"/>
      <c r="B51" s="29"/>
      <c r="C51" s="30"/>
      <c r="E51" s="35" t="s">
        <v>22</v>
      </c>
      <c r="F51" s="34"/>
      <c r="I51" s="33"/>
    </row>
    <row r="52" spans="1:9" x14ac:dyDescent="0.2">
      <c r="A52" s="29"/>
      <c r="B52" s="29"/>
      <c r="C52" s="30"/>
      <c r="E52" s="36"/>
      <c r="F52" s="37"/>
      <c r="G52" s="38"/>
      <c r="I52" s="33"/>
    </row>
    <row r="53" spans="1:9" x14ac:dyDescent="0.2">
      <c r="A53" s="29"/>
      <c r="B53" s="29"/>
      <c r="C53" s="30"/>
      <c r="D53" s="41"/>
      <c r="E53" s="50"/>
      <c r="F53" s="40" t="s">
        <v>27</v>
      </c>
      <c r="G53" s="41"/>
      <c r="I53" s="33"/>
    </row>
    <row r="54" spans="1:9" x14ac:dyDescent="0.2">
      <c r="A54" s="29"/>
      <c r="B54" s="29"/>
      <c r="C54" s="30"/>
      <c r="D54" s="41"/>
      <c r="E54" s="43" t="str">
        <f>IF(F54=0,"*","")</f>
        <v>*</v>
      </c>
      <c r="F54" s="64"/>
      <c r="G54" s="44"/>
      <c r="I54" s="33"/>
    </row>
    <row r="55" spans="1:9" x14ac:dyDescent="0.2">
      <c r="A55" s="29"/>
      <c r="B55" s="29"/>
      <c r="C55" s="30"/>
      <c r="D55" s="41"/>
      <c r="E55" s="50"/>
      <c r="F55" s="55" t="s">
        <v>30</v>
      </c>
      <c r="G55" s="41"/>
      <c r="I55" s="33"/>
    </row>
    <row r="56" spans="1:9" x14ac:dyDescent="0.2">
      <c r="A56" s="29"/>
      <c r="B56" s="29"/>
      <c r="C56" s="30"/>
      <c r="D56" s="41"/>
      <c r="E56" s="50"/>
      <c r="F56" s="55"/>
      <c r="G56" s="41"/>
      <c r="I56" s="33"/>
    </row>
    <row r="57" spans="1:9" x14ac:dyDescent="0.2">
      <c r="A57" s="29"/>
      <c r="B57" s="29"/>
      <c r="C57" s="30"/>
      <c r="D57" s="41"/>
      <c r="E57" s="50"/>
      <c r="F57" s="40" t="s">
        <v>28</v>
      </c>
      <c r="G57" s="41"/>
      <c r="I57" s="33"/>
    </row>
    <row r="58" spans="1:9" x14ac:dyDescent="0.2">
      <c r="A58" s="29"/>
      <c r="B58" s="29"/>
      <c r="C58" s="30"/>
      <c r="D58" s="41"/>
      <c r="E58" s="43" t="str">
        <f>IF(F58=0,"*","")</f>
        <v>*</v>
      </c>
      <c r="F58" s="62"/>
      <c r="G58" s="44"/>
      <c r="I58" s="33"/>
    </row>
    <row r="59" spans="1:9" x14ac:dyDescent="0.2">
      <c r="A59" s="29"/>
      <c r="B59" s="29"/>
      <c r="C59" s="30"/>
      <c r="D59" s="41"/>
      <c r="E59" s="50"/>
      <c r="F59" s="55" t="s">
        <v>31</v>
      </c>
      <c r="G59" s="41"/>
      <c r="I59" s="33"/>
    </row>
    <row r="60" spans="1:9" ht="15.75" thickBot="1" x14ac:dyDescent="0.25">
      <c r="A60" s="29"/>
      <c r="B60" s="29"/>
      <c r="C60" s="30"/>
      <c r="D60" s="50"/>
      <c r="E60" s="52"/>
      <c r="F60" s="53"/>
      <c r="G60" s="54"/>
      <c r="I60" s="33"/>
    </row>
    <row r="61" spans="1:9" x14ac:dyDescent="0.2">
      <c r="A61" s="29"/>
      <c r="B61" s="29"/>
      <c r="C61" s="30"/>
      <c r="F61" s="34"/>
      <c r="I61" s="33"/>
    </row>
    <row r="62" spans="1:9" ht="15.75" thickBot="1" x14ac:dyDescent="0.25">
      <c r="A62" s="29"/>
      <c r="B62" s="29"/>
      <c r="C62" s="30"/>
      <c r="E62" s="40" t="s">
        <v>29</v>
      </c>
      <c r="F62" s="34"/>
      <c r="I62" s="33"/>
    </row>
    <row r="63" spans="1:9" x14ac:dyDescent="0.2">
      <c r="A63" s="29"/>
      <c r="B63" s="29"/>
      <c r="C63" s="30"/>
      <c r="D63" s="41"/>
      <c r="E63" s="58"/>
      <c r="F63" s="37"/>
      <c r="G63" s="38"/>
      <c r="I63" s="33"/>
    </row>
    <row r="64" spans="1:9" x14ac:dyDescent="0.2">
      <c r="A64" s="29"/>
      <c r="B64" s="29"/>
      <c r="C64" s="30"/>
      <c r="D64" s="41"/>
      <c r="E64" s="50"/>
      <c r="F64" s="40" t="s">
        <v>40</v>
      </c>
      <c r="G64" s="41"/>
      <c r="I64" s="33"/>
    </row>
    <row r="65" spans="1:9" x14ac:dyDescent="0.2">
      <c r="A65" s="29"/>
      <c r="B65" s="29"/>
      <c r="C65" s="30"/>
      <c r="D65" s="41"/>
      <c r="E65" s="43" t="str">
        <f>IF(F65=0,"*","")</f>
        <v>*</v>
      </c>
      <c r="F65" s="63"/>
      <c r="G65" s="44"/>
      <c r="I65" s="33"/>
    </row>
    <row r="66" spans="1:9" x14ac:dyDescent="0.2">
      <c r="A66" s="29"/>
      <c r="B66" s="29"/>
      <c r="C66" s="30"/>
      <c r="D66" s="41"/>
      <c r="E66" s="50"/>
      <c r="F66" s="55" t="s">
        <v>41</v>
      </c>
      <c r="G66" s="41"/>
      <c r="I66" s="33"/>
    </row>
    <row r="67" spans="1:9" ht="15.75" thickBot="1" x14ac:dyDescent="0.25">
      <c r="A67" s="29"/>
      <c r="B67" s="29"/>
      <c r="C67" s="30"/>
      <c r="D67" s="41"/>
      <c r="E67" s="46"/>
      <c r="F67" s="47"/>
      <c r="G67" s="48"/>
      <c r="I67" s="33"/>
    </row>
    <row r="68" spans="1:9" x14ac:dyDescent="0.2">
      <c r="A68" s="29"/>
      <c r="B68" s="29"/>
      <c r="C68" s="30"/>
      <c r="F68" s="34"/>
      <c r="I68" s="33"/>
    </row>
    <row r="69" spans="1:9" ht="15" customHeight="1" x14ac:dyDescent="0.2">
      <c r="A69" s="59"/>
      <c r="B69" s="59"/>
      <c r="C69" s="59"/>
      <c r="D69" s="59"/>
      <c r="E69" s="59"/>
      <c r="F69" s="59"/>
      <c r="G69" s="59"/>
      <c r="H69" s="59"/>
      <c r="I69" s="59"/>
    </row>
    <row r="151" ht="15.75" customHeight="1" x14ac:dyDescent="0.2"/>
    <row r="172" ht="15" customHeight="1" x14ac:dyDescent="0.2"/>
  </sheetData>
  <sheetProtection selectLockedCells="1"/>
  <dataValidations count="3">
    <dataValidation type="date" allowBlank="1" showInputMessage="1" showErrorMessage="1" errorTitle="Datum" error="Datum je neispravno upisan (primer: 23.11.2017)." sqref="F24">
      <formula1>40544</formula1>
      <formula2>2958465</formula2>
    </dataValidation>
    <dataValidation type="decimal" allowBlank="1" showInputMessage="1" showErrorMessage="1" errorTitle="Iznos pozajmice (RSD)" error="Vrednost mora biti brojčana, broj sa decimalnim zarezom i čiji je opseg od 1 do 999999999." sqref="F54">
      <formula1>1</formula1>
      <formula2>999999999</formula2>
    </dataValidation>
    <dataValidation type="whole" allowBlank="1" showInputMessage="1" showErrorMessage="1" errorTitle="Broj dana" error="Vrednost mora biti brojčana, prirodan broj i čiji je opseg od 1 do 999999." sqref="F65">
      <formula1>1</formula1>
      <formula2>999999</formula2>
    </dataValidation>
  </dataValidation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E199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" customWidth="1"/>
    <col min="4" max="4" width="80.109375" style="2" customWidth="1"/>
    <col min="5" max="189" width="2.21875" style="2" customWidth="1"/>
    <col min="190" max="16384" width="8.88671875" style="2"/>
  </cols>
  <sheetData>
    <row r="1" spans="3:5" s="1" customFormat="1" ht="30" customHeight="1" thickBot="1" x14ac:dyDescent="0.25"/>
    <row r="2" spans="3:5" ht="15.75" thickTop="1" x14ac:dyDescent="0.2">
      <c r="C2" s="18"/>
      <c r="D2" s="20"/>
      <c r="E2" s="19"/>
    </row>
    <row r="3" spans="3:5" x14ac:dyDescent="0.2">
      <c r="C3" s="18"/>
      <c r="D3" s="20"/>
      <c r="E3" s="19"/>
    </row>
    <row r="4" spans="3:5" x14ac:dyDescent="0.2">
      <c r="C4" s="18"/>
      <c r="D4" s="20"/>
      <c r="E4" s="19"/>
    </row>
    <row r="5" spans="3:5" x14ac:dyDescent="0.2">
      <c r="C5" s="18"/>
      <c r="D5" s="20"/>
      <c r="E5" s="19"/>
    </row>
    <row r="6" spans="3:5" x14ac:dyDescent="0.2">
      <c r="C6" s="3"/>
      <c r="D6" s="3"/>
      <c r="E6" s="3"/>
    </row>
    <row r="7" spans="3:5" x14ac:dyDescent="0.2">
      <c r="C7" s="4"/>
      <c r="D7" s="4"/>
      <c r="E7" s="12"/>
    </row>
    <row r="8" spans="3:5" x14ac:dyDescent="0.2">
      <c r="C8" s="21"/>
      <c r="D8" s="79" t="s">
        <v>33</v>
      </c>
      <c r="E8" s="12"/>
    </row>
    <row r="9" spans="3:5" x14ac:dyDescent="0.2">
      <c r="C9" s="21"/>
      <c r="D9" s="79"/>
      <c r="E9" s="12"/>
    </row>
    <row r="10" spans="3:5" x14ac:dyDescent="0.2">
      <c r="C10" s="21"/>
      <c r="D10" s="79"/>
      <c r="E10" s="12"/>
    </row>
    <row r="11" spans="3:5" x14ac:dyDescent="0.2">
      <c r="C11" s="21"/>
      <c r="D11" s="79"/>
      <c r="E11" s="12"/>
    </row>
    <row r="12" spans="3:5" x14ac:dyDescent="0.2">
      <c r="C12" s="21"/>
      <c r="D12" s="79"/>
      <c r="E12" s="12"/>
    </row>
    <row r="13" spans="3:5" x14ac:dyDescent="0.2">
      <c r="C13" s="21"/>
      <c r="D13" s="79"/>
      <c r="E13" s="12"/>
    </row>
    <row r="14" spans="3:5" s="7" customFormat="1" x14ac:dyDescent="0.2">
      <c r="C14" s="22"/>
      <c r="D14" s="79"/>
      <c r="E14" s="12"/>
    </row>
    <row r="15" spans="3:5" x14ac:dyDescent="0.2">
      <c r="C15" s="21"/>
      <c r="D15" s="79"/>
      <c r="E15" s="12"/>
    </row>
    <row r="16" spans="3:5" x14ac:dyDescent="0.2">
      <c r="C16" s="21"/>
      <c r="D16" s="79"/>
      <c r="E16" s="12"/>
    </row>
    <row r="17" spans="3:5" x14ac:dyDescent="0.2">
      <c r="C17" s="21"/>
      <c r="D17" s="79"/>
      <c r="E17" s="12"/>
    </row>
    <row r="18" spans="3:5" x14ac:dyDescent="0.2">
      <c r="C18" s="21"/>
      <c r="D18" s="79"/>
      <c r="E18" s="12"/>
    </row>
    <row r="19" spans="3:5" x14ac:dyDescent="0.2">
      <c r="C19" s="21"/>
      <c r="D19" s="79"/>
      <c r="E19" s="12"/>
    </row>
    <row r="20" spans="3:5" x14ac:dyDescent="0.2">
      <c r="C20" s="21"/>
      <c r="D20" s="79"/>
      <c r="E20" s="12"/>
    </row>
    <row r="21" spans="3:5" x14ac:dyDescent="0.2">
      <c r="C21" s="21"/>
      <c r="D21" s="79"/>
      <c r="E21" s="12"/>
    </row>
    <row r="22" spans="3:5" x14ac:dyDescent="0.2">
      <c r="C22" s="21"/>
      <c r="D22" s="79"/>
      <c r="E22" s="12"/>
    </row>
    <row r="23" spans="3:5" x14ac:dyDescent="0.2">
      <c r="C23" s="21"/>
      <c r="D23" s="79"/>
      <c r="E23" s="12"/>
    </row>
    <row r="24" spans="3:5" x14ac:dyDescent="0.2">
      <c r="C24" s="21"/>
      <c r="D24" s="79"/>
      <c r="E24" s="12"/>
    </row>
    <row r="25" spans="3:5" x14ac:dyDescent="0.2">
      <c r="C25" s="21"/>
      <c r="D25" s="79"/>
      <c r="E25" s="12"/>
    </row>
    <row r="26" spans="3:5" x14ac:dyDescent="0.2">
      <c r="C26" s="21"/>
      <c r="D26" s="79"/>
      <c r="E26" s="12"/>
    </row>
    <row r="27" spans="3:5" x14ac:dyDescent="0.2">
      <c r="C27" s="21"/>
      <c r="D27" s="79"/>
      <c r="E27" s="12"/>
    </row>
    <row r="28" spans="3:5" x14ac:dyDescent="0.2">
      <c r="C28" s="21"/>
      <c r="D28" s="79"/>
      <c r="E28" s="12"/>
    </row>
    <row r="29" spans="3:5" x14ac:dyDescent="0.2">
      <c r="C29" s="21"/>
      <c r="D29" s="79"/>
      <c r="E29" s="12"/>
    </row>
    <row r="30" spans="3:5" x14ac:dyDescent="0.2">
      <c r="C30" s="21"/>
      <c r="D30" s="79"/>
      <c r="E30" s="12"/>
    </row>
    <row r="31" spans="3:5" x14ac:dyDescent="0.2">
      <c r="C31" s="21"/>
      <c r="D31" s="79"/>
      <c r="E31" s="12"/>
    </row>
    <row r="32" spans="3:5" x14ac:dyDescent="0.2">
      <c r="C32" s="21"/>
      <c r="D32" s="79"/>
      <c r="E32" s="12"/>
    </row>
    <row r="33" spans="3:5" x14ac:dyDescent="0.2">
      <c r="C33" s="21"/>
      <c r="D33" s="79"/>
      <c r="E33" s="12"/>
    </row>
    <row r="34" spans="3:5" x14ac:dyDescent="0.2">
      <c r="C34" s="21"/>
      <c r="D34" s="79"/>
      <c r="E34" s="12"/>
    </row>
    <row r="35" spans="3:5" x14ac:dyDescent="0.2">
      <c r="C35" s="21"/>
      <c r="D35" s="79"/>
      <c r="E35" s="12"/>
    </row>
    <row r="36" spans="3:5" x14ac:dyDescent="0.2">
      <c r="C36" s="21"/>
      <c r="D36" s="79"/>
      <c r="E36" s="12"/>
    </row>
    <row r="37" spans="3:5" x14ac:dyDescent="0.2">
      <c r="C37" s="21"/>
      <c r="D37" s="79"/>
      <c r="E37" s="12"/>
    </row>
    <row r="38" spans="3:5" x14ac:dyDescent="0.2">
      <c r="C38" s="21"/>
      <c r="D38" s="79"/>
      <c r="E38" s="12"/>
    </row>
    <row r="39" spans="3:5" x14ac:dyDescent="0.2">
      <c r="C39" s="21"/>
      <c r="D39" s="72"/>
      <c r="E39" s="12"/>
    </row>
    <row r="40" spans="3:5" x14ac:dyDescent="0.2">
      <c r="C40" s="21"/>
      <c r="D40" s="72"/>
      <c r="E40" s="12"/>
    </row>
    <row r="41" spans="3:5" x14ac:dyDescent="0.2">
      <c r="C41" s="21"/>
      <c r="D41" s="72"/>
      <c r="E41" s="12"/>
    </row>
    <row r="42" spans="3:5" x14ac:dyDescent="0.2">
      <c r="C42" s="21"/>
      <c r="D42" s="72"/>
      <c r="E42" s="12"/>
    </row>
    <row r="43" spans="3:5" x14ac:dyDescent="0.2">
      <c r="C43" s="21"/>
      <c r="D43"/>
      <c r="E43" s="12"/>
    </row>
    <row r="44" spans="3:5" x14ac:dyDescent="0.2">
      <c r="C44" s="21"/>
      <c r="D44"/>
      <c r="E44" s="12"/>
    </row>
    <row r="45" spans="3:5" x14ac:dyDescent="0.2">
      <c r="C45" s="21"/>
      <c r="D45"/>
      <c r="E45" s="12"/>
    </row>
    <row r="46" spans="3:5" x14ac:dyDescent="0.2">
      <c r="C46" s="21"/>
      <c r="D46"/>
      <c r="E46" s="12"/>
    </row>
    <row r="47" spans="3:5" x14ac:dyDescent="0.2">
      <c r="C47" s="13"/>
      <c r="D47" s="14"/>
      <c r="E47" s="14"/>
    </row>
    <row r="48" spans="3:5" x14ac:dyDescent="0.2">
      <c r="E48" s="11"/>
    </row>
    <row r="96" ht="15" customHeight="1" x14ac:dyDescent="0.2"/>
    <row r="178" ht="15.75" customHeight="1" x14ac:dyDescent="0.2"/>
    <row r="199" ht="15" customHeight="1" x14ac:dyDescent="0.2"/>
  </sheetData>
  <mergeCells count="1">
    <mergeCell ref="D8:D38"/>
  </mergeCell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0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7" customWidth="1"/>
    <col min="4" max="4" width="69.77734375" style="17" customWidth="1"/>
    <col min="5" max="187" width="2.21875" style="17" customWidth="1"/>
    <col min="188" max="16384" width="8.88671875" style="17"/>
  </cols>
  <sheetData>
    <row r="1" spans="3:5" s="16" customFormat="1" ht="30" customHeight="1" thickBot="1" x14ac:dyDescent="0.25"/>
    <row r="2" spans="3:5" ht="15.75" thickTop="1" x14ac:dyDescent="0.2"/>
    <row r="6" spans="3:5" x14ac:dyDescent="0.2">
      <c r="C6" s="3"/>
      <c r="D6" s="3"/>
      <c r="E6" s="3"/>
    </row>
    <row r="7" spans="3:5" x14ac:dyDescent="0.2">
      <c r="C7" s="4"/>
      <c r="D7" s="4"/>
      <c r="E7" s="12"/>
    </row>
    <row r="8" spans="3:5" x14ac:dyDescent="0.2">
      <c r="C8" s="15"/>
      <c r="D8" s="5"/>
      <c r="E8" s="12"/>
    </row>
    <row r="9" spans="3:5" x14ac:dyDescent="0.2">
      <c r="C9" s="15"/>
      <c r="D9" s="5"/>
      <c r="E9" s="12"/>
    </row>
    <row r="10" spans="3:5" ht="15.75" x14ac:dyDescent="0.25">
      <c r="C10" s="15"/>
      <c r="D10" s="6" t="s">
        <v>34</v>
      </c>
      <c r="E10" s="12"/>
    </row>
    <row r="11" spans="3:5" x14ac:dyDescent="0.2">
      <c r="C11" s="15"/>
      <c r="D11" s="5"/>
      <c r="E11" s="12"/>
    </row>
    <row r="12" spans="3:5" x14ac:dyDescent="0.2">
      <c r="C12" s="15"/>
      <c r="D12" s="5"/>
      <c r="E12" s="12"/>
    </row>
    <row r="13" spans="3:5" x14ac:dyDescent="0.2">
      <c r="C13" s="15"/>
      <c r="D13" s="5"/>
      <c r="E13" s="12"/>
    </row>
    <row r="14" spans="3:5" x14ac:dyDescent="0.2">
      <c r="C14" s="15"/>
      <c r="D14" s="75" t="str">
        <f>IF(Datum=0,"...","Ugovor sklapa dana "&amp;TEXT(Datum,"DD.MM.YYYY")&amp;". godine."&amp;" Između sledećih ugovorenih strana:")</f>
        <v>...</v>
      </c>
      <c r="E14" s="12"/>
    </row>
    <row r="15" spans="3:5" x14ac:dyDescent="0.2">
      <c r="C15" s="15"/>
      <c r="D15" s="5"/>
      <c r="E15" s="12"/>
    </row>
    <row r="16" spans="3:5" x14ac:dyDescent="0.2">
      <c r="C16" s="15"/>
      <c r="D16" s="76" t="str">
        <f>IF(Zajmodavac=0,"...",Zajmodavac)</f>
        <v>...</v>
      </c>
      <c r="E16" s="12"/>
    </row>
    <row r="17" spans="3:5" x14ac:dyDescent="0.2">
      <c r="C17" s="15"/>
      <c r="D17" s="8" t="s">
        <v>23</v>
      </c>
      <c r="E17" s="12"/>
    </row>
    <row r="18" spans="3:5" x14ac:dyDescent="0.2">
      <c r="C18" s="15"/>
      <c r="D18"/>
      <c r="E18" s="12"/>
    </row>
    <row r="19" spans="3:5" x14ac:dyDescent="0.2">
      <c r="C19" s="15"/>
      <c r="D19" s="76" t="str">
        <f>IF(Zajmoprimac=0,"...",Zajmoprimac)</f>
        <v>...</v>
      </c>
      <c r="E19" s="12"/>
    </row>
    <row r="20" spans="3:5" x14ac:dyDescent="0.2">
      <c r="C20" s="15"/>
      <c r="D20" s="8" t="s">
        <v>24</v>
      </c>
      <c r="E20" s="12"/>
    </row>
    <row r="21" spans="3:5" x14ac:dyDescent="0.2">
      <c r="C21" s="15"/>
      <c r="D21"/>
      <c r="E21" s="12"/>
    </row>
    <row r="22" spans="3:5" x14ac:dyDescent="0.2">
      <c r="C22" s="15"/>
      <c r="D22" s="74" t="s">
        <v>35</v>
      </c>
      <c r="E22" s="12"/>
    </row>
    <row r="23" spans="3:5" x14ac:dyDescent="0.2">
      <c r="C23" s="15"/>
      <c r="D23"/>
      <c r="E23" s="12"/>
    </row>
    <row r="24" spans="3:5" ht="30" x14ac:dyDescent="0.2">
      <c r="C24" s="15"/>
      <c r="D24" s="77" t="s">
        <v>36</v>
      </c>
      <c r="E24" s="12"/>
    </row>
    <row r="25" spans="3:5" x14ac:dyDescent="0.2">
      <c r="C25" s="15"/>
      <c r="D25"/>
      <c r="E25" s="12"/>
    </row>
    <row r="26" spans="3:5" x14ac:dyDescent="0.2">
      <c r="C26" s="15"/>
      <c r="D26" s="74" t="s">
        <v>37</v>
      </c>
      <c r="E26" s="12"/>
    </row>
    <row r="27" spans="3:5" x14ac:dyDescent="0.2">
      <c r="C27" s="15"/>
      <c r="D27"/>
      <c r="E27" s="12"/>
    </row>
    <row r="28" spans="3:5" x14ac:dyDescent="0.2">
      <c r="C28" s="15"/>
      <c r="D28" s="77" t="str">
        <f>IF(OR(IznosPozajmice=0,IznosPozajmiceSlovima=0,TekuciRacunZajmoprimca=0),"...","Uplaćuje se iznos sredstva za pozajmicu od "&amp;TEXT(IznosPozajmice,"#.##0,00 RSD")&amp;", slovima "&amp;IznosPozajmiceSlovima&amp;", koje će Zajmodavac gotovinski uplatiti na tekući račun "&amp;TekuciRacunZajmoprimca&amp;", Zajmoprimca.")</f>
        <v>...</v>
      </c>
      <c r="E28" s="12"/>
    </row>
    <row r="29" spans="3:5" x14ac:dyDescent="0.2">
      <c r="C29" s="15"/>
      <c r="D29"/>
      <c r="E29" s="12"/>
    </row>
    <row r="30" spans="3:5" x14ac:dyDescent="0.2">
      <c r="C30" s="15"/>
      <c r="D30" s="74" t="s">
        <v>38</v>
      </c>
      <c r="E30" s="12"/>
    </row>
    <row r="31" spans="3:5" x14ac:dyDescent="0.2">
      <c r="C31" s="15"/>
      <c r="D31"/>
      <c r="E31" s="12"/>
    </row>
    <row r="32" spans="3:5" x14ac:dyDescent="0.2">
      <c r="C32" s="15"/>
      <c r="D32" s="77" t="str">
        <f>IF(BrojDana=0,"...","Povraćaj primljene pozajmice biće izvršen Zajmodavcu gotovinski u roku od "&amp;BrojDana&amp;" dana od datuma uplate na tekući račun Zajmoprimca.")</f>
        <v>...</v>
      </c>
      <c r="E32" s="12"/>
    </row>
    <row r="33" spans="1:5" x14ac:dyDescent="0.2">
      <c r="C33" s="15"/>
      <c r="D33" s="73"/>
      <c r="E33" s="12"/>
    </row>
    <row r="34" spans="1:5" x14ac:dyDescent="0.2">
      <c r="C34" s="15"/>
      <c r="D34"/>
      <c r="E34" s="12"/>
    </row>
    <row r="35" spans="1:5" x14ac:dyDescent="0.2">
      <c r="C35" s="15"/>
      <c r="D35"/>
      <c r="E35" s="12"/>
    </row>
    <row r="36" spans="1:5" x14ac:dyDescent="0.2">
      <c r="C36" s="15"/>
      <c r="D36"/>
      <c r="E36" s="12"/>
    </row>
    <row r="37" spans="1:5" x14ac:dyDescent="0.2">
      <c r="C37" s="15"/>
      <c r="D37"/>
      <c r="E37" s="12"/>
    </row>
    <row r="38" spans="1:5" x14ac:dyDescent="0.2">
      <c r="C38" s="15"/>
      <c r="D38"/>
      <c r="E38" s="12"/>
    </row>
    <row r="39" spans="1:5" x14ac:dyDescent="0.2">
      <c r="C39" s="15"/>
      <c r="D39"/>
      <c r="E39" s="12"/>
    </row>
    <row r="40" spans="1:5" x14ac:dyDescent="0.2">
      <c r="A40"/>
      <c r="B40"/>
      <c r="C40" s="15"/>
      <c r="D40" s="78" t="s">
        <v>39</v>
      </c>
      <c r="E40" s="12"/>
    </row>
    <row r="41" spans="1:5" x14ac:dyDescent="0.2">
      <c r="C41" s="15"/>
      <c r="D41"/>
      <c r="E41" s="12"/>
    </row>
    <row r="42" spans="1:5" x14ac:dyDescent="0.2">
      <c r="C42" s="15"/>
      <c r="D42"/>
      <c r="E42" s="12"/>
    </row>
    <row r="43" spans="1:5" x14ac:dyDescent="0.2">
      <c r="C43" s="15"/>
      <c r="D43" s="9" t="str">
        <f>IF(EvidencioniBroj=0,"...",EvidencioniBroj)</f>
        <v>...</v>
      </c>
      <c r="E43" s="12"/>
    </row>
    <row r="44" spans="1:5" x14ac:dyDescent="0.2">
      <c r="C44" s="15"/>
      <c r="D44" s="8" t="s">
        <v>0</v>
      </c>
      <c r="E44" s="12"/>
    </row>
    <row r="45" spans="1:5" x14ac:dyDescent="0.2">
      <c r="C45" s="15"/>
      <c r="D45" s="9" t="str">
        <f>IF(OR(Datum=0,Mesto=0),"...",Mesto&amp;", "&amp;TEXT(Datum,"DD.MM.YYYY")&amp;". godine")</f>
        <v>...</v>
      </c>
      <c r="E45" s="12"/>
    </row>
    <row r="46" spans="1:5" x14ac:dyDescent="0.2">
      <c r="C46" s="15"/>
      <c r="D46" s="8" t="s">
        <v>1</v>
      </c>
      <c r="E46" s="12"/>
    </row>
    <row r="47" spans="1:5" x14ac:dyDescent="0.2">
      <c r="C47" s="10"/>
      <c r="D47" s="10"/>
      <c r="E47" s="10"/>
    </row>
    <row r="99" ht="15" customHeight="1" x14ac:dyDescent="0.2"/>
    <row r="181" ht="15.75" customHeight="1" x14ac:dyDescent="0.2"/>
    <row r="202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7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7" customWidth="1"/>
    <col min="4" max="4" width="69.77734375" style="17" customWidth="1"/>
    <col min="5" max="187" width="2.21875" style="17" customWidth="1"/>
    <col min="188" max="16384" width="8.88671875" style="17"/>
  </cols>
  <sheetData>
    <row r="1" spans="3:5" s="16" customFormat="1" ht="30" customHeight="1" thickBot="1" x14ac:dyDescent="0.25"/>
    <row r="2" spans="3:5" ht="15.75" thickTop="1" x14ac:dyDescent="0.2"/>
    <row r="6" spans="3:5" x14ac:dyDescent="0.2">
      <c r="C6" s="3"/>
      <c r="D6" s="3"/>
      <c r="E6" s="3"/>
    </row>
    <row r="7" spans="3:5" x14ac:dyDescent="0.2">
      <c r="C7" s="4"/>
      <c r="D7" s="4"/>
      <c r="E7" s="12"/>
    </row>
    <row r="8" spans="3:5" x14ac:dyDescent="0.2">
      <c r="C8" s="15"/>
      <c r="D8" s="5"/>
      <c r="E8" s="12"/>
    </row>
    <row r="9" spans="3:5" x14ac:dyDescent="0.2">
      <c r="C9" s="15"/>
      <c r="D9" s="5"/>
      <c r="E9" s="12"/>
    </row>
    <row r="10" spans="3:5" ht="15.75" x14ac:dyDescent="0.25">
      <c r="C10" s="15"/>
      <c r="D10" s="6" t="s">
        <v>34</v>
      </c>
      <c r="E10" s="12"/>
    </row>
    <row r="11" spans="3:5" x14ac:dyDescent="0.2">
      <c r="C11" s="15"/>
      <c r="D11" s="5"/>
      <c r="E11" s="12"/>
    </row>
    <row r="12" spans="3:5" x14ac:dyDescent="0.2">
      <c r="C12" s="15"/>
      <c r="D12" s="5"/>
      <c r="E12" s="12"/>
    </row>
    <row r="13" spans="3:5" x14ac:dyDescent="0.2">
      <c r="C13" s="15"/>
      <c r="D13" s="5"/>
      <c r="E13" s="12"/>
    </row>
    <row r="14" spans="3:5" x14ac:dyDescent="0.2">
      <c r="C14" s="15"/>
      <c r="D14" s="75" t="str">
        <f>IF(Datum=0,"...","Ugovor sklapa dana "&amp;TEXT(Datum,"DD.MM.YYYY")&amp;". godine."&amp;" Između sledećih ugovorenih strana:")</f>
        <v>...</v>
      </c>
      <c r="E14" s="12"/>
    </row>
    <row r="15" spans="3:5" x14ac:dyDescent="0.2">
      <c r="C15" s="15"/>
      <c r="D15" s="5"/>
      <c r="E15" s="12"/>
    </row>
    <row r="16" spans="3:5" x14ac:dyDescent="0.2">
      <c r="C16" s="15"/>
      <c r="D16" s="76" t="str">
        <f>IF(Zajmodavac=0,"...",Zajmodavac)</f>
        <v>...</v>
      </c>
      <c r="E16" s="12"/>
    </row>
    <row r="17" spans="3:5" x14ac:dyDescent="0.2">
      <c r="C17" s="15"/>
      <c r="D17" s="8" t="s">
        <v>23</v>
      </c>
      <c r="E17" s="12"/>
    </row>
    <row r="18" spans="3:5" x14ac:dyDescent="0.2">
      <c r="C18" s="15"/>
      <c r="D18"/>
      <c r="E18" s="12"/>
    </row>
    <row r="19" spans="3:5" x14ac:dyDescent="0.2">
      <c r="C19" s="15"/>
      <c r="D19" s="76" t="str">
        <f>IF(Zajmoprimac=0,"...",Zajmoprimac)</f>
        <v>...</v>
      </c>
      <c r="E19" s="12"/>
    </row>
    <row r="20" spans="3:5" x14ac:dyDescent="0.2">
      <c r="C20" s="15"/>
      <c r="D20" s="8" t="s">
        <v>24</v>
      </c>
      <c r="E20" s="12"/>
    </row>
    <row r="21" spans="3:5" x14ac:dyDescent="0.2">
      <c r="C21" s="15"/>
      <c r="D21"/>
      <c r="E21" s="12"/>
    </row>
    <row r="22" spans="3:5" x14ac:dyDescent="0.2">
      <c r="C22" s="15"/>
      <c r="D22" s="74" t="s">
        <v>35</v>
      </c>
      <c r="E22" s="12"/>
    </row>
    <row r="23" spans="3:5" x14ac:dyDescent="0.2">
      <c r="C23" s="15"/>
      <c r="D23"/>
      <c r="E23" s="12"/>
    </row>
    <row r="24" spans="3:5" ht="30" x14ac:dyDescent="0.2">
      <c r="C24" s="15"/>
      <c r="D24" s="77" t="s">
        <v>36</v>
      </c>
      <c r="E24" s="12"/>
    </row>
    <row r="25" spans="3:5" x14ac:dyDescent="0.2">
      <c r="C25" s="15"/>
      <c r="D25"/>
      <c r="E25" s="12"/>
    </row>
    <row r="26" spans="3:5" x14ac:dyDescent="0.2">
      <c r="C26" s="15"/>
      <c r="D26" s="74" t="s">
        <v>37</v>
      </c>
      <c r="E26" s="12"/>
    </row>
    <row r="27" spans="3:5" x14ac:dyDescent="0.2">
      <c r="C27" s="15"/>
      <c r="D27"/>
      <c r="E27" s="12"/>
    </row>
    <row r="28" spans="3:5" x14ac:dyDescent="0.2">
      <c r="C28" s="15"/>
      <c r="D28" s="77" t="str">
        <f>IF(OR(IznosPozajmice=0,IznosPozajmiceSlovima=0,TekuciRacunZajmoprimca=0),"...","Uplaćuje se iznos sredstva za pozajmicu od "&amp;TEXT(IznosPozajmice,"#.##0,00 RSD")&amp;", slovima "&amp;IznosPozajmiceSlovima&amp;", koje će Zajmodavac gotovinski uplatiti na tekući račun "&amp;TekuciRacunZajmoprimca&amp;", Zajmoprimca.")</f>
        <v>...</v>
      </c>
      <c r="E28" s="12"/>
    </row>
    <row r="29" spans="3:5" x14ac:dyDescent="0.2">
      <c r="C29" s="15"/>
      <c r="D29"/>
      <c r="E29" s="12"/>
    </row>
    <row r="30" spans="3:5" x14ac:dyDescent="0.2">
      <c r="C30" s="15"/>
      <c r="D30" s="74" t="s">
        <v>38</v>
      </c>
      <c r="E30" s="12"/>
    </row>
    <row r="31" spans="3:5" x14ac:dyDescent="0.2">
      <c r="C31" s="15"/>
      <c r="D31"/>
      <c r="E31" s="12"/>
    </row>
    <row r="32" spans="3:5" x14ac:dyDescent="0.2">
      <c r="C32" s="15"/>
      <c r="D32" s="77" t="str">
        <f>IF(BrojDana=0,"...","Povraćaj primljene pozajmice biće izvršen Zajmodavcu gotovinski u roku od "&amp;BrojDana&amp;" dana od datuma uplate na tekući račun Zajmoprimca.")</f>
        <v>...</v>
      </c>
      <c r="E32" s="12"/>
    </row>
    <row r="33" spans="1:5" x14ac:dyDescent="0.2">
      <c r="C33" s="15"/>
      <c r="D33" s="73"/>
      <c r="E33" s="12"/>
    </row>
    <row r="34" spans="1:5" x14ac:dyDescent="0.2">
      <c r="C34" s="15"/>
      <c r="D34"/>
      <c r="E34" s="12"/>
    </row>
    <row r="35" spans="1:5" x14ac:dyDescent="0.2">
      <c r="C35" s="15"/>
      <c r="D35"/>
      <c r="E35" s="12"/>
    </row>
    <row r="36" spans="1:5" x14ac:dyDescent="0.2">
      <c r="C36" s="15"/>
      <c r="D36"/>
      <c r="E36" s="12"/>
    </row>
    <row r="37" spans="1:5" x14ac:dyDescent="0.2">
      <c r="C37" s="15"/>
      <c r="D37"/>
      <c r="E37" s="12"/>
    </row>
    <row r="38" spans="1:5" x14ac:dyDescent="0.2">
      <c r="C38" s="15"/>
      <c r="D38"/>
      <c r="E38" s="12"/>
    </row>
    <row r="39" spans="1:5" x14ac:dyDescent="0.2">
      <c r="C39" s="15"/>
      <c r="D39"/>
      <c r="E39" s="12"/>
    </row>
    <row r="40" spans="1:5" x14ac:dyDescent="0.2">
      <c r="A40"/>
      <c r="B40"/>
      <c r="C40" s="15"/>
      <c r="D40" s="78" t="s">
        <v>39</v>
      </c>
      <c r="E40" s="12"/>
    </row>
    <row r="41" spans="1:5" x14ac:dyDescent="0.2">
      <c r="C41" s="15"/>
      <c r="D41"/>
      <c r="E41" s="12"/>
    </row>
    <row r="42" spans="1:5" x14ac:dyDescent="0.2">
      <c r="C42" s="10"/>
      <c r="D42" s="10"/>
      <c r="E42" s="10"/>
    </row>
    <row r="94" ht="15" customHeight="1" x14ac:dyDescent="0.2"/>
    <row r="176" ht="15.75" customHeight="1" x14ac:dyDescent="0.2"/>
    <row r="197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 xml:space="preserve">&amp;C
</oddHeader>
    <oddFooter xml:space="preserve">&amp;R&amp;10
Strana &amp;P od &amp;N
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Index</vt:lpstr>
      <vt:lpstr>mNaslov</vt:lpstr>
      <vt:lpstr>mUgovor</vt:lpstr>
      <vt:lpstr>bUgovor</vt:lpstr>
      <vt:lpstr>BrojDana</vt:lpstr>
      <vt:lpstr>Datum</vt:lpstr>
      <vt:lpstr>EvidencioniBroj</vt:lpstr>
      <vt:lpstr>IznosPozajmice</vt:lpstr>
      <vt:lpstr>IznosPozajmiceSlovima</vt:lpstr>
      <vt:lpstr>Mesto</vt:lpstr>
      <vt:lpstr>Pilot</vt:lpstr>
      <vt:lpstr>bUgovor!Print_Area</vt:lpstr>
      <vt:lpstr>Index!Print_Area</vt:lpstr>
      <vt:lpstr>mNaslov!Print_Area</vt:lpstr>
      <vt:lpstr>mUgovor!Print_Area</vt:lpstr>
      <vt:lpstr>PutanjaBaze</vt:lpstr>
      <vt:lpstr>TekuciRacunZajmoprimca</vt:lpstr>
      <vt:lpstr>Zajmodavac</vt:lpstr>
      <vt:lpstr>Zajmoprimac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2017-12-08T16:53:04Z</cp:lastPrinted>
  <dcterms:created xsi:type="dcterms:W3CDTF">2017-11-23T02:10:48Z</dcterms:created>
  <dcterms:modified xsi:type="dcterms:W3CDTF">2017-12-08T16:59:08Z</dcterms:modified>
</cp:coreProperties>
</file>